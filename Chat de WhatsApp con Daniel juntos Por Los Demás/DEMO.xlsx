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stemas\Desktop\"/>
    </mc:Choice>
  </mc:AlternateContent>
  <bookViews>
    <workbookView xWindow="0" yWindow="0" windowWidth="20490" windowHeight="7620" activeTab="2"/>
  </bookViews>
  <sheets>
    <sheet name="PARTICULARES" sheetId="2" r:id="rId1"/>
    <sheet name="VALORACIONES MÉDICAS" sheetId="6" r:id="rId2"/>
    <sheet name="BAJAS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I4" i="2" l="1"/>
  <c r="I3" i="2" l="1"/>
  <c r="I2" i="2" l="1"/>
  <c r="I5" i="2" l="1"/>
  <c r="J6" i="2" l="1"/>
  <c r="E13" i="6" l="1"/>
  <c r="L6" i="2" l="1"/>
  <c r="I6" i="2" s="1"/>
  <c r="I7" i="2" l="1"/>
  <c r="H8" i="2" l="1"/>
  <c r="E67" i="7" l="1"/>
  <c r="C14" i="2" l="1"/>
  <c r="C19" i="2"/>
  <c r="C29" i="2" l="1"/>
  <c r="E60" i="7" l="1"/>
  <c r="E44" i="7"/>
  <c r="E39" i="7"/>
  <c r="E33" i="7"/>
  <c r="E24" i="7"/>
  <c r="E11" i="7"/>
  <c r="E6" i="7"/>
  <c r="D13" i="6"/>
  <c r="M8" i="2"/>
  <c r="K8" i="2"/>
  <c r="C28" i="2"/>
  <c r="C23" i="2" l="1"/>
  <c r="C24" i="2"/>
  <c r="C21" i="2"/>
  <c r="C16" i="2"/>
  <c r="C22" i="2"/>
  <c r="C17" i="2"/>
  <c r="C15" i="2"/>
  <c r="C27" i="2"/>
  <c r="C11" i="2"/>
  <c r="E68" i="7"/>
  <c r="C13" i="2"/>
  <c r="C20" i="2" l="1"/>
  <c r="C25" i="2"/>
  <c r="C12" i="2"/>
  <c r="C18" i="2" l="1"/>
  <c r="L8" i="2"/>
  <c r="C26" i="2" l="1"/>
  <c r="C31" i="2" s="1"/>
  <c r="I8" i="2"/>
</calcChain>
</file>

<file path=xl/sharedStrings.xml><?xml version="1.0" encoding="utf-8"?>
<sst xmlns="http://schemas.openxmlformats.org/spreadsheetml/2006/main" count="16509" uniqueCount="16471">
  <si>
    <t>LOGOFONIATRÍA</t>
  </si>
  <si>
    <t>COGNICIÓN</t>
  </si>
  <si>
    <t>MONTA TERAPÉUTICA</t>
  </si>
  <si>
    <t>PSICOTERAPIA ASISTIDA</t>
  </si>
  <si>
    <t>CONOCIENDO MI CABALLO</t>
  </si>
  <si>
    <t>VAULTING</t>
  </si>
  <si>
    <t>EQUITACIÓN</t>
  </si>
  <si>
    <t>NEURODESARROLLO</t>
  </si>
  <si>
    <t>CEMS</t>
  </si>
  <si>
    <t>FISIOTERAPIA</t>
  </si>
  <si>
    <t>HIDROTERAPIA</t>
  </si>
  <si>
    <t>EMT</t>
  </si>
  <si>
    <t>NADO LIBRE</t>
  </si>
  <si>
    <t>NATACIÓN BEBÉS</t>
  </si>
  <si>
    <t>NATACIÓN INDIVIDUAL</t>
  </si>
  <si>
    <t>NATACIÓN GRUPAL</t>
  </si>
  <si>
    <t>PSICOLOGÍA</t>
  </si>
  <si>
    <t xml:space="preserve">VALORACIONES MÉDICAS </t>
  </si>
  <si>
    <t>SEMANA DE PAGO</t>
  </si>
  <si>
    <t xml:space="preserve">NATACIÓN </t>
  </si>
  <si>
    <t>CLIENTE FACTURA</t>
  </si>
  <si>
    <t>FOLIO</t>
  </si>
  <si>
    <t>NOMBRE</t>
  </si>
  <si>
    <t>SERVICIO</t>
  </si>
  <si>
    <t>VXS</t>
  </si>
  <si>
    <t>PAGO</t>
  </si>
  <si>
    <t>PRECIO DE LISTA</t>
  </si>
  <si>
    <t xml:space="preserve">INSC. / RECARGO </t>
  </si>
  <si>
    <t>DESCUENTO</t>
  </si>
  <si>
    <t>RECARGOS</t>
  </si>
  <si>
    <t>COMENTARIOS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</si>
  <si>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</si>
  <si>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</si>
  <si>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</si>
  <si>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</si>
  <si>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</si>
  <si>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</si>
  <si>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</si>
  <si>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</si>
  <si>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</si>
  <si>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</si>
  <si>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</si>
  <si>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</si>
  <si>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</si>
  <si>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</si>
  <si>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</si>
  <si>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</si>
  <si>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</si>
  <si>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</si>
  <si>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</si>
  <si>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</si>
  <si>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</si>
  <si>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</si>
  <si>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</si>
  <si>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</si>
  <si>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</si>
  <si>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</si>
  <si>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</si>
  <si>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</si>
  <si>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</si>
  <si>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</si>
  <si>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</si>
  <si>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</si>
  <si>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</si>
  <si>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</si>
  <si>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</si>
  <si>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</si>
  <si>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</si>
  <si>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</si>
  <si>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</si>
  <si>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</si>
  <si>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</si>
  <si>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</si>
  <si>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</si>
  <si>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</si>
  <si>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</si>
  <si>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</si>
  <si>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</si>
  <si>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</si>
  <si>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</si>
  <si>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</si>
  <si>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</si>
  <si>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</si>
  <si>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</si>
  <si>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</si>
  <si>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</si>
  <si>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</si>
  <si>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</si>
  <si>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</si>
  <si>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</si>
  <si>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</si>
  <si>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</si>
  <si>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</si>
  <si>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</si>
  <si>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</si>
  <si>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</si>
  <si>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</si>
  <si>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</si>
  <si>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</si>
  <si>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</si>
  <si>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</si>
  <si>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</si>
  <si>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</si>
  <si>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</si>
  <si>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</si>
  <si>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</si>
  <si>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</si>
  <si>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</si>
  <si>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</si>
  <si>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</si>
  <si>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</si>
  <si>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</si>
  <si>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</si>
  <si>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</si>
  <si>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</si>
  <si>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</si>
  <si>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</si>
  <si>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</si>
  <si>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</si>
  <si>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</si>
  <si>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</si>
  <si>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</si>
  <si>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</si>
  <si>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</si>
  <si>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</si>
  <si>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</si>
  <si>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</si>
  <si>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</si>
  <si>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</si>
  <si>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</si>
  <si>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</si>
  <si>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</si>
  <si>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</si>
  <si>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</si>
  <si>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</si>
  <si>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</si>
  <si>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</si>
  <si>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</si>
  <si>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</si>
  <si>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</si>
  <si>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</si>
  <si>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</si>
  <si>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</si>
  <si>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</si>
  <si>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</si>
  <si>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</si>
  <si>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</si>
  <si>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</si>
  <si>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</si>
  <si>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</si>
  <si>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</si>
  <si>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</si>
  <si>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</si>
  <si>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</si>
  <si>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</si>
  <si>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</si>
  <si>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</si>
  <si>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</si>
  <si>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</si>
  <si>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</si>
  <si>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</si>
  <si>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</si>
  <si>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</si>
  <si>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</si>
  <si>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</si>
  <si>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</si>
  <si>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</si>
  <si>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</si>
  <si>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</si>
  <si>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</si>
  <si>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</si>
  <si>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</si>
  <si>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</si>
  <si>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</si>
  <si>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</si>
  <si>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</si>
  <si>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</si>
  <si>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</si>
  <si>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</si>
  <si>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</si>
  <si>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</si>
  <si>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</si>
  <si>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</si>
  <si>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</si>
  <si>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</si>
  <si>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</si>
  <si>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</si>
  <si>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</si>
  <si>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</si>
  <si>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</si>
  <si>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</si>
  <si>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</si>
  <si>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</si>
  <si>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</si>
  <si>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</si>
  <si>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</si>
  <si>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</si>
  <si>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</si>
  <si>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</si>
  <si>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</si>
  <si>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</si>
  <si>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</si>
  <si>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</si>
  <si>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</si>
  <si>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</si>
  <si>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</si>
  <si>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</si>
  <si>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</si>
  <si>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</si>
  <si>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</si>
  <si>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</si>
  <si>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</si>
  <si>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</si>
  <si>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</si>
  <si>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</si>
  <si>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</si>
  <si>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</si>
  <si>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</si>
  <si>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</si>
  <si>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</si>
  <si>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</si>
  <si>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</si>
  <si>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</si>
  <si>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</si>
  <si>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</si>
  <si>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</si>
  <si>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</si>
  <si>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</si>
  <si>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</si>
  <si>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</si>
  <si>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</si>
  <si>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</si>
  <si>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</si>
  <si>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</si>
  <si>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</si>
  <si>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</si>
  <si>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</si>
  <si>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</si>
  <si>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</si>
  <si>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</si>
  <si>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</si>
  <si>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</si>
  <si>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</si>
  <si>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</si>
  <si>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</si>
  <si>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</si>
  <si>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</si>
  <si>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</si>
  <si>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</si>
  <si>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</si>
  <si>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</si>
  <si>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</si>
  <si>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</si>
  <si>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</si>
  <si>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</si>
  <si>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</si>
  <si>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</si>
  <si>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</si>
  <si>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</si>
  <si>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</si>
  <si>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</si>
  <si>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</si>
  <si>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</si>
  <si>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</si>
  <si>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</si>
  <si>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</si>
  <si>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</si>
  <si>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</si>
  <si>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</si>
  <si>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</si>
  <si>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</si>
  <si>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</si>
  <si>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</si>
  <si>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</si>
  <si>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</si>
  <si>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</si>
  <si>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</si>
  <si>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</si>
  <si>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</si>
  <si>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</si>
  <si>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</si>
  <si>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</si>
  <si>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</si>
  <si>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</si>
  <si>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</si>
  <si>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</si>
  <si>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</si>
  <si>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</si>
  <si>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</si>
  <si>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</si>
  <si>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</si>
  <si>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</si>
  <si>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</si>
  <si>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</si>
  <si>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</si>
  <si>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</si>
  <si>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</si>
  <si>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</si>
  <si>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</si>
  <si>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</si>
  <si>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</si>
  <si>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</si>
  <si>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</si>
  <si>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</si>
  <si>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</si>
  <si>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</si>
  <si>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</si>
  <si>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</si>
  <si>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</si>
  <si>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</si>
  <si>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</si>
  <si>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</si>
  <si>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</si>
  <si>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</si>
  <si>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</si>
  <si>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</si>
  <si>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</si>
  <si>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</si>
  <si>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</si>
  <si>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</si>
  <si>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</si>
  <si>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</si>
  <si>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</si>
  <si>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</si>
  <si>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</si>
  <si>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</si>
  <si>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</si>
  <si>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</si>
  <si>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</si>
  <si>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</si>
  <si>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</si>
  <si>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</si>
  <si>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</si>
  <si>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</si>
  <si>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</si>
  <si>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</si>
  <si>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</si>
  <si>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</si>
  <si>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</si>
  <si>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</si>
  <si>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</si>
  <si>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</si>
  <si>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</si>
  <si>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</si>
  <si>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</si>
  <si>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</si>
  <si>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</si>
  <si>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</si>
  <si>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</si>
  <si>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</si>
  <si>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</si>
  <si>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</si>
  <si>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</si>
  <si>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</si>
  <si>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</si>
  <si>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</si>
  <si>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</si>
  <si>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</si>
  <si>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</si>
  <si>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</si>
  <si>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</si>
  <si>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</si>
  <si>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</si>
  <si>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</si>
  <si>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</si>
  <si>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</si>
  <si>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</si>
  <si>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</si>
  <si>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</si>
  <si>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</si>
  <si>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</si>
  <si>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</si>
  <si>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</si>
  <si>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</si>
  <si>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</si>
  <si>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</si>
  <si>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</si>
  <si>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</si>
  <si>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</si>
  <si>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</si>
  <si>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</si>
  <si>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</si>
  <si>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</si>
  <si>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</si>
  <si>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</si>
  <si>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</si>
  <si>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</si>
  <si>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</si>
  <si>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</si>
  <si>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</si>
  <si>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</si>
  <si>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</si>
  <si>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</si>
  <si>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</si>
  <si>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</si>
  <si>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</si>
  <si>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</si>
  <si>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</si>
  <si>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</si>
  <si>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</si>
  <si>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</si>
  <si>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</si>
  <si>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</si>
  <si>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</si>
  <si>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</si>
  <si>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</si>
  <si>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</si>
  <si>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</si>
  <si>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</si>
  <si>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</si>
  <si>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</si>
  <si>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</si>
  <si>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</si>
  <si>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</si>
  <si>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</si>
  <si>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</si>
  <si>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</si>
  <si>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</si>
  <si>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</si>
  <si>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</si>
  <si>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</si>
  <si>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</si>
  <si>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</si>
  <si>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</si>
  <si>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</si>
  <si>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</si>
  <si>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</si>
  <si>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</si>
  <si>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</si>
  <si>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</si>
  <si>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</si>
  <si>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</si>
  <si>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</si>
  <si>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</si>
  <si>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</si>
  <si>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</si>
  <si>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</si>
  <si>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</si>
  <si>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</si>
  <si>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</si>
  <si>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</si>
  <si>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</si>
  <si>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</si>
  <si>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</si>
  <si>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</si>
  <si>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</si>
  <si>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</si>
  <si>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</si>
  <si>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</si>
  <si>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</si>
  <si>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</si>
  <si>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</si>
  <si>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</si>
  <si>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</si>
  <si>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</si>
  <si>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</si>
  <si>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</si>
  <si>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</si>
  <si>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</si>
  <si>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</si>
  <si>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</si>
  <si>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</si>
  <si>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</si>
  <si>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</si>
  <si>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</si>
  <si>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</si>
  <si>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</si>
  <si>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</si>
  <si>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</si>
  <si>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</si>
  <si>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</si>
  <si>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</si>
  <si>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</si>
  <si>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</si>
  <si>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</si>
  <si>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</si>
  <si>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</si>
  <si>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</si>
  <si>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</si>
  <si>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</si>
  <si>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</si>
  <si>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</si>
  <si>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</si>
  <si>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</si>
  <si>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</si>
  <si>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</si>
  <si>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</si>
  <si>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</si>
  <si>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</si>
  <si>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</si>
  <si>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</si>
  <si>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</si>
  <si>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</si>
  <si>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</si>
  <si>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</si>
  <si>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</si>
  <si>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</si>
  <si>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</si>
  <si>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</si>
  <si>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</si>
  <si>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</si>
  <si>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</si>
  <si>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</si>
  <si>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</si>
  <si>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</si>
  <si>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</si>
  <si>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</si>
  <si>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</si>
  <si>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</si>
  <si>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</si>
  <si>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</si>
  <si>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</si>
  <si>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</si>
  <si>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</si>
  <si>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</si>
  <si>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</si>
  <si>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</si>
  <si>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</si>
  <si>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</si>
  <si>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</si>
  <si>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</si>
  <si>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</si>
  <si>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</si>
  <si>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</si>
  <si>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</si>
  <si>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</si>
  <si>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</si>
  <si>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</si>
  <si>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</si>
  <si>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</si>
  <si>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</si>
  <si>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</si>
  <si>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</si>
  <si>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</si>
  <si>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</si>
  <si>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</si>
  <si>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</si>
  <si>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</si>
  <si>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</si>
  <si>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</si>
  <si>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</si>
  <si>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</si>
  <si>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</si>
  <si>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</si>
  <si>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</si>
  <si>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</si>
  <si>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</si>
  <si>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</si>
  <si>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</si>
  <si>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</si>
  <si>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</si>
  <si>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</si>
  <si>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</si>
  <si>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</si>
  <si>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</si>
  <si>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</si>
  <si>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</si>
  <si>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</si>
  <si>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</si>
  <si>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</si>
  <si>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</si>
  <si>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</si>
  <si>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</si>
  <si>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</si>
  <si>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</si>
  <si>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</si>
  <si>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</si>
  <si>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</si>
  <si>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</si>
  <si>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</si>
  <si>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</si>
  <si>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</si>
  <si>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</si>
  <si>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</si>
  <si>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</si>
  <si>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</si>
  <si>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</si>
  <si>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</si>
  <si>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</si>
  <si>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</si>
  <si>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</si>
  <si>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</si>
  <si>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</si>
  <si>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</si>
  <si>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</si>
  <si>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</si>
  <si>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</si>
  <si>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</si>
  <si>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</si>
  <si>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</si>
  <si>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</si>
  <si>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</si>
  <si>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</si>
  <si>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</si>
  <si>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</si>
  <si>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</si>
  <si>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</si>
  <si>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</si>
  <si>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</si>
  <si>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</si>
  <si>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</si>
  <si>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</si>
  <si>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</si>
  <si>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</si>
  <si>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</si>
  <si>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</si>
  <si>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</si>
  <si>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</si>
  <si>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</si>
  <si>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</si>
  <si>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</si>
  <si>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</si>
  <si>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</si>
  <si>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</si>
  <si>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</si>
  <si>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</si>
  <si>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</si>
  <si>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</si>
  <si>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</si>
  <si>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</si>
  <si>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</si>
  <si>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</si>
  <si>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</si>
  <si>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</si>
  <si>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</si>
  <si>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</si>
  <si>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</si>
  <si>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</si>
  <si>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</si>
  <si>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</si>
  <si>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</si>
  <si>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</si>
  <si>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</si>
  <si>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</si>
  <si>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</si>
  <si>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</si>
  <si>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</si>
  <si>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</si>
  <si>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</si>
  <si>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</si>
  <si>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</si>
  <si>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</si>
  <si>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</si>
  <si>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</si>
  <si>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</si>
  <si>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</si>
  <si>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</si>
  <si>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</si>
  <si>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</si>
  <si>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</si>
  <si>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</si>
  <si>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</si>
  <si>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</si>
  <si>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</si>
  <si>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</si>
  <si>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</si>
  <si>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</si>
  <si>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</si>
  <si>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</si>
  <si>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</si>
  <si>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</si>
  <si>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</si>
  <si>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</si>
  <si>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</si>
  <si>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</si>
  <si>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</si>
  <si>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</si>
  <si>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</si>
  <si>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</si>
  <si>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</si>
  <si>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</si>
  <si>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</si>
  <si>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</si>
  <si>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</si>
  <si>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</si>
  <si>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</si>
  <si>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</si>
  <si>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</si>
  <si>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</si>
  <si>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</si>
  <si>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</si>
  <si>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</si>
  <si>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</si>
  <si>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</si>
  <si>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</si>
  <si>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</si>
  <si>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</si>
  <si>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</si>
  <si>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</si>
  <si>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</si>
  <si>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</si>
  <si>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</si>
  <si>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</si>
  <si>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</si>
  <si>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</si>
  <si>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</si>
  <si>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</si>
  <si>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</si>
  <si>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</si>
  <si>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</si>
  <si>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</si>
  <si>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</si>
  <si>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</si>
  <si>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</si>
  <si>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</si>
  <si>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</si>
  <si>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</si>
  <si>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</si>
  <si>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</si>
  <si>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</si>
  <si>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</si>
  <si>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</si>
  <si>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</si>
  <si>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</si>
  <si>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</si>
  <si>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</si>
  <si>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</si>
  <si>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</si>
  <si>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</si>
  <si>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</si>
  <si>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</si>
  <si>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</si>
  <si>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</si>
  <si>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</si>
  <si>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</si>
  <si>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</si>
  <si>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</si>
  <si>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</si>
  <si>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</si>
  <si>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</si>
  <si>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</si>
  <si>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</si>
  <si>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</si>
  <si>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</si>
  <si>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</si>
  <si>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</si>
  <si>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</si>
  <si>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</si>
  <si>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</si>
  <si>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</si>
  <si>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</si>
  <si>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</si>
  <si>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</si>
  <si>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</si>
  <si>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</si>
  <si>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</si>
  <si>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</si>
  <si>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</si>
  <si>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</si>
  <si>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</si>
  <si>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</si>
  <si>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</si>
  <si>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</si>
  <si>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</si>
  <si>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</si>
  <si>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</si>
  <si>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</si>
  <si>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</si>
  <si>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</si>
  <si>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</si>
  <si>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</si>
  <si>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</si>
  <si>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</si>
  <si>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</si>
  <si>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</si>
  <si>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</si>
  <si>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</si>
  <si>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</si>
  <si>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</si>
  <si>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</si>
  <si>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</si>
  <si>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</si>
  <si>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</si>
  <si>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</si>
  <si>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</si>
  <si>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</si>
  <si>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</si>
  <si>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</si>
  <si>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</si>
  <si>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</si>
  <si>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</si>
  <si>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</si>
  <si>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</si>
  <si>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</si>
  <si>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</si>
  <si>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</si>
  <si>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</si>
  <si>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</si>
  <si>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</si>
  <si>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</si>
  <si>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</si>
  <si>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</si>
  <si>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</si>
  <si>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</si>
  <si>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</si>
  <si>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</si>
  <si>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</si>
  <si>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</si>
  <si>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</si>
  <si>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</si>
  <si>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</si>
  <si>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</si>
  <si>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</si>
  <si>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</si>
  <si>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</si>
  <si>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</si>
  <si>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</si>
  <si>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</si>
  <si>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</si>
  <si>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</si>
  <si>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</si>
  <si>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</si>
  <si>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</si>
  <si>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</si>
  <si>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</si>
  <si>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</si>
  <si>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</si>
  <si>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</si>
  <si>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</si>
  <si>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</si>
  <si>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</si>
  <si>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</si>
  <si>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</si>
  <si>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</si>
  <si>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</si>
  <si>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</si>
  <si>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</si>
  <si>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</si>
  <si>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</si>
  <si>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</si>
  <si>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</si>
  <si>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</si>
  <si>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</si>
  <si>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</si>
  <si>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</si>
  <si>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</si>
  <si>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</si>
  <si>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</si>
  <si>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</si>
  <si>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</si>
  <si>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</si>
  <si>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</si>
  <si>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</si>
  <si>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</si>
  <si>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</si>
  <si>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</si>
  <si>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</si>
  <si>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</si>
  <si>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</si>
  <si>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</si>
  <si>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</si>
  <si>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</si>
  <si>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</si>
  <si>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</si>
  <si>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</si>
  <si>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</si>
  <si>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</si>
  <si>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</si>
  <si>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</si>
  <si>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</si>
  <si>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</si>
  <si>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</si>
  <si>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</si>
  <si>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</si>
  <si>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</si>
  <si>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</si>
  <si>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</si>
  <si>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</si>
  <si>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</si>
  <si>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</si>
  <si>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</si>
  <si>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</si>
  <si>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</si>
  <si>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</si>
  <si>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</si>
  <si>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</si>
  <si>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</si>
  <si>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</si>
  <si>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</si>
  <si>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</si>
  <si>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</si>
  <si>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</si>
  <si>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</si>
  <si>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</si>
  <si>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</si>
  <si>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</si>
  <si>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</si>
  <si>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</si>
  <si>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</si>
  <si>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</si>
  <si>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</si>
  <si>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</si>
  <si>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</si>
  <si>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</si>
  <si>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</si>
  <si>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</si>
  <si>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</si>
  <si>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</si>
  <si>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</si>
  <si>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</si>
  <si>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</si>
  <si>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</si>
  <si>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</si>
  <si>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</si>
  <si>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</si>
  <si>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</si>
  <si>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</si>
  <si>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</si>
  <si>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</si>
  <si>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</si>
  <si>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</si>
  <si>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</si>
  <si>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</si>
  <si>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</si>
  <si>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</si>
  <si>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</si>
  <si>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</si>
  <si>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</si>
  <si>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</si>
  <si>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</si>
  <si>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</si>
  <si>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</si>
  <si>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</si>
  <si>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</si>
  <si>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</si>
  <si>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</si>
  <si>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</si>
  <si>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</si>
  <si>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</si>
  <si>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</si>
  <si>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</si>
  <si>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</si>
  <si>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</si>
  <si>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</si>
  <si>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</si>
  <si>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</si>
  <si>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</si>
  <si>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</si>
  <si>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</si>
  <si>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</si>
  <si>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</si>
  <si>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</si>
  <si>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</si>
  <si>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</si>
  <si>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</si>
  <si>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</si>
  <si>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</si>
  <si>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</si>
  <si>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</si>
  <si>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</si>
  <si>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</si>
  <si>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</si>
  <si>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</si>
  <si>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</si>
  <si>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</si>
  <si>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</si>
  <si>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</si>
  <si>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</si>
  <si>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</si>
  <si>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</si>
  <si>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</si>
  <si>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</si>
  <si>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</si>
  <si>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</si>
  <si>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</si>
  <si>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</si>
  <si>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</si>
  <si>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</si>
  <si>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</si>
  <si>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</si>
  <si>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</si>
  <si>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</si>
  <si>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</si>
  <si>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</si>
  <si>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</si>
  <si>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</si>
  <si>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</si>
  <si>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</si>
  <si>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</si>
  <si>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</si>
  <si>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</si>
  <si>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</si>
  <si>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</si>
  <si>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</si>
  <si>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</si>
  <si>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</si>
  <si>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</si>
  <si>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</si>
  <si>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</si>
  <si>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</si>
  <si>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</si>
  <si>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</si>
  <si>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</si>
  <si>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</si>
  <si>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</si>
  <si>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</si>
  <si>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</si>
  <si>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</si>
  <si>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</si>
  <si>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</si>
  <si>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</si>
  <si>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</si>
  <si>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</si>
  <si>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</si>
  <si>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</si>
  <si>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</si>
  <si>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</si>
  <si>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</si>
  <si>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</si>
  <si>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</si>
  <si>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</si>
  <si>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</si>
  <si>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</si>
  <si>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</si>
  <si>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</si>
  <si>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</si>
  <si>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</si>
  <si>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</si>
  <si>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</si>
  <si>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</si>
  <si>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</si>
  <si>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</si>
  <si>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</si>
  <si>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</si>
  <si>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</si>
  <si>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</si>
  <si>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</si>
  <si>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</si>
  <si>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</si>
  <si>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</si>
  <si>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</si>
  <si>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</si>
  <si>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</si>
  <si>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</si>
  <si>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</si>
  <si>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</si>
  <si>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</si>
  <si>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</si>
  <si>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</si>
  <si>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</si>
  <si>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</si>
  <si>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</si>
  <si>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</si>
  <si>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</si>
  <si>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</si>
  <si>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</si>
  <si>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</si>
  <si>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</si>
  <si>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</si>
  <si>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</si>
  <si>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</si>
  <si>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</si>
  <si>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</si>
  <si>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</si>
  <si>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</si>
  <si>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</si>
  <si>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</si>
  <si>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</si>
  <si>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</si>
  <si>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</si>
  <si>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</si>
  <si>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</si>
  <si>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</si>
  <si>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</si>
  <si>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</si>
  <si>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</si>
  <si>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</si>
  <si>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</si>
  <si>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</si>
  <si>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</si>
  <si>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</si>
  <si>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</si>
  <si>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</si>
  <si>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</si>
  <si>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</si>
  <si>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</si>
  <si>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</si>
  <si>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</si>
  <si>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</si>
  <si>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</si>
  <si>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</si>
  <si>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</si>
  <si>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</si>
  <si>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</si>
  <si>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</si>
  <si>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</si>
  <si>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</si>
  <si>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</si>
  <si>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</si>
  <si>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</si>
  <si>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</si>
  <si>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</si>
  <si>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</si>
  <si>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</si>
  <si>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</si>
  <si>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</si>
  <si>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</si>
  <si>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</si>
  <si>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</si>
  <si>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</si>
  <si>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</si>
  <si>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</si>
  <si>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</si>
  <si>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</si>
  <si>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</si>
  <si>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</si>
  <si>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</si>
  <si>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</si>
  <si>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</si>
  <si>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</si>
  <si>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</si>
  <si>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</si>
  <si>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</si>
  <si>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</si>
  <si>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</si>
  <si>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</si>
  <si>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</si>
  <si>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</si>
  <si>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</si>
  <si>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</si>
  <si>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</si>
  <si>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</si>
  <si>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</si>
  <si>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</si>
  <si>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</si>
  <si>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</si>
  <si>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</si>
  <si>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</si>
  <si>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</si>
  <si>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</si>
  <si>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</si>
  <si>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</si>
  <si>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</si>
  <si>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</si>
  <si>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</si>
  <si>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</si>
  <si>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</si>
  <si>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</si>
  <si>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</si>
  <si>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</si>
  <si>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</si>
  <si>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</si>
  <si>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</si>
  <si>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</si>
  <si>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</si>
  <si>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</si>
  <si>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</si>
  <si>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</si>
  <si>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</si>
  <si>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</si>
  <si>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</si>
  <si>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</si>
  <si>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</si>
  <si>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</si>
  <si>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</si>
  <si>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</si>
  <si>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</si>
  <si>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</si>
  <si>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</si>
  <si>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</si>
  <si>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</si>
  <si>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</si>
  <si>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</si>
  <si>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</si>
  <si>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</si>
  <si>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</si>
  <si>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</si>
  <si>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</si>
  <si>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</si>
  <si>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</si>
  <si>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</si>
  <si>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</si>
  <si>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</si>
  <si>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</si>
  <si>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</si>
  <si>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</si>
  <si>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</si>
  <si>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</si>
  <si>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</si>
  <si>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</si>
  <si>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</si>
  <si>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</si>
  <si>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</si>
  <si>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</si>
  <si>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</si>
  <si>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</si>
  <si>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</si>
  <si>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</si>
  <si>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</si>
  <si>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</si>
  <si>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</si>
  <si>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</si>
  <si>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</si>
  <si>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</si>
  <si>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</si>
  <si>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</si>
  <si>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</si>
  <si>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</si>
  <si>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</si>
  <si>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</si>
  <si>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</si>
  <si>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</si>
  <si>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</si>
  <si>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</si>
  <si>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</si>
  <si>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</si>
  <si>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</si>
  <si>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</si>
  <si>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</si>
  <si>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</si>
  <si>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</si>
  <si>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</si>
  <si>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</si>
  <si>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</si>
  <si>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</si>
  <si>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</si>
  <si>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</si>
  <si>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</si>
  <si>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</si>
  <si>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</si>
  <si>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</si>
  <si>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</si>
  <si>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</si>
  <si>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</si>
  <si>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</si>
  <si>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</si>
  <si>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</si>
  <si>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</si>
  <si>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</si>
  <si>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</si>
  <si>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</si>
  <si>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</si>
  <si>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</si>
  <si>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</si>
  <si>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</si>
  <si>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</si>
  <si>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</si>
  <si>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</si>
  <si>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</si>
  <si>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</si>
  <si>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</si>
  <si>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</si>
  <si>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</si>
  <si>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</si>
  <si>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</si>
  <si>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</si>
  <si>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</si>
  <si>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</si>
  <si>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</si>
  <si>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</si>
  <si>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</si>
  <si>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</si>
  <si>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</si>
  <si>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</si>
  <si>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</si>
  <si>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</si>
  <si>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</si>
  <si>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</si>
  <si>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</si>
  <si>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</si>
  <si>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</si>
  <si>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</si>
  <si>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</si>
  <si>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</si>
  <si>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</si>
  <si>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</si>
  <si>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</si>
  <si>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</si>
  <si>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</si>
  <si>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</si>
  <si>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</si>
  <si>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</si>
  <si>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</si>
  <si>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</si>
  <si>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</si>
  <si>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</si>
  <si>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</si>
  <si>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</si>
  <si>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</si>
  <si>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</si>
  <si>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</si>
  <si>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</si>
  <si>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</si>
  <si>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</si>
  <si>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</si>
  <si>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</si>
  <si>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</si>
  <si>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</si>
  <si>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</si>
  <si>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</si>
  <si>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</si>
  <si>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</si>
  <si>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</si>
  <si>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</si>
  <si>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</si>
  <si>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</si>
  <si>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</si>
  <si>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</si>
  <si>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</si>
  <si>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</si>
  <si>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</si>
  <si>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</si>
  <si>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</si>
  <si>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</si>
  <si>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</si>
  <si>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</si>
  <si>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</si>
  <si>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</si>
  <si>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</si>
  <si>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</si>
  <si>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</si>
  <si>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</si>
  <si>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</si>
  <si>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</si>
  <si>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</si>
  <si>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</si>
  <si>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</si>
  <si>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</si>
  <si>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</si>
  <si>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</si>
  <si>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</si>
  <si>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</si>
  <si>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</si>
  <si>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</si>
  <si>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</si>
  <si>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</si>
  <si>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</si>
  <si>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</si>
  <si>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</si>
  <si>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</si>
  <si>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</si>
  <si>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</si>
  <si>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</si>
  <si>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</si>
  <si>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</si>
  <si>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</si>
  <si>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</si>
  <si>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</si>
  <si>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</si>
  <si>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</si>
  <si>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</si>
  <si>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</si>
  <si>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</si>
  <si>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</si>
  <si>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</si>
  <si>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</si>
  <si>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</si>
  <si>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</si>
  <si>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</si>
  <si>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</si>
  <si>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</si>
  <si>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</si>
  <si>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</si>
  <si>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</si>
  <si>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</si>
  <si>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</si>
  <si>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</si>
  <si>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</si>
  <si>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</si>
  <si>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</si>
  <si>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</si>
  <si>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</si>
  <si>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</si>
  <si>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</si>
  <si>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</si>
  <si>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</si>
  <si>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</si>
  <si>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</si>
  <si>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</si>
  <si>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</si>
  <si>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</si>
  <si>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</si>
  <si>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</si>
  <si>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</si>
  <si>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</si>
  <si>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</si>
  <si>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</si>
  <si>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</si>
  <si>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</si>
  <si>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</si>
  <si>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</si>
  <si>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</si>
  <si>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</si>
  <si>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</si>
  <si>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</si>
  <si>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</si>
  <si>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</si>
  <si>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</si>
  <si>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</si>
  <si>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</si>
  <si>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</si>
  <si>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</si>
  <si>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</si>
  <si>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</si>
  <si>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</si>
  <si>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</si>
  <si>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</si>
  <si>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</si>
  <si>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</si>
  <si>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</si>
  <si>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</si>
  <si>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</si>
  <si>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</si>
  <si>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</si>
  <si>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</si>
  <si>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</si>
  <si>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</si>
  <si>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</si>
  <si>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</si>
  <si>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</si>
  <si>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</si>
  <si>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</si>
  <si>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</si>
  <si>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</si>
  <si>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</si>
  <si>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</si>
  <si>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</si>
  <si>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</si>
  <si>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</si>
  <si>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</si>
  <si>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</si>
  <si>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</si>
  <si>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</si>
  <si>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</si>
  <si>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</si>
  <si>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</si>
  <si>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</si>
  <si>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</si>
  <si>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</si>
  <si>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</si>
  <si>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</si>
  <si>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</si>
  <si>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</si>
  <si>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</si>
  <si>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</si>
  <si>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</si>
  <si>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</si>
  <si>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</si>
  <si>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</si>
  <si>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</si>
  <si>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</si>
  <si>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</si>
  <si>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</si>
  <si>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</si>
  <si>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</si>
  <si>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</si>
  <si>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</si>
  <si>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</si>
  <si>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</si>
  <si>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</si>
  <si>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</si>
  <si>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</si>
  <si>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</si>
  <si>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</si>
  <si>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</si>
  <si>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</si>
  <si>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</si>
  <si>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</si>
  <si>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</si>
  <si>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</si>
  <si>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</si>
  <si>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</si>
  <si>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</si>
  <si>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</si>
  <si>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</si>
  <si>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</si>
  <si>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</si>
  <si>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</si>
  <si>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</si>
  <si>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</si>
  <si>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</si>
  <si>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</si>
  <si>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</si>
  <si>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</si>
  <si>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</si>
  <si>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</si>
  <si>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</si>
  <si>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</si>
  <si>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</si>
  <si>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</si>
  <si>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</si>
  <si>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</si>
  <si>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</si>
  <si>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</si>
  <si>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</si>
  <si>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</si>
  <si>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</si>
  <si>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</si>
  <si>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</si>
  <si>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</si>
  <si>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</si>
  <si>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</si>
  <si>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</si>
  <si>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</si>
  <si>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</si>
  <si>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</si>
  <si>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</si>
  <si>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</si>
  <si>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</si>
  <si>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</si>
  <si>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</si>
  <si>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</si>
  <si>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</si>
  <si>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</si>
  <si>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</si>
  <si>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</si>
  <si>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</si>
  <si>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</si>
  <si>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</si>
  <si>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</si>
  <si>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</si>
  <si>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</si>
  <si>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</si>
  <si>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</si>
  <si>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</si>
  <si>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</si>
  <si>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</si>
  <si>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</si>
  <si>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</si>
  <si>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</si>
  <si>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</si>
  <si>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</si>
  <si>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</si>
  <si>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</si>
  <si>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</si>
  <si>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</si>
  <si>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</si>
  <si>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</si>
  <si>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</si>
  <si>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</si>
  <si>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</si>
  <si>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</si>
  <si>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</si>
  <si>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</si>
  <si>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</si>
  <si>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</si>
  <si>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</si>
  <si>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</si>
  <si>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</si>
  <si>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</si>
  <si>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</si>
  <si>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</si>
  <si>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</si>
  <si>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</si>
  <si>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</si>
  <si>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</si>
  <si>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</si>
  <si>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</si>
  <si>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</si>
  <si>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</si>
  <si>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</si>
  <si>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</si>
  <si>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</si>
  <si>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</si>
  <si>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</si>
  <si>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</si>
  <si>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</si>
  <si>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</si>
  <si>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</si>
  <si>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</si>
  <si>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</si>
  <si>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</si>
  <si>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</si>
  <si>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</si>
  <si>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</si>
  <si>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</si>
  <si>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</si>
  <si>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</si>
  <si>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</si>
  <si>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</si>
  <si>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</si>
  <si>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</si>
  <si>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</si>
  <si>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</si>
  <si>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</si>
  <si>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</si>
  <si>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</si>
  <si>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</si>
  <si>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</si>
  <si>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</si>
  <si>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</si>
  <si>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</si>
  <si>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</si>
  <si>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</si>
  <si>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</si>
  <si>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</si>
  <si>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</si>
  <si>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</si>
  <si>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</si>
  <si>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</si>
  <si>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</si>
  <si>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</si>
  <si>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</si>
  <si>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</si>
  <si>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</si>
  <si>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</si>
  <si>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</si>
  <si>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</si>
  <si>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</si>
  <si>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</si>
  <si>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</si>
  <si>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</si>
  <si>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</si>
  <si>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</si>
  <si>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</si>
  <si>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</si>
  <si>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</si>
  <si>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</si>
  <si>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</si>
  <si>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</si>
  <si>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</si>
  <si>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</si>
  <si>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</si>
  <si>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</si>
  <si>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</si>
  <si>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</si>
  <si>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</si>
  <si>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</si>
  <si>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</si>
  <si>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</si>
  <si>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</si>
  <si>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</si>
  <si>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</si>
  <si>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</si>
  <si>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</si>
  <si>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</si>
  <si>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</si>
  <si>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</si>
  <si>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</si>
  <si>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</si>
  <si>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</si>
  <si>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</si>
  <si>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</si>
  <si>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</si>
  <si>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</si>
  <si>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</si>
  <si>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</si>
  <si>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</si>
  <si>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</si>
  <si>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</si>
  <si>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</si>
  <si>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</si>
  <si>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</si>
  <si>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</si>
  <si>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</si>
  <si>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</si>
  <si>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</si>
  <si>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</si>
  <si>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</si>
  <si>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</si>
  <si>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</si>
  <si>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</si>
  <si>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</si>
  <si>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</si>
  <si>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</si>
  <si>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</si>
  <si>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</si>
  <si>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</si>
  <si>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</si>
  <si>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</si>
  <si>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</si>
  <si>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</si>
  <si>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</si>
  <si>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</si>
  <si>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</si>
  <si>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</si>
  <si>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</si>
  <si>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</si>
  <si>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</si>
  <si>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</si>
  <si>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</si>
  <si>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</si>
  <si>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</si>
  <si>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</si>
  <si>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</si>
  <si>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</si>
  <si>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</si>
  <si>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</si>
  <si>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</si>
  <si>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</si>
  <si>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</si>
  <si>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</si>
  <si>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</si>
  <si>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</si>
  <si>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</si>
  <si>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</si>
  <si>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</si>
  <si>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</si>
  <si>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</si>
  <si>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</si>
  <si>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</si>
  <si>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</si>
  <si>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</si>
  <si>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</si>
  <si>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</si>
  <si>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</si>
  <si>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</si>
  <si>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</si>
  <si>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</si>
  <si>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</si>
  <si>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</si>
  <si>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</si>
  <si>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</si>
  <si>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</si>
  <si>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</si>
  <si>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</si>
  <si>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</si>
  <si>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</si>
  <si>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</si>
  <si>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</si>
  <si>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</si>
  <si>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</si>
  <si>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</si>
  <si>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</si>
  <si>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</si>
  <si>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</si>
  <si>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</si>
  <si>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</si>
  <si>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</si>
  <si>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</si>
  <si>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</si>
  <si>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</si>
  <si>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</si>
  <si>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</si>
  <si>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</si>
  <si>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</si>
  <si>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</si>
  <si>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</si>
  <si>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</si>
  <si>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</si>
  <si>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</si>
  <si>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</si>
  <si>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</si>
  <si>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</si>
  <si>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</si>
  <si>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</si>
  <si>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</si>
  <si>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</si>
  <si>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</si>
  <si>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</si>
  <si>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</si>
  <si>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</si>
  <si>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</si>
  <si>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</si>
  <si>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</si>
  <si>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</si>
  <si>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</si>
  <si>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</si>
  <si>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</si>
  <si>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</si>
  <si>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</si>
  <si>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</si>
  <si>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</si>
  <si>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</si>
  <si>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</si>
  <si>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</si>
  <si>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</si>
  <si>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</si>
  <si>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</si>
  <si>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</si>
  <si>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</si>
  <si>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</si>
  <si>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</si>
  <si>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</si>
  <si>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</si>
  <si>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</si>
  <si>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</si>
  <si>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</si>
  <si>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</si>
  <si>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</si>
  <si>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</si>
  <si>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</si>
  <si>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</si>
  <si>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</si>
  <si>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</si>
  <si>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</si>
  <si>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</si>
  <si>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</si>
  <si>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</si>
  <si>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</si>
  <si>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</si>
  <si>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</si>
  <si>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</si>
  <si>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</si>
  <si>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</si>
  <si>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</si>
  <si>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</si>
  <si>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</si>
  <si>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</si>
  <si>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</si>
  <si>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</si>
  <si>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</si>
  <si>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</si>
  <si>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</si>
  <si>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</si>
  <si>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</si>
  <si>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</si>
  <si>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</si>
  <si>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</si>
  <si>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</si>
  <si>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</si>
  <si>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</si>
  <si>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</si>
  <si>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</si>
  <si>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</si>
  <si>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</si>
  <si>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</si>
  <si>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</si>
  <si>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</si>
  <si>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</si>
  <si>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</si>
  <si>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</si>
  <si>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</si>
  <si>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</si>
  <si>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</si>
  <si>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</si>
  <si>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</si>
  <si>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</si>
  <si>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</si>
  <si>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</si>
  <si>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</si>
  <si>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</si>
  <si>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</si>
  <si>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</si>
  <si>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</si>
  <si>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</si>
  <si>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</si>
  <si>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</si>
  <si>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</si>
  <si>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</si>
  <si>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</si>
  <si>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</si>
  <si>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</si>
  <si>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</si>
  <si>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</si>
  <si>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</si>
  <si>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</si>
  <si>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</si>
  <si>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</si>
  <si>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</si>
  <si>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</si>
  <si>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</si>
  <si>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</si>
  <si>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</si>
  <si>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</si>
  <si>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</si>
  <si>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</si>
  <si>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</si>
  <si>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</si>
  <si>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</si>
  <si>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</si>
  <si>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</si>
  <si>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</si>
  <si>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</si>
  <si>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</si>
  <si>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</si>
  <si>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</si>
  <si>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</si>
  <si>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</si>
  <si>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</si>
  <si>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</si>
  <si>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</si>
  <si>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</si>
  <si>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</si>
  <si>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</si>
  <si>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</si>
  <si>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</si>
  <si>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</si>
  <si>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</si>
  <si>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</si>
  <si>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</si>
  <si>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</si>
  <si>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</si>
  <si>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</si>
  <si>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</si>
  <si>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</si>
  <si>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</si>
  <si>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</si>
  <si>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</si>
  <si>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</si>
  <si>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</si>
  <si>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</si>
  <si>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</si>
  <si>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</si>
  <si>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</si>
  <si>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</si>
  <si>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</si>
  <si>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</si>
  <si>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</si>
  <si>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</si>
  <si>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</si>
  <si>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</si>
  <si>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</si>
  <si>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</si>
  <si>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</si>
  <si>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</si>
  <si>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</si>
  <si>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</si>
  <si>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</si>
  <si>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</si>
  <si>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</si>
  <si>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</si>
  <si>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</si>
  <si>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</si>
  <si>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</si>
  <si>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</si>
  <si>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</si>
  <si>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</si>
  <si>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</si>
  <si>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</si>
  <si>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</si>
  <si>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</si>
  <si>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</si>
  <si>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</si>
  <si>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</si>
  <si>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</si>
  <si>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</si>
  <si>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</si>
  <si>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</si>
  <si>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</si>
  <si>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</si>
  <si>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</si>
  <si>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</si>
  <si>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</si>
  <si>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</si>
  <si>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</si>
  <si>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</si>
  <si>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</si>
  <si>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</si>
  <si>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</si>
  <si>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</si>
  <si>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</si>
  <si>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</si>
  <si>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</si>
  <si>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</si>
  <si>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</si>
  <si>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</si>
  <si>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</si>
  <si>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</si>
  <si>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</si>
  <si>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</si>
  <si>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</si>
  <si>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</si>
  <si>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</si>
  <si>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</si>
  <si>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</si>
  <si>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</si>
  <si>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</si>
  <si>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</si>
  <si>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</si>
  <si>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</si>
  <si>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</si>
  <si>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</si>
  <si>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</si>
  <si>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</si>
  <si>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</si>
  <si>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</si>
  <si>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</si>
  <si>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</si>
  <si>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</si>
  <si>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</si>
  <si>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</si>
  <si>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</si>
  <si>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</si>
  <si>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</si>
  <si>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</si>
  <si>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</si>
  <si>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</si>
  <si>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</si>
  <si>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</si>
  <si>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</si>
  <si>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</si>
  <si>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</si>
  <si>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</si>
  <si>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</si>
  <si>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</si>
  <si>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</si>
  <si>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</si>
  <si>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</si>
  <si>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</si>
  <si>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</si>
  <si>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</si>
  <si>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</si>
  <si>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</si>
  <si>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</si>
  <si>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</si>
  <si>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</si>
  <si>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</si>
  <si>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</si>
  <si>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</si>
  <si>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</si>
  <si>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</si>
  <si>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</si>
  <si>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</si>
  <si>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</si>
  <si>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</si>
  <si>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</si>
  <si>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</si>
  <si>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</si>
  <si>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</si>
  <si>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</si>
  <si>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</si>
  <si>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</si>
  <si>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</si>
  <si>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</si>
  <si>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</si>
  <si>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</si>
  <si>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</si>
  <si>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</si>
  <si>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</si>
  <si>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</si>
  <si>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</si>
  <si>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</si>
  <si>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</si>
  <si>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</si>
  <si>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</si>
  <si>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</si>
  <si>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</si>
  <si>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</si>
  <si>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</si>
  <si>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</si>
  <si>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</si>
  <si>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</si>
  <si>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</si>
  <si>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</si>
  <si>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</si>
  <si>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</si>
  <si>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</si>
  <si>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</si>
  <si>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</si>
  <si>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</si>
  <si>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</si>
  <si>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</si>
  <si>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</si>
  <si>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</si>
  <si>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</si>
  <si>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</si>
  <si>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</si>
  <si>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</si>
  <si>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</si>
  <si>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</si>
  <si>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</si>
  <si>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</si>
  <si>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</si>
  <si>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</si>
  <si>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</si>
  <si>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</si>
  <si>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</si>
  <si>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</si>
  <si>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</si>
  <si>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</si>
  <si>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</si>
  <si>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</si>
  <si>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</si>
  <si>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</si>
  <si>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</si>
  <si>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</si>
  <si>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</si>
  <si>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</si>
  <si>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</si>
  <si>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</si>
  <si>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</si>
  <si>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</si>
  <si>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</si>
  <si>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</si>
  <si>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</si>
  <si>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</si>
  <si>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</si>
  <si>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</si>
  <si>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</si>
  <si>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</si>
  <si>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</si>
  <si>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</si>
  <si>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</si>
  <si>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</si>
  <si>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</si>
  <si>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</si>
  <si>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</si>
  <si>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</si>
  <si>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</si>
  <si>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</si>
  <si>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</si>
  <si>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</si>
  <si>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</si>
  <si>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</si>
  <si>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</si>
  <si>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</si>
  <si>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</si>
  <si>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</si>
  <si>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</si>
  <si>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</si>
  <si>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</si>
  <si>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</si>
  <si>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</si>
  <si>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</si>
  <si>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</si>
  <si>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</si>
  <si>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</si>
  <si>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</si>
  <si>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</si>
  <si>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</si>
  <si>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</si>
  <si>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</si>
  <si>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</si>
  <si>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</si>
  <si>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</si>
  <si>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</si>
  <si>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</si>
  <si>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</si>
  <si>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</si>
  <si>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</si>
  <si>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</si>
  <si>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</si>
  <si>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</si>
  <si>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</si>
  <si>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</si>
  <si>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</si>
  <si>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</si>
  <si>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</si>
  <si>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</si>
  <si>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</si>
  <si>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</si>
  <si>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</si>
  <si>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</si>
  <si>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</si>
  <si>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</si>
  <si>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</si>
  <si>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</si>
  <si>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</si>
  <si>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</si>
  <si>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</si>
  <si>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</si>
  <si>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</si>
  <si>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</si>
  <si>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</si>
  <si>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</si>
  <si>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</si>
  <si>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</si>
  <si>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</si>
  <si>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</si>
  <si>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</si>
  <si>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</si>
  <si>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</si>
  <si>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</si>
  <si>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</si>
  <si>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</si>
  <si>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</si>
  <si>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</si>
  <si>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</si>
  <si>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</si>
  <si>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</si>
  <si>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</si>
  <si>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</si>
  <si>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</si>
  <si>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</si>
  <si>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</si>
  <si>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</si>
  <si>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</si>
  <si>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</si>
  <si>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</si>
  <si>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</si>
  <si>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</si>
  <si>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</si>
  <si>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</si>
  <si>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</si>
  <si>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</si>
  <si>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</si>
  <si>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</si>
  <si>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</si>
  <si>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</si>
  <si>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</si>
  <si>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</si>
  <si>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</si>
  <si>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</si>
  <si>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</si>
  <si>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</si>
  <si>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</si>
  <si>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</si>
  <si>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</si>
  <si>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</si>
  <si>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</si>
  <si>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</si>
  <si>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</si>
  <si>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</si>
  <si>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</si>
  <si>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</si>
  <si>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</si>
  <si>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</si>
  <si>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</si>
  <si>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</si>
  <si>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</si>
  <si>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</si>
  <si>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</si>
  <si>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</si>
  <si>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</si>
  <si>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</si>
  <si>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</si>
  <si>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</si>
  <si>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</si>
  <si>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</si>
  <si>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</si>
  <si>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</si>
  <si>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</si>
  <si>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</si>
  <si>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</si>
  <si>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</si>
  <si>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</si>
  <si>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</si>
  <si>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</si>
  <si>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</si>
  <si>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</si>
  <si>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</si>
  <si>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</si>
  <si>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</si>
  <si>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</si>
  <si>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</si>
  <si>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</si>
  <si>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</si>
  <si>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</si>
  <si>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</si>
  <si>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</si>
  <si>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</si>
  <si>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</si>
  <si>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</si>
  <si>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</si>
  <si>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</si>
  <si>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</si>
  <si>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</si>
  <si>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</si>
  <si>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</si>
  <si>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</si>
  <si>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</si>
  <si>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</si>
  <si>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</si>
  <si>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</si>
  <si>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</si>
  <si>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</si>
  <si>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</si>
  <si>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</si>
  <si>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</si>
  <si>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</si>
  <si>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</si>
  <si>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</si>
  <si>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</si>
  <si>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</si>
  <si>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</si>
  <si>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</si>
  <si>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</si>
  <si>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</si>
  <si>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</si>
  <si>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</si>
  <si>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</si>
  <si>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</si>
  <si>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</si>
  <si>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</si>
  <si>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</si>
  <si>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</si>
  <si>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</si>
  <si>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</si>
  <si>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</si>
  <si>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</si>
  <si>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</si>
  <si>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</si>
  <si>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</si>
  <si>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</si>
  <si>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</si>
  <si>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</si>
  <si>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</si>
  <si>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</si>
  <si>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</si>
  <si>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</si>
  <si>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</si>
  <si>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</si>
  <si>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</si>
  <si>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</si>
  <si>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</si>
  <si>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</si>
  <si>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</si>
  <si>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</si>
  <si>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</si>
  <si>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</si>
  <si>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</si>
  <si>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</si>
  <si>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</si>
  <si>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</si>
  <si>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</si>
  <si>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</si>
  <si>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</si>
  <si>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</si>
  <si>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</si>
  <si>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</si>
  <si>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</si>
  <si>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</si>
  <si>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</si>
  <si>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</si>
  <si>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</si>
  <si>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</si>
  <si>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</si>
  <si>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</si>
  <si>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</si>
  <si>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</si>
  <si>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</si>
  <si>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</si>
  <si>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</si>
  <si>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</si>
  <si>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</si>
  <si>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</si>
  <si>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</si>
  <si>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</si>
  <si>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</si>
  <si>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</si>
  <si>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</si>
  <si>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</si>
  <si>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</si>
  <si>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</si>
  <si>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</si>
  <si>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</si>
  <si>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</si>
  <si>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</si>
  <si>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</si>
  <si>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</si>
  <si>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</si>
  <si>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</si>
  <si>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</si>
  <si>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</si>
  <si>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</si>
  <si>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</si>
  <si>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</si>
  <si>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</si>
  <si>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</si>
  <si>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</si>
  <si>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</si>
  <si>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</si>
  <si>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</si>
  <si>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</si>
  <si>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</si>
  <si>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</si>
  <si>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</si>
  <si>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</si>
  <si>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</si>
  <si>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</si>
  <si>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</si>
  <si>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</si>
  <si>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</si>
  <si>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</si>
  <si>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</si>
  <si>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</si>
  <si>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</si>
  <si>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</si>
  <si>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</si>
  <si>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</si>
  <si>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</si>
  <si>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</si>
  <si>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</si>
  <si>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</si>
  <si>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</si>
  <si>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</si>
  <si>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</si>
  <si>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</si>
  <si>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</si>
  <si>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</si>
  <si>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</si>
  <si>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</si>
  <si>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</si>
  <si>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</si>
  <si>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</si>
  <si>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</si>
  <si>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</si>
  <si>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</si>
  <si>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</si>
  <si>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</si>
  <si>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</si>
  <si>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</si>
  <si>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</si>
  <si>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</si>
  <si>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</si>
  <si>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</si>
  <si>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</si>
  <si>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</si>
  <si>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</si>
  <si>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</si>
  <si>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</si>
  <si>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</si>
  <si>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</si>
  <si>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</si>
  <si>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</si>
  <si>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</si>
  <si>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</si>
  <si>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</si>
  <si>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</si>
  <si>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</si>
  <si>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</si>
  <si>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</si>
  <si>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</si>
  <si>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</si>
  <si>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</si>
  <si>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</si>
  <si>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</si>
  <si>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</si>
  <si>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</si>
  <si>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</si>
  <si>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</si>
  <si>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</si>
  <si>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</si>
  <si>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</si>
  <si>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</si>
  <si>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</si>
  <si>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</si>
  <si>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</si>
  <si>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</si>
  <si>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</si>
  <si>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</si>
  <si>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</si>
  <si>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</si>
  <si>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</si>
  <si>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</si>
  <si>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</si>
  <si>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</si>
  <si>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</si>
  <si>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</si>
  <si>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</si>
  <si>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</si>
  <si>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</si>
  <si>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</si>
  <si>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</si>
  <si>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</si>
  <si>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</si>
  <si>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</si>
  <si>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</si>
  <si>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</si>
  <si>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</si>
  <si>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</si>
  <si>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</si>
  <si>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</si>
  <si>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</si>
  <si>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</si>
  <si>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</si>
  <si>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</si>
  <si>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</si>
  <si>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</si>
  <si>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</si>
  <si>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</si>
  <si>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</si>
  <si>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</si>
  <si>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</si>
  <si>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</si>
  <si>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</si>
  <si>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</si>
  <si>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</si>
  <si>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</si>
  <si>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</si>
  <si>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</si>
  <si>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</si>
  <si>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</si>
  <si>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</si>
  <si>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</si>
  <si>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</si>
  <si>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</si>
  <si>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</si>
  <si>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</si>
  <si>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</si>
  <si>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</si>
  <si>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</si>
  <si>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</si>
  <si>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</si>
  <si>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</si>
  <si>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</si>
  <si>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</si>
  <si>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</si>
  <si>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</si>
  <si>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</si>
  <si>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</si>
  <si>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</si>
  <si>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</si>
  <si>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</si>
  <si>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</si>
  <si>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</si>
  <si>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</si>
  <si>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</si>
  <si>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</si>
  <si>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</si>
  <si>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</si>
  <si>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</si>
  <si>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</si>
  <si>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</si>
  <si>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</si>
  <si>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</si>
  <si>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</si>
  <si>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</si>
  <si>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</si>
  <si>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</si>
  <si>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</si>
  <si>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</si>
  <si>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</si>
  <si>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</si>
  <si>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</si>
  <si>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</si>
  <si>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</si>
  <si>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</si>
  <si>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</si>
  <si>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</si>
  <si>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</si>
  <si>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</si>
  <si>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</si>
  <si>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</si>
  <si>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</si>
  <si>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</si>
  <si>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</si>
  <si>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</si>
  <si>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</si>
  <si>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</si>
  <si>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</si>
  <si>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</si>
  <si>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</si>
  <si>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</si>
  <si>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</si>
  <si>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</si>
  <si>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</si>
  <si>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</si>
  <si>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</si>
  <si>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</si>
  <si>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</si>
  <si>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</si>
  <si>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</si>
  <si>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</si>
  <si>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</si>
  <si>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</si>
  <si>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</si>
  <si>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</si>
  <si>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</si>
  <si>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</si>
  <si>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</si>
  <si>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</si>
  <si>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</si>
  <si>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</si>
  <si>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</si>
  <si>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</si>
  <si>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</si>
  <si>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</si>
  <si>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</si>
  <si>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</si>
  <si>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</si>
  <si>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</si>
  <si>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</si>
  <si>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</si>
  <si>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</si>
  <si>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</si>
  <si>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</si>
  <si>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</si>
  <si>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</si>
  <si>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</si>
  <si>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</si>
  <si>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</si>
  <si>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</si>
  <si>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</si>
  <si>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</si>
  <si>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</si>
  <si>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</si>
  <si>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</si>
  <si>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</si>
  <si>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</si>
  <si>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</si>
  <si>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</si>
  <si>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</si>
  <si>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</si>
  <si>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</si>
  <si>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</si>
  <si>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</si>
  <si>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</si>
  <si>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</si>
  <si>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</si>
  <si>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</si>
  <si>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</si>
  <si>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</si>
  <si>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</si>
  <si>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</si>
  <si>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</si>
  <si>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</si>
  <si>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</si>
  <si>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</si>
  <si>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</si>
  <si>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</si>
  <si>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</si>
  <si>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</si>
  <si>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</si>
  <si>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</si>
  <si>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</si>
  <si>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</si>
  <si>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</si>
  <si>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</si>
  <si>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</si>
  <si>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</si>
  <si>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</si>
  <si>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</si>
  <si>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</si>
  <si>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</si>
  <si>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</si>
  <si>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</si>
  <si>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</si>
  <si>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</si>
  <si>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</si>
  <si>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</si>
  <si>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</si>
  <si>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</si>
  <si>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</si>
  <si>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</si>
  <si>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</si>
  <si>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</si>
  <si>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</si>
  <si>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</si>
  <si>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</si>
  <si>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</si>
  <si>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</si>
  <si>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</si>
  <si>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</si>
  <si>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</si>
  <si>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</si>
  <si>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</si>
  <si>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</si>
  <si>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</si>
  <si>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</si>
  <si>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</si>
  <si>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</si>
  <si>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</si>
  <si>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</si>
  <si>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</si>
  <si>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</si>
  <si>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</si>
  <si>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</si>
  <si>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</si>
  <si>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</si>
  <si>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</si>
  <si>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</si>
  <si>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</si>
  <si>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</si>
  <si>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</si>
  <si>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</si>
  <si>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</si>
  <si>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</si>
  <si>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</si>
  <si>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</si>
  <si>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</si>
  <si>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</si>
  <si>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</si>
  <si>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</si>
  <si>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</si>
  <si>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</si>
  <si>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</si>
  <si>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</si>
  <si>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</si>
  <si>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</si>
  <si>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</si>
  <si>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</si>
  <si>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</si>
  <si>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</si>
  <si>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</si>
  <si>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</si>
  <si>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</si>
  <si>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</si>
  <si>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</si>
  <si>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</si>
  <si>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</si>
  <si>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</si>
  <si>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</si>
  <si>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</si>
  <si>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</si>
  <si>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</si>
  <si>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</si>
  <si>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</si>
  <si>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</si>
  <si>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</si>
  <si>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</si>
  <si>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</si>
  <si>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</si>
  <si>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</si>
  <si>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</si>
  <si>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</si>
  <si>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</si>
  <si>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</si>
  <si>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</si>
  <si>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</si>
  <si>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</si>
  <si>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</si>
  <si>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</si>
  <si>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</si>
  <si>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</si>
  <si>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</si>
  <si>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</si>
  <si>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</si>
  <si>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</si>
  <si>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</si>
  <si>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</si>
  <si>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</si>
  <si>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</si>
  <si>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</si>
  <si>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</si>
  <si>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</si>
  <si>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</si>
  <si>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</si>
  <si>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</si>
  <si>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</si>
  <si>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</si>
  <si>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</si>
  <si>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</si>
  <si>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</si>
  <si>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</si>
  <si>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</si>
  <si>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</si>
  <si>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</si>
  <si>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</si>
  <si>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</si>
  <si>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</si>
  <si>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</si>
  <si>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</si>
  <si>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</si>
  <si>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</si>
  <si>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</si>
  <si>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</si>
  <si>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</si>
  <si>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</si>
  <si>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</si>
  <si>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</si>
  <si>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</si>
  <si>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</si>
  <si>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</si>
  <si>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</si>
  <si>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</si>
  <si>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</si>
  <si>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</si>
  <si>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</si>
  <si>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</si>
  <si>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</si>
  <si>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</si>
  <si>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</si>
  <si>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</si>
  <si>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</si>
  <si>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</si>
  <si>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</si>
  <si>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</si>
  <si>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</si>
  <si>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</si>
  <si>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</si>
  <si>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</si>
  <si>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</si>
  <si>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</si>
  <si>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</si>
  <si>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</si>
  <si>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</si>
  <si>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</si>
  <si>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</si>
  <si>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</si>
  <si>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</si>
  <si>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</si>
  <si>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</si>
  <si>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</si>
  <si>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</si>
  <si>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</si>
  <si>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</si>
  <si>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</si>
  <si>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</si>
  <si>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</si>
  <si>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</si>
  <si>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</si>
  <si>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</si>
  <si>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</si>
  <si>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</si>
  <si>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</si>
  <si>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</si>
  <si>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</si>
  <si>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</si>
  <si>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</si>
  <si>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</si>
  <si>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</si>
  <si>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</si>
  <si>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</si>
  <si>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</si>
  <si>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</si>
  <si>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</si>
  <si>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</si>
  <si>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</si>
  <si>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</si>
  <si>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</si>
  <si>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</si>
  <si>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</si>
  <si>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</si>
  <si>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</si>
  <si>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</si>
  <si>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</si>
  <si>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</si>
  <si>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</si>
  <si>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</si>
  <si>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</si>
  <si>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</si>
  <si>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</si>
  <si>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</si>
  <si>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</si>
  <si>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</si>
  <si>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</si>
  <si>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</si>
  <si>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</si>
  <si>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</si>
  <si>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</si>
  <si>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</si>
  <si>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</si>
  <si>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</si>
  <si>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</si>
  <si>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</si>
  <si>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</si>
  <si>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</si>
  <si>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</si>
  <si>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</si>
  <si>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</si>
  <si>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</si>
  <si>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</si>
  <si>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</si>
  <si>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</si>
  <si>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</si>
  <si>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</si>
  <si>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</si>
  <si>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</si>
  <si>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</si>
  <si>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</si>
  <si>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</si>
  <si>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</si>
  <si>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</si>
  <si>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</si>
  <si>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</si>
  <si>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</si>
  <si>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</si>
  <si>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</si>
  <si>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</si>
  <si>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</si>
  <si>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</si>
  <si>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</si>
  <si>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</si>
  <si>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</si>
  <si>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</si>
  <si>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</si>
  <si>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</si>
  <si>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</si>
  <si>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</si>
  <si>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</si>
  <si>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</si>
  <si>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</si>
  <si>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</si>
  <si>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</si>
  <si>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</si>
  <si>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</si>
  <si>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</si>
  <si>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</si>
  <si>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</si>
  <si>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</si>
  <si>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</si>
  <si>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</si>
  <si>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</si>
  <si>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</si>
  <si>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</si>
  <si>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</si>
  <si>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</si>
  <si>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</si>
  <si>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</si>
  <si>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</si>
  <si>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</si>
  <si>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</si>
  <si>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</si>
  <si>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</si>
  <si>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</si>
  <si>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</si>
  <si>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</si>
  <si>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</si>
  <si>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</si>
  <si>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</si>
  <si>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</si>
  <si>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</si>
  <si>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</si>
  <si>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</si>
  <si>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</si>
  <si>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</si>
  <si>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</si>
  <si>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</si>
  <si>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</si>
  <si>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</si>
  <si>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</si>
  <si>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</si>
  <si>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</si>
  <si>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</si>
  <si>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</si>
  <si>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</si>
  <si>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</si>
  <si>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</si>
  <si>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</si>
  <si>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</si>
  <si>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</si>
  <si>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</si>
  <si>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</si>
  <si>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</si>
  <si>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</si>
  <si>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</si>
  <si>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</si>
  <si>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</si>
  <si>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</si>
  <si>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</si>
  <si>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</si>
  <si>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</si>
  <si>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</si>
  <si>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</si>
  <si>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</si>
  <si>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</si>
  <si>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</si>
  <si>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</si>
  <si>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</si>
  <si>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</si>
  <si>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</si>
  <si>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</si>
  <si>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</si>
  <si>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</si>
  <si>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</si>
  <si>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</si>
  <si>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</si>
  <si>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</si>
  <si>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</si>
  <si>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</si>
  <si>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</si>
  <si>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</si>
  <si>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</si>
  <si>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</si>
  <si>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</si>
  <si>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</si>
  <si>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</si>
  <si>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</si>
  <si>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</si>
  <si>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</si>
  <si>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</si>
  <si>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</si>
  <si>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</si>
  <si>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</si>
  <si>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</si>
  <si>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</si>
  <si>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</si>
  <si>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</si>
  <si>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</si>
  <si>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</si>
  <si>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</si>
  <si>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</si>
  <si>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</si>
  <si>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</si>
  <si>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</si>
  <si>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</si>
  <si>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</si>
  <si>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</si>
  <si>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</si>
  <si>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</si>
  <si>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</si>
  <si>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</si>
  <si>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</si>
  <si>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</si>
  <si>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</si>
  <si>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</si>
  <si>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</si>
  <si>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</si>
  <si>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</si>
  <si>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</si>
  <si>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</si>
  <si>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</si>
  <si>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</si>
  <si>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</si>
  <si>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</si>
  <si>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</si>
  <si>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</si>
  <si>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</si>
  <si>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</si>
  <si>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</si>
  <si>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</si>
  <si>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</si>
  <si>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</si>
  <si>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</si>
  <si>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</si>
  <si>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</si>
  <si>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</si>
  <si>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</si>
  <si>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</si>
  <si>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</si>
  <si>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</si>
  <si>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</si>
  <si>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</si>
  <si>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</si>
  <si>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</si>
  <si>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</si>
  <si>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</si>
  <si>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</si>
  <si>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</si>
  <si>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</si>
  <si>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</si>
  <si>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</si>
  <si>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</si>
  <si>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</si>
  <si>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</si>
  <si>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</si>
  <si>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</si>
  <si>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</si>
  <si>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</si>
  <si>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</si>
  <si>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</si>
  <si>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</si>
  <si>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</si>
  <si>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</si>
  <si>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</si>
  <si>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</si>
  <si>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</si>
  <si>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</si>
  <si>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</si>
  <si>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</si>
  <si>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</si>
  <si>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</si>
  <si>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</si>
  <si>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</si>
  <si>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</si>
  <si>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</si>
  <si>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</si>
  <si>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</si>
  <si>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</si>
  <si>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</si>
  <si>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</si>
  <si>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</si>
  <si>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</si>
  <si>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</si>
  <si>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</si>
  <si>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</si>
  <si>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</si>
  <si>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</si>
  <si>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</si>
  <si>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</si>
  <si>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</si>
  <si>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</si>
  <si>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</si>
  <si>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</si>
  <si>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</si>
  <si>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</si>
  <si>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</si>
  <si>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</si>
  <si>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</si>
  <si>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</si>
  <si>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</si>
  <si>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</si>
  <si>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</si>
  <si>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</si>
  <si>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</si>
  <si>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</si>
  <si>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</si>
  <si>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</si>
  <si>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</si>
  <si>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</si>
  <si>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</si>
  <si>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</si>
  <si>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</si>
  <si>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</si>
  <si>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</si>
  <si>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</si>
  <si>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</si>
  <si>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</si>
  <si>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</si>
  <si>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</si>
  <si>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</si>
  <si>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</si>
  <si>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</si>
  <si>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</si>
  <si>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</si>
  <si>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</si>
  <si>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</si>
  <si>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</si>
  <si>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</si>
  <si>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</si>
  <si>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</si>
  <si>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</si>
  <si>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</si>
  <si>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</si>
  <si>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</si>
  <si>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</si>
  <si>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</si>
  <si>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</si>
  <si>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</si>
  <si>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</si>
  <si>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</si>
  <si>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</si>
  <si>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</si>
  <si>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</si>
  <si>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</si>
  <si>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</si>
  <si>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</si>
  <si>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</si>
  <si>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</si>
  <si>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</si>
  <si>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</si>
  <si>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</si>
  <si>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</si>
  <si>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</si>
  <si>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</si>
  <si>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</si>
  <si>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</si>
  <si>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</si>
  <si>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</si>
  <si>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</si>
  <si>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</si>
  <si>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</si>
  <si>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</si>
  <si>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</si>
  <si>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</si>
  <si>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</si>
  <si>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</si>
  <si>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</si>
  <si>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</si>
  <si>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</si>
  <si>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</si>
  <si>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</si>
  <si>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</si>
  <si>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</si>
  <si>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</si>
  <si>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</si>
  <si>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</si>
  <si>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</si>
  <si>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</si>
  <si>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</si>
  <si>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</si>
  <si>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</si>
  <si>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</si>
  <si>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</si>
  <si>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</si>
  <si>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</si>
  <si>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</si>
  <si>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</si>
  <si>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</si>
  <si>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</si>
  <si>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</si>
  <si>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</si>
  <si>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</si>
  <si>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</si>
  <si>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</si>
  <si>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</si>
  <si>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</si>
  <si>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</si>
  <si>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</si>
  <si>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</si>
  <si>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</si>
  <si>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</si>
  <si>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</si>
  <si>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</si>
  <si>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</si>
  <si>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</si>
  <si>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</si>
  <si>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</si>
  <si>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</si>
  <si>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</si>
  <si>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</si>
  <si>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</si>
  <si>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</si>
  <si>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</si>
  <si>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</si>
  <si>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</si>
  <si>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</si>
  <si>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</si>
  <si>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</si>
  <si>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</si>
  <si>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</si>
  <si>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</si>
  <si>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</si>
  <si>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</si>
  <si>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</si>
  <si>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</si>
  <si>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</si>
  <si>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</si>
  <si>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</si>
  <si>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</si>
  <si>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</si>
  <si>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</si>
  <si>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</si>
  <si>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</si>
  <si>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</si>
  <si>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</si>
  <si>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</si>
  <si>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</si>
  <si>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</si>
  <si>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</si>
  <si>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</si>
  <si>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</si>
  <si>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</si>
  <si>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</si>
  <si>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</si>
  <si>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</si>
  <si>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</si>
  <si>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</si>
  <si>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</si>
  <si>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</si>
  <si>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</si>
  <si>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</si>
  <si>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</si>
  <si>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</si>
  <si>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</si>
  <si>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</si>
  <si>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</si>
  <si>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</si>
  <si>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</si>
  <si>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</si>
  <si>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</si>
  <si>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</si>
  <si>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</si>
  <si>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</si>
  <si>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</si>
  <si>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</si>
  <si>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</si>
  <si>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</si>
  <si>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</si>
  <si>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</si>
  <si>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</si>
  <si>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</si>
  <si>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</si>
  <si>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</si>
  <si>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</si>
  <si>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</si>
  <si>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</si>
  <si>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</si>
  <si>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</si>
  <si>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</si>
  <si>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</si>
  <si>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</si>
  <si>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</si>
  <si>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</si>
  <si>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</si>
  <si>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</si>
  <si>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</si>
  <si>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</si>
  <si>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</si>
  <si>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</si>
  <si>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</si>
  <si>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</si>
  <si>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</si>
  <si>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</si>
  <si>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</si>
  <si>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</si>
  <si>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</si>
  <si>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</si>
  <si>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</si>
  <si>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</si>
  <si>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</si>
  <si>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</si>
  <si>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</si>
  <si>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</si>
  <si>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</si>
  <si>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</si>
  <si>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</si>
  <si>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</si>
  <si>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</si>
  <si>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</si>
  <si>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</si>
  <si>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</si>
  <si>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</si>
  <si>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</si>
  <si>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</si>
  <si>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</si>
  <si>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</si>
  <si>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</si>
  <si>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</si>
  <si>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</si>
  <si>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</si>
  <si>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</si>
  <si>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</si>
  <si>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</si>
  <si>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</si>
  <si>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</si>
  <si>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</si>
  <si>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</si>
  <si>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</si>
  <si>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</si>
  <si>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</si>
  <si>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</si>
  <si>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</si>
  <si>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</si>
  <si>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</si>
  <si>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</si>
  <si>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</si>
  <si>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</si>
  <si>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</si>
  <si>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</si>
  <si>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</si>
  <si>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</si>
  <si>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</si>
  <si>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</si>
  <si>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</si>
  <si>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</si>
  <si>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</si>
  <si>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</si>
  <si>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</si>
  <si>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</si>
  <si>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</si>
  <si>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</si>
  <si>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</si>
  <si>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</si>
  <si>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</si>
  <si>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</si>
  <si>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</si>
  <si>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</si>
  <si>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</si>
  <si>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</si>
  <si>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</si>
  <si>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</si>
  <si>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</si>
  <si>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</si>
  <si>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</si>
  <si>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</si>
  <si>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</si>
  <si>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</si>
  <si>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</si>
  <si>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</si>
  <si>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</si>
  <si>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</si>
  <si>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</si>
  <si>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</si>
  <si>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</si>
  <si>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</si>
  <si>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</si>
  <si>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</si>
  <si>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</si>
  <si>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</si>
  <si>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</si>
  <si>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</si>
  <si>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</si>
  <si>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</si>
  <si>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</si>
  <si>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</si>
  <si>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</si>
  <si>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</si>
  <si>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</si>
  <si>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</si>
  <si>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</si>
  <si>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</si>
  <si>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</si>
  <si>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</si>
  <si>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</si>
  <si>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</si>
  <si>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</si>
  <si>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</si>
  <si>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</si>
  <si>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</si>
  <si>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</si>
  <si>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</si>
  <si>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</si>
  <si>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</si>
  <si>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</si>
  <si>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</si>
  <si>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</si>
  <si>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</si>
  <si>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</si>
  <si>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</si>
  <si>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</si>
  <si>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</si>
  <si>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</si>
  <si>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</si>
  <si>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</si>
  <si>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</si>
  <si>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</si>
  <si>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</si>
  <si>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</si>
  <si>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</si>
  <si>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</si>
  <si>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</si>
  <si>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</si>
  <si>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</si>
  <si>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</si>
  <si>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</si>
  <si>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</si>
  <si>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</si>
  <si>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</si>
  <si>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</si>
  <si>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</si>
  <si>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</si>
  <si>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</si>
  <si>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</si>
  <si>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</si>
  <si>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</si>
  <si>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</si>
  <si>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</si>
  <si>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</si>
  <si>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</si>
  <si>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</si>
  <si>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</si>
  <si>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</si>
  <si>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</si>
  <si>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</si>
  <si>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</si>
  <si>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</si>
  <si>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</si>
  <si>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</si>
  <si>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</si>
  <si>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</si>
  <si>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</si>
  <si>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</si>
  <si>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</si>
  <si>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</si>
  <si>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</si>
  <si>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</si>
  <si>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</si>
  <si>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</si>
  <si>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</si>
  <si>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</si>
  <si>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</si>
  <si>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</si>
  <si>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</si>
  <si>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</si>
  <si>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</si>
  <si>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</si>
  <si>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</si>
  <si>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</si>
  <si>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</si>
  <si>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</si>
  <si>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</si>
  <si>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</si>
  <si>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</si>
  <si>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</si>
  <si>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</si>
  <si>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</si>
  <si>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</si>
  <si>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</si>
  <si>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</si>
  <si>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</si>
  <si>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</si>
  <si>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</si>
  <si>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</si>
  <si>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</si>
  <si>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</si>
  <si>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</si>
  <si>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</si>
  <si>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</si>
  <si>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</si>
  <si>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</si>
  <si>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</si>
  <si>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</si>
  <si>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</si>
  <si>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</si>
  <si>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</si>
  <si>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</si>
  <si>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</si>
  <si>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</si>
  <si>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</si>
  <si>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</si>
  <si>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</si>
  <si>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</si>
  <si>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</si>
  <si>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</si>
  <si>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</si>
  <si>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</si>
  <si>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</si>
  <si>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</si>
  <si>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</si>
  <si>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</si>
  <si>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</si>
  <si>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</si>
  <si>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</si>
  <si>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</si>
  <si>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</si>
  <si>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</si>
  <si>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</si>
  <si>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</si>
  <si>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</si>
  <si>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</si>
  <si>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</si>
  <si>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</si>
  <si>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</si>
  <si>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</si>
  <si>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</si>
  <si>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</si>
  <si>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</si>
  <si>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</si>
  <si>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</si>
  <si>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</si>
  <si>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</si>
  <si>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</si>
  <si>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</si>
  <si>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</si>
  <si>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</si>
  <si>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</si>
  <si>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</si>
  <si>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</si>
  <si>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</si>
  <si>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</si>
  <si>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</si>
  <si>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</si>
  <si>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</si>
  <si>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</si>
  <si>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</si>
  <si>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</si>
  <si>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</si>
  <si>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</si>
  <si>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</si>
  <si>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</si>
  <si>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</si>
  <si>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</si>
  <si>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</si>
  <si>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</si>
  <si>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</si>
  <si>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</si>
  <si>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</si>
  <si>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</si>
  <si>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</si>
  <si>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</si>
  <si>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</si>
  <si>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</si>
  <si>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</si>
  <si>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</si>
  <si>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</si>
  <si>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</si>
  <si>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</si>
  <si>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</si>
  <si>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</si>
  <si>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</si>
  <si>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</si>
  <si>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</si>
  <si>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</si>
  <si>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</si>
  <si>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</si>
  <si>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</si>
  <si>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</si>
  <si>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</si>
  <si>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</si>
  <si>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</si>
  <si>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</si>
  <si>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</si>
  <si>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</si>
  <si>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</si>
  <si>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</si>
  <si>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</si>
  <si>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</si>
  <si>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</si>
  <si>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</si>
  <si>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</si>
  <si>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</si>
  <si>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</si>
  <si>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</si>
  <si>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</si>
  <si>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</si>
  <si>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</si>
  <si>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</si>
  <si>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</si>
  <si>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</si>
  <si>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</si>
  <si>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</si>
  <si>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</si>
  <si>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</si>
  <si>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</si>
  <si>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</si>
  <si>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</si>
  <si>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</si>
  <si>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</si>
  <si>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</si>
  <si>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</si>
  <si>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</si>
  <si>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</si>
  <si>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</si>
  <si>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</si>
  <si>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</si>
  <si>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</si>
  <si>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</si>
  <si>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</si>
  <si>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</si>
  <si>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</si>
  <si>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</si>
  <si>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</si>
  <si>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</si>
  <si>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</si>
  <si>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</si>
  <si>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</si>
  <si>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</si>
  <si>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</si>
  <si>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</si>
  <si>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</si>
  <si>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</si>
  <si>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</si>
  <si>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</si>
  <si>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</si>
  <si>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</si>
  <si>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</si>
  <si>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</si>
  <si>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</si>
  <si>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</si>
  <si>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</si>
  <si>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</si>
  <si>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</si>
  <si>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</si>
  <si>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</si>
  <si>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</si>
  <si>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</si>
  <si>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</si>
  <si>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</si>
  <si>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</si>
  <si>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</si>
  <si>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</si>
  <si>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</si>
  <si>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</si>
  <si>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</si>
  <si>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</si>
  <si>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</si>
  <si>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</si>
  <si>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</si>
  <si>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</si>
  <si>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</si>
  <si>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</si>
  <si>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</si>
  <si>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</si>
  <si>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</si>
  <si>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</si>
  <si>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</si>
  <si>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</si>
  <si>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</si>
  <si>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</si>
  <si>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</si>
  <si>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</si>
  <si>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</si>
  <si>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</si>
  <si>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</si>
  <si>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</si>
  <si>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</si>
  <si>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</si>
  <si>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</si>
  <si>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</si>
  <si>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</si>
  <si>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</si>
  <si>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</si>
  <si>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</si>
  <si>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</si>
  <si>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</si>
  <si>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</si>
  <si>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</si>
  <si>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</si>
  <si>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</si>
  <si>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</si>
  <si>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</si>
  <si>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</si>
  <si>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</si>
  <si>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</si>
  <si>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</si>
  <si>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</si>
  <si>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</si>
  <si>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</si>
  <si>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</si>
  <si>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</si>
  <si>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</si>
  <si>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</si>
  <si>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</si>
  <si>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</si>
  <si>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</si>
  <si>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</si>
  <si>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</si>
  <si>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</si>
  <si>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</si>
  <si>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</si>
  <si>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</si>
  <si>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</si>
  <si>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</si>
  <si>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</si>
  <si>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</si>
  <si>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</si>
  <si>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</si>
  <si>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</si>
  <si>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</si>
  <si>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</si>
  <si>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</si>
  <si>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</si>
  <si>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</si>
  <si>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</si>
  <si>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</si>
  <si>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</si>
  <si>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</si>
  <si>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</si>
  <si>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</si>
  <si>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</si>
  <si>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</si>
  <si>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</si>
  <si>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</si>
  <si>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</si>
  <si>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</si>
  <si>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</si>
  <si>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</si>
  <si>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</si>
  <si>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</si>
  <si>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</si>
  <si>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</si>
  <si>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</si>
  <si>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</si>
  <si>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</si>
  <si>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</si>
  <si>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</si>
  <si>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</si>
  <si>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</si>
  <si>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</si>
  <si>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</si>
  <si>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</si>
  <si>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</si>
  <si>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</si>
  <si>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</si>
  <si>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</si>
  <si>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</si>
  <si>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</si>
  <si>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</si>
  <si>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</si>
  <si>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</si>
  <si>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</si>
  <si>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</si>
  <si>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</si>
  <si>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</si>
  <si>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</si>
  <si>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</si>
  <si>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</si>
  <si>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</si>
  <si>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</si>
  <si>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</si>
  <si>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</si>
  <si>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</si>
  <si>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</si>
  <si>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</si>
  <si>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</si>
  <si>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</si>
  <si>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</si>
  <si>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</si>
  <si>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</si>
  <si>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</si>
  <si>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</si>
  <si>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</si>
  <si>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</si>
  <si>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</si>
  <si>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</si>
  <si>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</si>
  <si>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</si>
  <si>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</si>
  <si>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</si>
  <si>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</si>
  <si>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</si>
  <si>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</si>
  <si>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</si>
  <si>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</si>
  <si>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</si>
  <si>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</si>
  <si>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</si>
  <si>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</si>
  <si>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</si>
  <si>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</si>
  <si>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</si>
  <si>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</si>
  <si>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</si>
  <si>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</si>
  <si>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</si>
  <si>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</si>
  <si>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</si>
  <si>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</si>
  <si>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</si>
  <si>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</si>
  <si>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</si>
  <si>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</si>
  <si>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</si>
  <si>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</si>
  <si>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</si>
  <si>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</si>
  <si>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</si>
  <si>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</si>
  <si>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</si>
  <si>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</si>
  <si>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</si>
  <si>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</si>
  <si>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</si>
  <si>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</si>
  <si>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</si>
  <si>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</si>
  <si>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</si>
  <si>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</si>
  <si>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</si>
  <si>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</si>
  <si>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</si>
  <si>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</si>
  <si>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</si>
  <si>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</si>
  <si>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</si>
  <si>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</si>
  <si>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</si>
  <si>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</si>
  <si>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</si>
  <si>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</si>
  <si>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</si>
  <si>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</si>
  <si>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</si>
  <si>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</si>
  <si>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</si>
  <si>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</si>
  <si>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</si>
  <si>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</si>
  <si>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</si>
  <si>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</si>
  <si>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</si>
  <si>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</si>
  <si>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</si>
  <si>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</si>
  <si>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</si>
  <si>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</si>
  <si>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</si>
  <si>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</si>
  <si>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</si>
  <si>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</si>
  <si>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</si>
  <si>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</si>
  <si>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</si>
  <si>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</si>
  <si>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</si>
  <si>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</si>
  <si>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</si>
  <si>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</si>
  <si>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</si>
  <si>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</si>
  <si>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</si>
  <si>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</si>
  <si>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</si>
  <si>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</si>
  <si>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</si>
  <si>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</si>
  <si>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</si>
  <si>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</si>
  <si>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</si>
  <si>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</si>
  <si>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</si>
  <si>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</si>
  <si>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</si>
  <si>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</si>
  <si>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</si>
  <si>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</si>
  <si>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</si>
  <si>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</si>
  <si>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</si>
  <si>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</si>
  <si>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</si>
  <si>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</si>
  <si>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</si>
  <si>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</si>
  <si>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</si>
  <si>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</si>
  <si>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</si>
  <si>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</si>
  <si>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</si>
  <si>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</si>
  <si>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</si>
  <si>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</si>
  <si>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</si>
  <si>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</si>
  <si>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</si>
  <si>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</si>
  <si>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</si>
  <si>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</si>
  <si>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</si>
  <si>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</si>
  <si>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</si>
  <si>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</si>
  <si>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</si>
  <si>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</si>
  <si>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</si>
  <si>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</si>
  <si>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</si>
  <si>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</si>
  <si>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</si>
  <si>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</si>
  <si>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</si>
  <si>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</si>
  <si>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</si>
  <si>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</si>
  <si>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</si>
  <si>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</si>
  <si>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</si>
  <si>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</si>
  <si>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</si>
  <si>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</si>
  <si>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</si>
  <si>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</si>
  <si>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</si>
  <si>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</si>
  <si>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</si>
  <si>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</si>
  <si>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</si>
  <si>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</si>
  <si>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</si>
  <si>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</si>
  <si>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</si>
  <si>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</si>
  <si>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</si>
  <si>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</si>
  <si>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</si>
  <si>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</si>
  <si>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</si>
  <si>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</si>
  <si>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</si>
  <si>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</si>
  <si>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</si>
  <si>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</si>
  <si>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</si>
  <si>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</si>
  <si>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</si>
  <si>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</si>
  <si>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</si>
  <si>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</si>
  <si>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</si>
  <si>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</si>
  <si>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</si>
  <si>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</si>
  <si>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</si>
  <si>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</si>
  <si>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</si>
  <si>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</si>
  <si>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</si>
  <si>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</si>
  <si>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</si>
  <si>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</si>
  <si>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</si>
  <si>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</si>
  <si>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</si>
  <si>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</si>
  <si>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</si>
  <si>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</si>
  <si>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</si>
  <si>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</si>
  <si>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</si>
  <si>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</si>
  <si>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</si>
  <si>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</si>
  <si>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</si>
  <si>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</si>
  <si>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</si>
  <si>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</si>
  <si>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</si>
  <si>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</si>
  <si>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</si>
  <si>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</si>
  <si>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</si>
  <si>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</si>
  <si>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</si>
  <si>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</si>
  <si>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</si>
  <si>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</si>
  <si>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</si>
  <si>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</si>
  <si>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</si>
  <si>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</si>
  <si>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</si>
  <si>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</si>
  <si>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</si>
  <si>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</si>
  <si>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</si>
  <si>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</si>
  <si>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</si>
  <si>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</si>
  <si>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</si>
  <si>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</si>
  <si>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</si>
  <si>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</si>
  <si>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</si>
  <si>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</si>
  <si>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</si>
  <si>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</si>
  <si>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</si>
  <si>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</si>
  <si>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</si>
  <si>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</si>
  <si>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</si>
  <si>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</si>
  <si>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</si>
  <si>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</si>
  <si>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</si>
  <si>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</si>
  <si>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</si>
  <si>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</si>
  <si>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</si>
  <si>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</si>
  <si>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</si>
  <si>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</si>
  <si>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</si>
  <si>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</si>
  <si>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</si>
  <si>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</si>
  <si>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</si>
  <si>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</si>
  <si>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</si>
  <si>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</si>
  <si>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</si>
  <si>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</si>
  <si>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</si>
  <si>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</si>
  <si>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</si>
  <si>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</si>
  <si>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</si>
  <si>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</si>
  <si>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</si>
  <si>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</si>
  <si>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</si>
  <si>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</si>
  <si>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</si>
  <si>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</si>
  <si>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</si>
  <si>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</si>
  <si>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</si>
  <si>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</si>
  <si>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</si>
  <si>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</si>
  <si>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</si>
  <si>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</si>
  <si>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</si>
  <si>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</si>
  <si>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</si>
  <si>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</si>
  <si>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</si>
  <si>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</si>
  <si>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</si>
  <si>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</si>
  <si>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</si>
  <si>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</si>
  <si>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</si>
  <si>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</si>
  <si>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</si>
  <si>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</si>
  <si>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</si>
  <si>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</si>
  <si>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</si>
  <si>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</si>
  <si>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</si>
  <si>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</si>
  <si>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</si>
  <si>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</si>
  <si>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</si>
  <si>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</si>
  <si>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</si>
  <si>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</si>
  <si>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</si>
  <si>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</si>
  <si>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</si>
  <si>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</si>
  <si>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</si>
  <si>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</si>
  <si>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</si>
  <si>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</si>
  <si>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</si>
  <si>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</si>
  <si>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</si>
  <si>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</si>
  <si>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</si>
  <si>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</si>
  <si>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</si>
  <si>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</si>
  <si>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</si>
  <si>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</si>
  <si>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</si>
  <si>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</si>
  <si>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</si>
  <si>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</si>
  <si>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</si>
  <si>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</si>
  <si>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</si>
  <si>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</si>
  <si>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</si>
  <si>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</si>
  <si>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</si>
  <si>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</si>
  <si>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</si>
  <si>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</si>
  <si>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</si>
  <si>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</si>
  <si>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</si>
  <si>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</si>
  <si>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</si>
  <si>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</si>
  <si>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</si>
  <si>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</si>
  <si>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</si>
  <si>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</si>
  <si>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</si>
  <si>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</si>
  <si>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</si>
  <si>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</si>
  <si>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</si>
  <si>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</si>
  <si>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</si>
  <si>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</si>
  <si>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</si>
  <si>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</si>
  <si>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</si>
  <si>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</si>
  <si>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</si>
  <si>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</si>
  <si>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</si>
  <si>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</si>
  <si>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</si>
  <si>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</si>
  <si>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</si>
  <si>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</si>
  <si>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</si>
  <si>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</si>
  <si>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</si>
  <si>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</si>
  <si>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</si>
  <si>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</si>
  <si>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</si>
  <si>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</si>
  <si>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</si>
  <si>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</si>
  <si>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</si>
  <si>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</si>
  <si>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</si>
  <si>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</si>
  <si>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</si>
  <si>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</si>
  <si>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</si>
  <si>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</si>
  <si>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</si>
  <si>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</si>
  <si>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</si>
  <si>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</si>
  <si>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</si>
  <si>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</si>
  <si>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</si>
  <si>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</si>
  <si>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</si>
  <si>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</si>
  <si>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</si>
  <si>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</si>
  <si>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</si>
  <si>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</si>
  <si>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</si>
  <si>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</si>
  <si>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</si>
  <si>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</si>
  <si>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</si>
  <si>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</si>
  <si>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</si>
  <si>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</si>
  <si>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</si>
  <si>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</si>
  <si>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</si>
  <si>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</si>
  <si>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</si>
  <si>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</si>
  <si>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</si>
  <si>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</si>
  <si>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</si>
  <si>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</si>
  <si>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</si>
  <si>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</si>
  <si>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</si>
  <si>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</si>
  <si>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</si>
  <si>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</si>
  <si>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</si>
  <si>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</si>
  <si>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</si>
  <si>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</si>
  <si>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</si>
  <si>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</si>
  <si>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</si>
  <si>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</si>
  <si>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</si>
  <si>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</si>
  <si>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</si>
  <si>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</si>
  <si>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</si>
  <si>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</si>
  <si>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</si>
  <si>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</si>
  <si>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</si>
  <si>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</si>
  <si>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</si>
  <si>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</si>
  <si>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</si>
  <si>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</si>
  <si>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</si>
  <si>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</si>
  <si>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</si>
  <si>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</si>
  <si>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</si>
  <si>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</si>
  <si>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</si>
  <si>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</si>
  <si>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</si>
  <si>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</si>
  <si>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</si>
  <si>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</si>
  <si>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</si>
  <si>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</si>
  <si>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</si>
  <si>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</si>
  <si>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</si>
  <si>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</si>
  <si>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</si>
  <si>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</si>
  <si>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</si>
  <si>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</si>
  <si>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</si>
  <si>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</si>
  <si>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</si>
  <si>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</si>
  <si>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</si>
  <si>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</si>
  <si>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</si>
  <si>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</si>
  <si>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</si>
  <si>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</si>
  <si>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</si>
  <si>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</si>
  <si>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</si>
  <si>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</si>
  <si>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</si>
  <si>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</si>
  <si>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</si>
  <si>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</si>
  <si>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</si>
  <si>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</si>
  <si>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</si>
  <si>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</si>
  <si>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</si>
  <si>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</si>
  <si>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</si>
  <si>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</si>
  <si>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</si>
  <si>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</si>
  <si>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</si>
  <si>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</si>
  <si>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</si>
  <si>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</si>
  <si>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</si>
  <si>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</si>
  <si>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</si>
  <si>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</si>
  <si>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</si>
  <si>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</si>
  <si>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</si>
  <si>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</si>
  <si>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</si>
  <si>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</si>
  <si>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</si>
  <si>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</si>
  <si>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</si>
  <si>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</si>
  <si>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</si>
  <si>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</si>
  <si>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</si>
  <si>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</si>
  <si>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</si>
  <si>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</si>
  <si>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</si>
  <si>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</si>
  <si>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</si>
  <si>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</si>
  <si>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</si>
  <si>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</si>
  <si>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</si>
  <si>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</si>
  <si>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</si>
  <si>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</si>
  <si>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</si>
  <si>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</si>
  <si>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</si>
  <si>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</si>
  <si>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</si>
  <si>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</si>
  <si>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</si>
  <si>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</si>
  <si>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</si>
  <si>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</si>
  <si>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</si>
  <si>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</si>
  <si>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</si>
  <si>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</si>
  <si>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</si>
  <si>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</si>
  <si>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</si>
  <si>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</si>
  <si>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</si>
  <si>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</si>
  <si>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</si>
  <si>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</si>
  <si>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</si>
  <si>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</si>
  <si>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</si>
  <si>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</si>
  <si>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</si>
  <si>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</si>
  <si>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</si>
  <si>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</si>
  <si>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</si>
  <si>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</si>
  <si>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</si>
  <si>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</si>
  <si>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</si>
  <si>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</si>
  <si>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</si>
  <si>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</si>
  <si>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</si>
  <si>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</si>
  <si>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</si>
  <si>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</si>
  <si>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</si>
  <si>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</si>
  <si>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</si>
  <si>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</si>
  <si>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</si>
  <si>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</si>
  <si>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</si>
  <si>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</si>
  <si>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</si>
  <si>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</si>
  <si>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</si>
  <si>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</si>
  <si>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</si>
  <si>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</si>
  <si>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</si>
  <si>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</si>
  <si>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</si>
  <si>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</si>
  <si>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</si>
  <si>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</si>
  <si>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</si>
  <si>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</si>
  <si>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</si>
  <si>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</si>
  <si>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</si>
  <si>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</si>
  <si>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</si>
  <si>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</si>
  <si>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</si>
  <si>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</si>
  <si>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</si>
  <si>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</si>
  <si>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</si>
  <si>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</si>
  <si>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</si>
  <si>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</si>
  <si>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</si>
  <si>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</si>
  <si>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</si>
  <si>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</si>
  <si>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</si>
  <si>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</si>
  <si>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</si>
  <si>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</si>
  <si>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</si>
  <si>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</si>
  <si>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</si>
  <si>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</si>
  <si>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</si>
  <si>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</si>
  <si>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</si>
  <si>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</si>
  <si>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</si>
  <si>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</si>
  <si>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</si>
  <si>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</si>
  <si>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</si>
  <si>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</si>
  <si>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</si>
  <si>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</si>
  <si>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</si>
  <si>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</si>
  <si>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</si>
  <si>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</si>
  <si>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</si>
  <si>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</si>
  <si>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</si>
  <si>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</si>
  <si>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</si>
  <si>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</si>
  <si>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</si>
  <si>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</si>
  <si>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</si>
  <si>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</si>
  <si>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</si>
  <si>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</si>
  <si>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</si>
  <si>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</si>
  <si>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</si>
  <si>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</si>
  <si>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</si>
  <si>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</si>
  <si>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</si>
  <si>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</si>
  <si>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</si>
  <si>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</si>
  <si>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</si>
  <si>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</si>
  <si>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</si>
  <si>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</si>
  <si>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</si>
  <si>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</si>
  <si>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</si>
  <si>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</si>
  <si>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</si>
  <si>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</si>
  <si>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</si>
  <si>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</si>
  <si>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</si>
  <si>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</si>
  <si>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</si>
  <si>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</si>
  <si>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</si>
  <si>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</si>
  <si>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</si>
  <si>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</si>
  <si>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</si>
  <si>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</si>
  <si>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</si>
  <si>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</si>
  <si>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</si>
  <si>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</si>
  <si>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</si>
  <si>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</si>
  <si>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</si>
  <si>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</si>
  <si>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</si>
  <si>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</si>
  <si>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</si>
  <si>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</si>
  <si>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</si>
  <si>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</si>
  <si>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</si>
  <si>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</si>
  <si>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</si>
  <si>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</si>
  <si>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</si>
  <si>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</si>
  <si>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</si>
  <si>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</si>
  <si>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</si>
  <si>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</si>
  <si>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</si>
  <si>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</si>
  <si>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</si>
  <si>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</si>
  <si>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</si>
  <si>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</si>
  <si>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</si>
  <si>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</si>
  <si>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</si>
  <si>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</si>
  <si>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</si>
  <si>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</si>
  <si>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</si>
  <si>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</si>
  <si>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</si>
  <si>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</si>
  <si>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</si>
  <si>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</si>
  <si>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</si>
  <si>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</si>
  <si>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</si>
  <si>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</si>
  <si>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</si>
  <si>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</si>
  <si>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</si>
  <si>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</si>
  <si>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</si>
  <si>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</si>
  <si>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</si>
  <si>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</si>
  <si>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</si>
  <si>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</si>
  <si>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</si>
  <si>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</si>
  <si>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</si>
  <si>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</si>
  <si>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</si>
  <si>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</si>
  <si>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</si>
  <si>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</si>
  <si>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</si>
  <si>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</si>
  <si>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</si>
  <si>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</si>
  <si>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</si>
  <si>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</si>
  <si>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</si>
  <si>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</si>
  <si>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</si>
  <si>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</si>
  <si>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</si>
  <si>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</si>
  <si>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</si>
  <si>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</si>
  <si>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</si>
  <si>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</si>
  <si>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</si>
  <si>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</si>
  <si>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</si>
  <si>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</si>
  <si>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</si>
  <si>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</si>
  <si>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</si>
  <si>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</si>
  <si>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</si>
  <si>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</si>
  <si>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</si>
  <si>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</si>
  <si>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</si>
  <si>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</si>
  <si>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</si>
  <si>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</si>
  <si>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</si>
  <si>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</si>
  <si>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</si>
  <si>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</si>
  <si>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</si>
  <si>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</si>
  <si>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</si>
  <si>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</si>
  <si>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</si>
  <si>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</si>
  <si>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</si>
  <si>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</si>
  <si>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</si>
  <si>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</si>
  <si>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</si>
  <si>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</si>
  <si>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</si>
  <si>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</si>
  <si>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</si>
  <si>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</si>
  <si>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</si>
  <si>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</si>
  <si>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</si>
  <si>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</si>
  <si>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</si>
  <si>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</si>
  <si>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</si>
  <si>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</si>
  <si>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</si>
  <si>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</si>
  <si>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</si>
  <si>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</si>
  <si>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</si>
  <si>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</si>
  <si>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</si>
  <si>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</si>
  <si>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</si>
  <si>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</si>
  <si>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</si>
  <si>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</si>
  <si>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</si>
  <si>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</si>
  <si>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</si>
  <si>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</si>
  <si>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</si>
  <si>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</si>
  <si>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</si>
  <si>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</si>
  <si>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</si>
  <si>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</si>
  <si>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</si>
  <si>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</si>
  <si>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</si>
  <si>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</si>
  <si>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</si>
  <si>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</si>
  <si>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</si>
  <si>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</si>
  <si>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</si>
  <si>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</si>
  <si>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</si>
  <si>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</si>
  <si>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</si>
  <si>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</si>
  <si>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</si>
  <si>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</si>
  <si>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</si>
  <si>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</si>
  <si>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</si>
  <si>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</si>
  <si>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</si>
  <si>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</si>
  <si>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</si>
  <si>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</si>
  <si>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</si>
  <si>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</si>
  <si>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</si>
  <si>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</si>
  <si>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</si>
  <si>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</si>
  <si>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</si>
  <si>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</si>
  <si>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</si>
  <si>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</si>
  <si>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</si>
  <si>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</si>
  <si>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</si>
  <si>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</si>
  <si>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</si>
  <si>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</si>
  <si>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</si>
  <si>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</si>
  <si>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</si>
  <si>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</si>
  <si>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</si>
  <si>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</si>
  <si>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</si>
  <si>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</si>
  <si>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</si>
  <si>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</si>
  <si>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</si>
  <si>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</si>
  <si>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</si>
  <si>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</si>
  <si>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</si>
  <si>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</si>
  <si>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</si>
  <si>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</si>
  <si>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</si>
  <si>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</si>
  <si>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</si>
  <si>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</si>
  <si>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</si>
  <si>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</si>
  <si>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</si>
  <si>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</si>
  <si>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</si>
  <si>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</si>
  <si>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</si>
  <si>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</si>
  <si>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</si>
  <si>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</si>
  <si>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</si>
  <si>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</si>
  <si>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</si>
  <si>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</si>
  <si>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</si>
  <si>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</si>
  <si>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</si>
  <si>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</si>
  <si>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</si>
  <si>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</si>
  <si>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</si>
  <si>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</si>
  <si>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</si>
  <si>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</si>
  <si>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</si>
  <si>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</si>
  <si>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</si>
  <si>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</si>
  <si>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</si>
  <si>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</si>
  <si>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</si>
  <si>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</si>
  <si>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</si>
  <si>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</si>
  <si>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</si>
  <si>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</si>
  <si>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</si>
  <si>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</si>
  <si>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</si>
  <si>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</si>
  <si>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</si>
  <si>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</si>
  <si>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</si>
  <si>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</si>
  <si>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</si>
  <si>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</si>
  <si>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</si>
  <si>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</si>
  <si>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</si>
  <si>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</si>
  <si>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</si>
  <si>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</si>
  <si>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</si>
  <si>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</si>
  <si>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</si>
  <si>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</si>
  <si>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</si>
  <si>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</si>
  <si>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</si>
  <si>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</si>
  <si>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</si>
  <si>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</si>
  <si>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</si>
  <si>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</si>
  <si>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</si>
  <si>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</si>
  <si>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</si>
  <si>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</si>
  <si>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</si>
  <si>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</si>
  <si>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</si>
  <si>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</si>
  <si>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</si>
  <si>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</si>
  <si>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</si>
  <si>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</si>
  <si>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</si>
  <si>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</si>
  <si>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</si>
  <si>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</si>
  <si>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</si>
  <si>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</si>
  <si>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</si>
  <si>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</si>
  <si>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</si>
  <si>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</si>
  <si>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</si>
  <si>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</si>
  <si>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</si>
  <si>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</si>
  <si>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</si>
  <si>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</si>
  <si>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</si>
  <si>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</si>
  <si>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</si>
  <si>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</si>
  <si>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</si>
  <si>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</si>
  <si>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</si>
  <si>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</si>
  <si>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</si>
  <si>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</si>
  <si>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</si>
  <si>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</si>
  <si>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</si>
  <si>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</si>
  <si>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</si>
  <si>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</si>
  <si>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</si>
  <si>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</si>
  <si>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</si>
  <si>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</si>
  <si>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</si>
  <si>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</si>
  <si>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</si>
  <si>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</si>
  <si>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</si>
  <si>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</si>
  <si>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</si>
  <si>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</si>
  <si>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</si>
  <si>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</si>
  <si>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</si>
  <si>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</si>
  <si>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</si>
  <si>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</si>
  <si>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</si>
  <si>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</si>
  <si>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</si>
  <si>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</si>
  <si>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</si>
  <si>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</si>
  <si>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</si>
  <si>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</si>
  <si>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</si>
  <si>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</si>
  <si>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</si>
  <si>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</si>
  <si>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</si>
  <si>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</si>
  <si>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</si>
  <si>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</si>
  <si>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</si>
  <si>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</si>
  <si>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</si>
  <si>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</si>
  <si>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</si>
  <si>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</si>
  <si>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</si>
  <si>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</si>
  <si>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</si>
  <si>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</si>
  <si>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</si>
  <si>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</si>
  <si>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</si>
  <si>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</si>
  <si>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</si>
  <si>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</si>
  <si>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</si>
  <si>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</si>
  <si>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</si>
  <si>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</si>
  <si>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</si>
  <si>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</si>
  <si>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</si>
  <si>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</si>
  <si>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</si>
  <si>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</si>
  <si>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</si>
  <si>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</si>
  <si>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</si>
  <si>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</si>
  <si>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</si>
  <si>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</si>
  <si>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</si>
  <si>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</si>
  <si>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</si>
  <si>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</si>
  <si>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</si>
  <si>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</si>
  <si>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</si>
  <si>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</si>
  <si>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</si>
  <si>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</si>
  <si>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</si>
  <si>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</si>
  <si>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</si>
  <si>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</si>
  <si>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</si>
  <si>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</si>
  <si>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</si>
  <si>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</si>
  <si>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</si>
  <si>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</si>
  <si>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</si>
  <si>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</si>
  <si>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</si>
  <si>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</si>
  <si>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</si>
  <si>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</si>
  <si>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</si>
  <si>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</si>
  <si>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</si>
  <si>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</si>
  <si>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</si>
  <si>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</si>
  <si>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</si>
  <si>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</si>
  <si>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</si>
  <si>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</si>
  <si>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</si>
  <si>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</si>
  <si>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</si>
  <si>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</si>
  <si>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</si>
  <si>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</si>
  <si>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</si>
  <si>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</si>
  <si>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</si>
  <si>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</si>
  <si>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</si>
  <si>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</si>
  <si>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</si>
  <si>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</si>
  <si>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</si>
  <si>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</si>
  <si>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</si>
  <si>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</si>
  <si>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</si>
  <si>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</si>
  <si>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</si>
  <si>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</si>
  <si>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</si>
  <si>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</si>
  <si>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</si>
  <si>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</si>
  <si>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</si>
  <si>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</si>
  <si>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</si>
  <si>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</si>
  <si>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</si>
  <si>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</si>
  <si>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</si>
  <si>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</si>
  <si>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</si>
  <si>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</si>
  <si>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</si>
  <si>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</si>
  <si>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</si>
  <si>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</si>
  <si>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</si>
  <si>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</si>
  <si>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</si>
  <si>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</si>
  <si>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</si>
  <si>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</si>
  <si>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</si>
  <si>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</si>
  <si>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</si>
  <si>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</si>
  <si>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</si>
  <si>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</si>
  <si>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</si>
  <si>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</si>
  <si>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</si>
  <si>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</si>
  <si>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</si>
  <si>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</si>
  <si>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</si>
  <si>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</si>
  <si>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</si>
  <si>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</si>
  <si>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</si>
  <si>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</si>
  <si>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</si>
  <si>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</si>
  <si>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</si>
  <si>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</si>
  <si>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</si>
  <si>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</si>
  <si>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</si>
  <si>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</si>
  <si>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</si>
  <si>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</si>
  <si>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</si>
  <si>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</si>
  <si>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</si>
  <si>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</si>
  <si>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</si>
  <si>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</si>
  <si>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</si>
  <si>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</si>
  <si>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</si>
  <si>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</si>
  <si>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</si>
  <si>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</si>
  <si>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</si>
  <si>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</si>
  <si>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</si>
  <si>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</si>
  <si>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</si>
  <si>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</si>
  <si>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</si>
  <si>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</si>
  <si>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</si>
  <si>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</si>
  <si>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</si>
  <si>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</si>
  <si>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</si>
  <si>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</si>
  <si>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</si>
  <si>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</si>
  <si>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</si>
  <si>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</si>
  <si>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</si>
  <si>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</si>
  <si>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</si>
  <si>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</si>
  <si>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</si>
  <si>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</si>
  <si>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</si>
  <si>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</si>
  <si>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</si>
  <si>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</si>
  <si>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</si>
  <si>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</si>
  <si>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</si>
  <si>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</si>
  <si>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</si>
  <si>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</si>
  <si>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</si>
  <si>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</si>
  <si>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</si>
  <si>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</si>
  <si>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</si>
  <si>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</si>
  <si>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</si>
  <si>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</si>
  <si>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</si>
  <si>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</si>
  <si>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</si>
  <si>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</si>
  <si>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</si>
  <si>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</si>
  <si>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</si>
  <si>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</si>
  <si>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</si>
  <si>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</si>
  <si>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</si>
  <si>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</si>
  <si>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</si>
  <si>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</si>
  <si>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</si>
  <si>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</si>
  <si>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</si>
  <si>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</si>
  <si>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</si>
  <si>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</si>
  <si>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</si>
  <si>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</si>
  <si>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</si>
  <si>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</si>
  <si>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</si>
  <si>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</si>
  <si>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</si>
  <si>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</si>
  <si>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</si>
  <si>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</si>
  <si>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</si>
  <si>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</si>
  <si>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</si>
  <si>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</si>
  <si>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</si>
  <si>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</si>
  <si>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</si>
  <si>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</si>
  <si>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</si>
  <si>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</si>
  <si>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</si>
  <si>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</si>
  <si>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</si>
  <si>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</si>
  <si>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</si>
  <si>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</si>
  <si>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</si>
  <si>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</si>
  <si>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</si>
  <si>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</si>
  <si>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</si>
  <si>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</si>
  <si>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</si>
  <si>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</si>
  <si>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</si>
  <si>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</si>
  <si>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</si>
  <si>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</si>
  <si>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</si>
  <si>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</si>
  <si>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</si>
  <si>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</si>
  <si>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</si>
  <si>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</si>
  <si>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</si>
  <si>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</si>
  <si>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</si>
  <si>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</si>
  <si>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</si>
  <si>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</si>
  <si>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</si>
  <si>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</si>
  <si>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</si>
  <si>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</si>
  <si>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</si>
  <si>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</si>
  <si>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</si>
  <si>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</si>
  <si>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</si>
  <si>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</si>
  <si>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</si>
  <si>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</si>
  <si>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</si>
  <si>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</si>
  <si>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</si>
  <si>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</si>
  <si>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</si>
  <si>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</si>
  <si>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</si>
  <si>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</si>
  <si>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</si>
  <si>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</si>
  <si>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</si>
  <si>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</si>
  <si>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</si>
  <si>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</si>
  <si>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</si>
  <si>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</si>
  <si>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</si>
  <si>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</si>
  <si>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</si>
  <si>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</si>
  <si>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</si>
  <si>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</si>
  <si>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</si>
  <si>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</si>
  <si>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</si>
  <si>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</si>
  <si>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</si>
  <si>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</si>
  <si>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</si>
  <si>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</si>
  <si>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</si>
  <si>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</si>
  <si>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</si>
  <si>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</si>
  <si>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</si>
  <si>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</si>
  <si>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</si>
  <si>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</si>
  <si>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</si>
  <si>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</si>
  <si>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</si>
  <si>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</si>
  <si>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</si>
  <si>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</si>
  <si>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</si>
  <si>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</si>
  <si>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</si>
  <si>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</si>
  <si>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</si>
  <si>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</si>
  <si>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</si>
  <si>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</si>
  <si>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</si>
  <si>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</si>
  <si>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</si>
  <si>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</si>
  <si>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</si>
  <si>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</si>
  <si>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</si>
  <si>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</si>
  <si>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</si>
  <si>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</si>
  <si>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</si>
  <si>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</si>
  <si>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</si>
  <si>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</si>
  <si>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</si>
  <si>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</si>
  <si>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</si>
  <si>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</si>
  <si>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</si>
  <si>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</si>
  <si>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</si>
  <si>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</si>
  <si>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</si>
  <si>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</si>
  <si>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</si>
  <si>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</si>
  <si>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</si>
  <si>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</si>
  <si>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</si>
  <si>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</si>
  <si>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</si>
  <si>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</si>
  <si>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</si>
  <si>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</si>
  <si>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</si>
  <si>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</si>
  <si>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</si>
  <si>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</si>
  <si>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</si>
  <si>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</si>
  <si>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</si>
  <si>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</si>
  <si>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</si>
  <si>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</si>
  <si>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</si>
  <si>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</si>
  <si>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</si>
  <si>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</si>
  <si>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</si>
  <si>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</si>
  <si>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</si>
  <si>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</si>
  <si>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</si>
  <si>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</si>
  <si>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</si>
  <si>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</si>
  <si>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</si>
  <si>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</si>
  <si>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</si>
  <si>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</si>
  <si>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</si>
  <si>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</si>
  <si>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</si>
  <si>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</si>
  <si>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</si>
  <si>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</si>
  <si>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</si>
  <si>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</si>
  <si>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</si>
  <si>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</si>
  <si>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</si>
  <si>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</si>
  <si>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</si>
  <si>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</si>
  <si>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</si>
  <si>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</si>
  <si>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</si>
  <si>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</si>
  <si>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</si>
  <si>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</si>
  <si>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</si>
  <si>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</si>
  <si>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</si>
  <si>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</si>
  <si>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</si>
  <si>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</si>
  <si>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</si>
  <si>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</si>
  <si>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</si>
  <si>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</si>
  <si>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</si>
  <si>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</si>
  <si>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</si>
  <si>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</si>
  <si>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</si>
  <si>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</si>
  <si>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</si>
  <si>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</si>
  <si>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</si>
  <si>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</si>
  <si>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</si>
  <si>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</si>
  <si>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</si>
  <si>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</si>
  <si>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</si>
  <si>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</si>
  <si>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</si>
  <si>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</si>
  <si>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</si>
  <si>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</si>
  <si>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</si>
  <si>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</si>
  <si>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</si>
  <si>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</si>
  <si>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</si>
  <si>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</si>
  <si>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</si>
  <si>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</si>
  <si>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</si>
  <si>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</si>
  <si>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</si>
  <si>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</si>
  <si>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</si>
  <si>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</si>
  <si>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</si>
  <si>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</si>
  <si>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</si>
  <si>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</si>
  <si>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</si>
  <si>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</si>
  <si>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</si>
  <si>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</si>
  <si>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</si>
  <si>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</si>
  <si>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</si>
  <si>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</si>
  <si>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</si>
  <si>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</si>
  <si>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</si>
  <si>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</si>
  <si>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</si>
  <si>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</si>
  <si>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</si>
  <si>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</si>
  <si>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</si>
  <si>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</si>
  <si>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</si>
  <si>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</si>
  <si>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</si>
  <si>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</si>
  <si>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</si>
  <si>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</si>
  <si>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</si>
  <si>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</si>
  <si>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</si>
  <si>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</si>
  <si>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</si>
  <si>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</si>
  <si>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</si>
  <si>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</si>
  <si>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</si>
  <si>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</si>
  <si>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</si>
  <si>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</si>
  <si>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</si>
  <si>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</si>
  <si>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</si>
  <si>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</si>
  <si>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</si>
  <si>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</si>
  <si>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</si>
  <si>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</si>
  <si>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</si>
  <si>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</si>
  <si>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</si>
  <si>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</si>
  <si>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</si>
  <si>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</si>
  <si>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</si>
  <si>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</si>
  <si>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</si>
  <si>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</si>
  <si>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</si>
  <si>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</si>
  <si>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</si>
  <si>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</si>
  <si>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</si>
  <si>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</si>
  <si>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</si>
  <si>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</si>
  <si>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</si>
  <si>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</si>
  <si>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</si>
  <si>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</si>
  <si>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</si>
  <si>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</si>
  <si>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</si>
  <si>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</si>
  <si>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</si>
  <si>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</si>
  <si>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</si>
  <si>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</si>
  <si>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</si>
  <si>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</si>
  <si>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</si>
  <si>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</si>
  <si>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</si>
  <si>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</si>
  <si>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</si>
  <si>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</si>
  <si>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</si>
  <si>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</si>
  <si>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</si>
  <si>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</si>
  <si>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</si>
  <si>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</si>
  <si>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</si>
  <si>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</si>
  <si>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</si>
  <si>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</si>
  <si>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</si>
  <si>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</si>
  <si>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</si>
  <si>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</si>
  <si>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</si>
  <si>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</si>
  <si>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</si>
  <si>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</si>
  <si>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</si>
  <si>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</si>
  <si>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</si>
  <si>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</si>
  <si>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</si>
  <si>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</si>
  <si>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</si>
  <si>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</si>
  <si>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</si>
  <si>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</si>
  <si>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</si>
  <si>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</si>
  <si>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</si>
  <si>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</si>
  <si>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</si>
  <si>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</si>
  <si>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</si>
  <si>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</si>
  <si>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</si>
  <si>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</si>
  <si>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</si>
  <si>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</si>
  <si>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</si>
  <si>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</si>
  <si>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</si>
  <si>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</si>
  <si>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</si>
  <si>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</si>
  <si>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</si>
  <si>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</si>
  <si>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</si>
  <si>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</si>
  <si>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</si>
  <si>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</si>
  <si>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</si>
  <si>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</si>
  <si>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</si>
  <si>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</si>
  <si>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</si>
  <si>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</si>
  <si>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</si>
  <si>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</si>
  <si>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</si>
  <si>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</si>
  <si>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</si>
  <si>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</si>
  <si>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</si>
  <si>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</si>
  <si>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</si>
  <si>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</si>
  <si>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</si>
  <si>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</si>
  <si>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</si>
  <si>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</si>
  <si>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</si>
  <si>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</si>
  <si>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</si>
  <si>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</si>
  <si>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</si>
  <si>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</si>
  <si>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</si>
  <si>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</si>
  <si>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</si>
  <si>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</si>
  <si>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</si>
  <si>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</si>
  <si>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</si>
  <si>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</si>
  <si>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</si>
  <si>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</si>
  <si>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</si>
  <si>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</si>
  <si>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</si>
  <si>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</si>
  <si>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</si>
  <si>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</si>
  <si>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</si>
  <si>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</si>
  <si>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</si>
  <si>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</si>
  <si>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</si>
  <si>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</si>
  <si>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</si>
  <si>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</si>
  <si>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</si>
  <si>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</si>
  <si>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</si>
  <si>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</si>
  <si>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</si>
  <si>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</si>
  <si>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</si>
  <si>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</si>
  <si>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</si>
  <si>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</si>
  <si>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</si>
  <si>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</si>
  <si>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</si>
  <si>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</si>
  <si>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</si>
  <si>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</si>
  <si>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</si>
  <si>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</si>
  <si>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</si>
  <si>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</si>
  <si>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</si>
  <si>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</si>
  <si>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</si>
  <si>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</si>
  <si>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</si>
  <si>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</si>
  <si>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</si>
  <si>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</si>
  <si>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</si>
  <si>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</si>
  <si>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</si>
  <si>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</si>
  <si>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</si>
  <si>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</si>
  <si>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</si>
  <si>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</si>
  <si>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</si>
  <si>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</si>
  <si>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</si>
  <si>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</si>
  <si>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</si>
  <si>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</si>
  <si>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</si>
  <si>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</si>
  <si>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</si>
  <si>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</si>
  <si>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</si>
  <si>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</si>
  <si>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</si>
  <si>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</si>
  <si>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</si>
  <si>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</si>
  <si>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</si>
  <si>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</si>
  <si>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</si>
  <si>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</si>
  <si>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</si>
  <si>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</si>
  <si>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</si>
  <si>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</si>
  <si>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</si>
  <si>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</si>
  <si>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</si>
  <si>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</si>
  <si>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</si>
  <si>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</si>
  <si>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</si>
  <si>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</si>
  <si>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</si>
  <si>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</si>
  <si>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</si>
  <si>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</si>
  <si>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</si>
  <si>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</si>
  <si>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</si>
  <si>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</si>
  <si>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</si>
  <si>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</si>
  <si>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</si>
  <si>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</si>
  <si>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</si>
  <si>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</si>
  <si>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</si>
  <si>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</si>
  <si>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</si>
  <si>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</si>
  <si>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</si>
  <si>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</si>
  <si>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</si>
  <si>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</si>
  <si>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</si>
  <si>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</si>
  <si>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</si>
  <si>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</si>
  <si>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</si>
  <si>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</si>
  <si>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</si>
  <si>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</si>
  <si>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</si>
  <si>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</si>
  <si>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</si>
  <si>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</si>
  <si>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</si>
  <si>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</si>
  <si>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</si>
  <si>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</si>
  <si>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</si>
  <si>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</si>
  <si>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</si>
  <si>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</si>
  <si>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</si>
  <si>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</si>
  <si>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</si>
  <si>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</si>
  <si>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</si>
  <si>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</si>
  <si>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</si>
  <si>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</si>
  <si>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</si>
  <si>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</si>
  <si>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</si>
  <si>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</si>
  <si>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</si>
  <si>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</si>
  <si>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</si>
  <si>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</si>
  <si>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</si>
  <si>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</si>
  <si>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</si>
  <si>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</si>
  <si>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</si>
  <si>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</si>
  <si>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</si>
  <si>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</si>
  <si>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</si>
  <si>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</si>
  <si>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</si>
  <si>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</si>
  <si>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</si>
  <si>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</si>
  <si>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</si>
  <si>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</si>
  <si>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</si>
  <si>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</si>
  <si>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</si>
  <si>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</si>
  <si>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</si>
  <si>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</si>
  <si>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</si>
  <si>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</si>
  <si>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</si>
  <si>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</si>
  <si>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</si>
  <si>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</si>
  <si>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</si>
  <si>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</si>
  <si>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</si>
  <si>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</si>
  <si>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</si>
  <si>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</si>
  <si>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</si>
  <si>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</si>
  <si>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</si>
  <si>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</si>
  <si>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</si>
  <si>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</si>
  <si>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</si>
  <si>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</si>
  <si>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</si>
  <si>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</si>
  <si>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</si>
  <si>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</si>
  <si>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</si>
  <si>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</si>
  <si>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</si>
  <si>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</si>
  <si>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</si>
  <si>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</si>
  <si>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</si>
  <si>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</si>
  <si>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</si>
  <si>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</si>
  <si>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</si>
  <si>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</si>
  <si>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</si>
  <si>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</si>
  <si>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</si>
  <si>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</si>
  <si>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</si>
  <si>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</si>
  <si>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</si>
  <si>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</si>
  <si>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</si>
  <si>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</si>
  <si>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</si>
  <si>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</si>
  <si>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</si>
  <si>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</si>
  <si>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</si>
  <si>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</si>
  <si>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</si>
  <si>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</si>
  <si>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</si>
  <si>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</si>
  <si>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</si>
  <si>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</si>
  <si>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</si>
  <si>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</si>
  <si>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</si>
  <si>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</si>
  <si>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</si>
  <si>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</si>
  <si>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</si>
  <si>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</si>
  <si>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</si>
  <si>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</si>
  <si>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</si>
  <si>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</si>
  <si>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</si>
  <si>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</si>
  <si>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</si>
  <si>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</si>
  <si>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</si>
  <si>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</si>
  <si>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</si>
  <si>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</si>
  <si>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</si>
  <si>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</si>
  <si>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</si>
  <si>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</si>
  <si>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</si>
  <si>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</si>
  <si>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</si>
  <si>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</si>
  <si>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</si>
  <si>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</si>
  <si>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</si>
  <si>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</si>
  <si>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</si>
  <si>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</si>
  <si>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</si>
  <si>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</si>
  <si>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</si>
  <si>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</si>
  <si>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</si>
  <si>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</si>
  <si>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</si>
  <si>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</si>
  <si>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</si>
  <si>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</si>
  <si>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</si>
  <si>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</si>
  <si>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</si>
  <si>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</si>
  <si>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</si>
  <si>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</si>
  <si>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</si>
  <si>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</si>
  <si>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</si>
  <si>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</si>
  <si>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</si>
  <si>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</si>
  <si>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</si>
  <si>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</si>
  <si>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</si>
  <si>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</si>
  <si>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</si>
  <si>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</si>
  <si>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</si>
  <si>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</si>
  <si>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</si>
  <si>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</si>
  <si>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</si>
  <si>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</si>
  <si>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</si>
  <si>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</si>
  <si>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</si>
  <si>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</si>
  <si>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</si>
  <si>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</si>
  <si>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</si>
  <si>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</si>
  <si>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</si>
  <si>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</si>
  <si>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</si>
  <si>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</si>
  <si>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</si>
  <si>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</si>
  <si>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</si>
  <si>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</si>
  <si>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</si>
  <si>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</si>
  <si>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</si>
  <si>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</si>
  <si>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</si>
  <si>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</si>
  <si>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</si>
  <si>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</si>
  <si>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</si>
  <si>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</si>
  <si>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</si>
  <si>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</si>
  <si>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</si>
  <si>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</si>
  <si>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</si>
  <si>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</si>
  <si>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</si>
  <si>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</si>
  <si>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</si>
  <si>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</si>
  <si>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</si>
  <si>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</si>
  <si>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</si>
  <si>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</si>
  <si>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</si>
  <si>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</si>
  <si>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</si>
  <si>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</si>
  <si>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</si>
  <si>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</si>
  <si>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</si>
  <si>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</si>
  <si>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</si>
  <si>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</si>
  <si>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</si>
  <si>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</si>
  <si>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</si>
  <si>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</si>
  <si>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</si>
  <si>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</si>
  <si>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</si>
  <si>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</si>
  <si>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</si>
  <si>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</si>
  <si>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</si>
  <si>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</si>
  <si>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</si>
  <si>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</si>
  <si>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</si>
  <si>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</si>
  <si>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</si>
  <si>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</si>
  <si>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</si>
  <si>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</si>
  <si>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</si>
  <si>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</si>
  <si>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</si>
  <si>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</si>
  <si>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</si>
  <si>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</si>
  <si>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</si>
  <si>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</si>
  <si>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</si>
  <si>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</si>
  <si>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</si>
  <si>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</si>
  <si>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</si>
  <si>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</si>
  <si>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</si>
  <si>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</si>
  <si>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</si>
  <si>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</si>
  <si>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</si>
  <si>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</si>
  <si>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</si>
  <si>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</si>
  <si>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</si>
  <si>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</si>
  <si>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</si>
  <si>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</si>
  <si>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</si>
  <si>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</si>
  <si>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</si>
  <si>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</si>
  <si>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</si>
  <si>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</si>
  <si>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</si>
  <si>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</si>
  <si>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</si>
  <si>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</si>
  <si>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</si>
  <si>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</si>
  <si>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</si>
  <si>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</si>
  <si>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</si>
  <si>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</si>
  <si>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</si>
  <si>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</si>
  <si>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</si>
  <si>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</si>
  <si>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</si>
  <si>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</si>
  <si>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</si>
  <si>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</si>
  <si>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</si>
  <si>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</si>
  <si>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</si>
  <si>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</si>
  <si>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</si>
  <si>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</si>
  <si>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</si>
  <si>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</si>
  <si>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</si>
  <si>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</si>
  <si>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</si>
  <si>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</si>
  <si>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</si>
  <si>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</si>
  <si>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</si>
  <si>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</si>
  <si>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</si>
  <si>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</si>
  <si>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</si>
  <si>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</si>
  <si>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</si>
  <si>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</si>
  <si>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</si>
  <si>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</si>
  <si>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</si>
  <si>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</si>
  <si>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</si>
  <si>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</si>
  <si>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</si>
  <si>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</si>
  <si>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</si>
  <si>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</si>
  <si>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</si>
  <si>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</si>
  <si>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</si>
  <si>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</si>
  <si>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</si>
  <si>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</si>
  <si>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</si>
  <si>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</si>
  <si>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</si>
  <si>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</si>
  <si>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</si>
  <si>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</si>
  <si>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</si>
  <si>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</si>
  <si>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</si>
  <si>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</si>
  <si>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</si>
  <si>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</si>
  <si>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</si>
  <si>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</si>
  <si>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</si>
  <si>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</si>
  <si>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</si>
  <si>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</si>
  <si>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</si>
  <si>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</si>
  <si>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</si>
  <si>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</si>
  <si>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</si>
  <si>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</si>
  <si>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</si>
  <si>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</si>
  <si>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</si>
  <si>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</si>
  <si>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</si>
  <si>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</si>
  <si>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</si>
  <si>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</si>
  <si>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</si>
  <si>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</si>
  <si>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</si>
  <si>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</si>
  <si>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</si>
  <si>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</si>
  <si>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</si>
  <si>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</si>
  <si>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</si>
  <si>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</si>
  <si>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</si>
  <si>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</si>
  <si>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</si>
  <si>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</si>
  <si>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</si>
  <si>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</si>
  <si>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</si>
  <si>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</si>
  <si>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</si>
  <si>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</si>
  <si>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</si>
  <si>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</si>
  <si>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</si>
  <si>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</si>
  <si>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</si>
  <si>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</si>
  <si>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</si>
  <si>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</si>
  <si>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</si>
  <si>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</si>
  <si>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</si>
  <si>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</si>
  <si>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</si>
  <si>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</si>
  <si>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</si>
  <si>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</si>
  <si>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</si>
  <si>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</si>
  <si>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</si>
  <si>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</si>
  <si>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</si>
  <si>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</si>
  <si>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</si>
  <si>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</si>
  <si>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</si>
  <si>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</si>
  <si>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</si>
  <si>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</si>
  <si>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</si>
  <si>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</si>
  <si>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</si>
  <si>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</si>
  <si>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</si>
  <si>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</si>
  <si>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</si>
  <si>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</si>
  <si>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</si>
  <si>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</si>
  <si>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</si>
  <si>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</si>
  <si>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</si>
  <si>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</si>
  <si>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</si>
  <si>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</si>
  <si>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</si>
  <si>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</si>
  <si>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</si>
  <si>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</si>
  <si>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</si>
  <si>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</si>
  <si>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</si>
  <si>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</si>
  <si>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</si>
  <si>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</si>
  <si>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</si>
  <si>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</si>
  <si>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</si>
  <si>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</si>
  <si>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</si>
  <si>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</si>
  <si>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</si>
  <si>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</si>
  <si>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</si>
  <si>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</si>
  <si>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</si>
  <si>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</si>
  <si>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</si>
  <si>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</si>
  <si>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</si>
  <si>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</si>
  <si>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</si>
  <si>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</si>
  <si>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</si>
  <si>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</si>
  <si>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</si>
  <si>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</si>
  <si>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</si>
  <si>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</si>
  <si>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</si>
  <si>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</si>
  <si>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</si>
  <si>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</si>
  <si>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</si>
  <si>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</si>
  <si>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</si>
  <si>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</si>
  <si>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</si>
  <si>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</si>
  <si>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</si>
  <si>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</si>
  <si>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</si>
  <si>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</si>
  <si>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</si>
  <si>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</si>
  <si>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</si>
  <si>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</si>
  <si>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</si>
  <si>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</si>
  <si>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</si>
  <si>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</si>
  <si>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</si>
  <si>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</si>
  <si>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</si>
  <si>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</si>
  <si>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</si>
  <si>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</si>
  <si>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</si>
  <si>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</si>
  <si>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</si>
  <si>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</si>
  <si>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</si>
  <si>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</si>
  <si>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</si>
  <si>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</si>
  <si>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</si>
  <si>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</si>
  <si>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</si>
  <si>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</si>
  <si>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</si>
  <si>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</si>
  <si>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</si>
  <si>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</si>
  <si>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</si>
  <si>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</si>
  <si>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</si>
  <si>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</si>
  <si>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</si>
  <si>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</si>
  <si>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</si>
  <si>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</si>
  <si>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</si>
  <si>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</si>
  <si>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</si>
  <si>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</si>
  <si>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</si>
  <si>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</si>
  <si>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</si>
  <si>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</si>
  <si>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</si>
  <si>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</si>
  <si>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</si>
  <si>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</si>
  <si>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</si>
  <si>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</si>
  <si>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</si>
  <si>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</si>
  <si>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</si>
  <si>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</si>
  <si>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</si>
  <si>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</si>
  <si>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</si>
  <si>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</si>
  <si>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</si>
  <si>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</si>
  <si>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</si>
  <si>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</si>
  <si>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</si>
  <si>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</si>
  <si>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</si>
  <si>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</si>
  <si>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</si>
  <si>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</si>
  <si>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</si>
  <si>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</si>
  <si>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</si>
  <si>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</si>
  <si>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</si>
  <si>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</si>
  <si>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</si>
  <si>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</si>
  <si>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</si>
  <si>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</si>
  <si>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</si>
  <si>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</si>
  <si>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</si>
  <si>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</si>
  <si>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</si>
  <si>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</si>
  <si>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</si>
  <si>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</si>
  <si>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</si>
  <si>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</si>
  <si>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</si>
  <si>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</si>
  <si>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</si>
  <si>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</si>
  <si>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</si>
  <si>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</si>
  <si>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</si>
  <si>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</si>
  <si>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</si>
  <si>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</si>
  <si>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</si>
  <si>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</si>
  <si>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</si>
  <si>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</si>
  <si>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</si>
  <si>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</si>
  <si>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</si>
  <si>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</si>
  <si>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</si>
  <si>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</si>
  <si>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</si>
  <si>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</si>
  <si>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</si>
  <si>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</si>
  <si>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</si>
  <si>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</si>
  <si>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</si>
  <si>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</si>
  <si>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</si>
  <si>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</si>
  <si>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</si>
  <si>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</si>
  <si>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</si>
  <si>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</si>
  <si>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</si>
  <si>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</si>
  <si>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</si>
  <si>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</si>
  <si>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</si>
  <si>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</si>
  <si>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</si>
  <si>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</si>
  <si>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</si>
  <si>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</si>
  <si>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</si>
  <si>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</si>
  <si>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</si>
  <si>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</si>
  <si>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</si>
  <si>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</si>
  <si>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</si>
  <si>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</si>
  <si>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</si>
  <si>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</si>
  <si>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</si>
  <si>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</si>
  <si>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</si>
  <si>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</si>
  <si>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</si>
  <si>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</si>
  <si>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</si>
  <si>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</si>
  <si>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</si>
  <si>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</si>
  <si>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</si>
  <si>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</si>
  <si>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</si>
  <si>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</si>
  <si>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</si>
  <si>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</si>
  <si>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</si>
  <si>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</si>
  <si>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</si>
  <si>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</si>
  <si>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</si>
  <si>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</si>
  <si>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</si>
  <si>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</si>
  <si>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</si>
  <si>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</si>
  <si>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</si>
  <si>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</si>
  <si>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</si>
  <si>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</si>
  <si>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</si>
  <si>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</si>
  <si>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</si>
  <si>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</si>
  <si>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</si>
  <si>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</si>
  <si>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</si>
  <si>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</si>
  <si>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</si>
  <si>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</si>
  <si>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</si>
  <si>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</si>
  <si>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</si>
  <si>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</si>
  <si>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</si>
  <si>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</si>
  <si>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</si>
  <si>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</si>
  <si>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</si>
  <si>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</si>
  <si>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</si>
  <si>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</si>
  <si>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</si>
  <si>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</si>
  <si>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</si>
  <si>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</si>
  <si>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</si>
  <si>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</si>
  <si>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</si>
  <si>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</si>
  <si>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</si>
  <si>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</si>
  <si>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</si>
  <si>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</si>
  <si>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</si>
  <si>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</si>
  <si>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</si>
  <si>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</si>
  <si>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</si>
  <si>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</si>
  <si>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</si>
  <si>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</si>
  <si>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</si>
  <si>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</si>
  <si>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</si>
  <si>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</si>
  <si>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</si>
  <si>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</si>
  <si>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</si>
  <si>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</si>
  <si>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</si>
  <si>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</si>
  <si>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</si>
  <si>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</si>
  <si>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</si>
  <si>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</si>
  <si>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</si>
  <si>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</si>
  <si>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</si>
  <si>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</si>
  <si>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</si>
  <si>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</si>
  <si>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</si>
  <si>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</si>
  <si>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</si>
  <si>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</si>
  <si>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</si>
  <si>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</si>
  <si>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</si>
  <si>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</si>
  <si>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</si>
  <si>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</si>
  <si>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</si>
  <si>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</si>
  <si>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</si>
  <si>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</si>
  <si>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</si>
  <si>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</si>
  <si>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</si>
  <si>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</si>
  <si>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</si>
  <si>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</si>
  <si>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</si>
  <si>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</si>
  <si>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</si>
  <si>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</si>
  <si>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</si>
  <si>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</si>
  <si>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</si>
  <si>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</si>
  <si>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</si>
  <si>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</si>
  <si>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</si>
  <si>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</si>
  <si>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</si>
  <si>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</si>
  <si>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</si>
  <si>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</si>
  <si>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</si>
  <si>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</si>
  <si>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</si>
  <si>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</si>
  <si>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</si>
  <si>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</si>
  <si>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</si>
  <si>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</si>
  <si>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</si>
  <si>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</si>
  <si>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</si>
  <si>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</si>
  <si>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</si>
  <si>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</si>
  <si>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</si>
  <si>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</si>
  <si>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</si>
  <si>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</si>
  <si>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</si>
  <si>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</si>
  <si>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</si>
  <si>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</si>
  <si>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</si>
  <si>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</si>
  <si>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</si>
  <si>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</si>
  <si>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</si>
  <si>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</si>
  <si>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</si>
  <si>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</si>
  <si>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</si>
  <si>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</si>
  <si>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</si>
  <si>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</si>
  <si>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</si>
  <si>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</si>
  <si>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</si>
  <si>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</si>
  <si>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</si>
  <si>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</si>
  <si>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</si>
  <si>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</si>
  <si>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</si>
  <si>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</si>
  <si>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</si>
  <si>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</si>
  <si>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</si>
  <si>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</si>
  <si>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</si>
  <si>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</si>
  <si>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</si>
  <si>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</si>
  <si>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</si>
  <si>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</si>
  <si>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</si>
  <si>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</si>
  <si>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</si>
  <si>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</si>
  <si>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</si>
  <si>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</si>
  <si>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</si>
  <si>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</si>
  <si>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</si>
  <si>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</si>
  <si>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</si>
  <si>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</si>
  <si>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</si>
  <si>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</si>
  <si>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</si>
  <si>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</si>
  <si>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</si>
  <si>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</si>
  <si>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</si>
  <si>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</si>
  <si>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</si>
  <si>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</si>
  <si>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</si>
  <si>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</si>
  <si>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</si>
  <si>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</si>
  <si>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</si>
  <si>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</si>
  <si>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</si>
  <si>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</si>
  <si>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</si>
  <si>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</si>
  <si>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</si>
  <si>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</si>
  <si>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</si>
  <si>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</si>
  <si>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</si>
  <si>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</si>
  <si>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</si>
  <si>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</si>
  <si>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</si>
  <si>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</si>
  <si>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</si>
  <si>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</si>
  <si>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</si>
  <si>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</si>
  <si>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</si>
  <si>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</si>
  <si>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</si>
  <si>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</si>
  <si>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</si>
  <si>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</si>
  <si>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</si>
  <si>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</si>
  <si>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</si>
  <si>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</si>
  <si>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</si>
  <si>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</si>
  <si>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</si>
  <si>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</si>
  <si>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</si>
  <si>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</si>
  <si>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</si>
  <si>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</si>
  <si>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</si>
  <si>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</si>
  <si>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</si>
  <si>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</si>
  <si>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</si>
  <si>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</si>
  <si>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</si>
  <si>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</si>
  <si>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</si>
  <si>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</si>
  <si>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</si>
  <si>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</si>
  <si>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</si>
  <si>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</si>
  <si>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</si>
  <si>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</si>
  <si>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</si>
  <si>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</si>
  <si>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</si>
  <si>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</si>
  <si>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</si>
  <si>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</si>
  <si>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</si>
  <si>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</si>
  <si>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</si>
  <si>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</si>
  <si>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</si>
  <si>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</si>
  <si>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</si>
  <si>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</si>
  <si>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</si>
  <si>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</si>
  <si>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</si>
  <si>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</si>
  <si>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</si>
  <si>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</si>
  <si>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</si>
  <si>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</si>
  <si>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</si>
  <si>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</si>
  <si>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</si>
  <si>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</si>
  <si>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</si>
  <si>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</si>
  <si>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</si>
  <si>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</si>
  <si>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</si>
  <si>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</si>
  <si>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</si>
  <si>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</si>
  <si>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</si>
  <si>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</si>
  <si>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</si>
  <si>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</si>
  <si>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</si>
  <si>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</si>
  <si>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</si>
  <si>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</si>
  <si>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</si>
  <si>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</si>
  <si>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</si>
  <si>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</si>
  <si>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</si>
  <si>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</si>
  <si>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</si>
  <si>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</si>
  <si>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</si>
  <si>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</si>
  <si>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</si>
  <si>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</si>
  <si>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</si>
  <si>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</si>
  <si>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</si>
  <si>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</si>
  <si>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</si>
  <si>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</si>
  <si>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</si>
  <si>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</si>
  <si>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</si>
  <si>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</si>
  <si>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</si>
  <si>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</si>
  <si>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</si>
  <si>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</si>
  <si>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</si>
  <si>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</si>
  <si>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</si>
  <si>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</si>
  <si>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</si>
  <si>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</si>
  <si>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</si>
  <si>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</si>
  <si>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</si>
  <si>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</si>
  <si>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</si>
  <si>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</si>
  <si>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</si>
  <si>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</si>
  <si>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</si>
  <si>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</si>
  <si>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</si>
  <si>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</si>
  <si>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</si>
  <si>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</si>
  <si>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</si>
  <si>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</si>
  <si>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</si>
  <si>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</si>
  <si>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</si>
  <si>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</si>
  <si>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</si>
  <si>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</si>
  <si>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</si>
  <si>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</si>
  <si>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</si>
  <si>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</si>
  <si>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</si>
  <si>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</si>
  <si>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</si>
  <si>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</si>
  <si>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</si>
  <si>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</si>
  <si>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</si>
  <si>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</si>
  <si>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</si>
  <si>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</si>
  <si>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</si>
  <si>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</si>
  <si>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</si>
  <si>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</si>
  <si>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</si>
  <si>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</si>
  <si>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</si>
  <si>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</si>
  <si>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</si>
  <si>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</si>
  <si>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</si>
  <si>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</si>
  <si>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</si>
  <si>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</si>
  <si>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</si>
  <si>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</si>
  <si>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</si>
  <si>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</si>
  <si>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</si>
  <si>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</si>
  <si>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</si>
  <si>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</si>
  <si>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</si>
  <si>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</si>
  <si>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</si>
  <si>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</si>
  <si>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</si>
  <si>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</si>
  <si>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</si>
  <si>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</si>
  <si>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</si>
  <si>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</si>
  <si>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</si>
  <si>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</si>
  <si>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</si>
  <si>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</si>
  <si>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</si>
  <si>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</si>
  <si>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</si>
  <si>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</si>
  <si>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</si>
  <si>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</si>
  <si>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</si>
  <si>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</si>
  <si>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</si>
  <si>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</si>
  <si>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</si>
  <si>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</si>
  <si>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</si>
  <si>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</si>
  <si>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</si>
  <si>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</si>
  <si>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</si>
  <si>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</si>
  <si>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</si>
  <si>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</si>
  <si>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</si>
  <si>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</si>
  <si>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</si>
  <si>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</si>
  <si>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</si>
  <si>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</si>
  <si>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</si>
  <si>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</si>
  <si>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</si>
  <si>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</si>
  <si>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</si>
  <si>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</si>
  <si>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</si>
  <si>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</si>
  <si>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</si>
  <si>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</si>
  <si>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</si>
  <si>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</si>
  <si>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</si>
  <si>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</si>
  <si>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</si>
  <si>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</si>
  <si>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</si>
  <si>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</si>
  <si>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</si>
  <si>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</si>
  <si>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</si>
  <si>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</si>
  <si>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</si>
  <si>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</si>
  <si>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</si>
  <si>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</si>
  <si>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</si>
  <si>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</si>
  <si>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</si>
  <si>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</si>
  <si>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</si>
  <si>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</si>
  <si>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</si>
  <si>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</si>
  <si>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</si>
  <si>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</si>
  <si>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</si>
  <si>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</si>
  <si>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</si>
  <si>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</si>
  <si>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</si>
  <si>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</si>
  <si>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</si>
  <si>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</si>
  <si>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</si>
  <si>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</si>
  <si>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</si>
  <si>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</si>
  <si>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</si>
  <si>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</si>
  <si>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</si>
  <si>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</si>
  <si>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</si>
  <si>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</si>
  <si>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</si>
  <si>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</si>
  <si>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</si>
  <si>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</si>
  <si>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</si>
  <si>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</si>
  <si>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</si>
  <si>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</si>
  <si>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</si>
  <si>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</si>
  <si>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</si>
  <si>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</si>
  <si>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</si>
  <si>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</si>
  <si>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</si>
  <si>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</si>
  <si>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</si>
  <si>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</si>
  <si>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</si>
  <si>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</si>
  <si>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</si>
  <si>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</si>
  <si>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</si>
  <si>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</si>
  <si>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</si>
  <si>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</si>
  <si>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</si>
  <si>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</si>
  <si>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</si>
  <si>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</si>
  <si>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</si>
  <si>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</si>
  <si>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</si>
  <si>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</si>
  <si>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</si>
  <si>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</si>
  <si>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</si>
  <si>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</si>
  <si>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</si>
  <si>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</si>
  <si>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</si>
  <si>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</si>
  <si>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</si>
  <si>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</si>
  <si>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</si>
  <si>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</si>
  <si>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</si>
  <si>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</si>
  <si>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</si>
  <si>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</si>
  <si>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</si>
  <si>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</si>
  <si>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</si>
  <si>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</si>
  <si>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</si>
  <si>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</si>
  <si>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</si>
  <si>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</si>
  <si>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</si>
  <si>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</si>
  <si>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</si>
  <si>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</si>
  <si>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</si>
  <si>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</si>
  <si>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</si>
  <si>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</si>
  <si>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</si>
  <si>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</si>
  <si>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</si>
  <si>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</si>
  <si>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</si>
  <si>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</si>
  <si>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</si>
  <si>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</si>
  <si>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</si>
  <si>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</si>
  <si>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</si>
  <si>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</si>
  <si>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</si>
  <si>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</si>
  <si>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</si>
  <si>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</si>
  <si>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</si>
  <si>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</si>
  <si>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</si>
  <si>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</si>
  <si>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</si>
  <si>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</si>
  <si>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</si>
  <si>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</si>
  <si>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</si>
  <si>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</si>
  <si>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</si>
  <si>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</si>
  <si>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</si>
  <si>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</si>
  <si>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</si>
  <si>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</si>
  <si>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</si>
  <si>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</si>
  <si>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</si>
  <si>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</si>
  <si>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</si>
  <si>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</si>
  <si>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</si>
  <si>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</si>
  <si>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</si>
  <si>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</si>
  <si>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</si>
  <si>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</si>
  <si>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</si>
  <si>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</si>
  <si>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</si>
  <si>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</si>
  <si>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</si>
  <si>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</si>
  <si>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</si>
  <si>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</si>
  <si>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</si>
  <si>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</si>
  <si>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</si>
  <si>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</si>
  <si>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</si>
  <si>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</si>
  <si>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</si>
  <si>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</si>
  <si>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</si>
  <si>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</si>
  <si>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</si>
  <si>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</si>
  <si>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</si>
  <si>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</si>
  <si>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</si>
  <si>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</si>
  <si>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</si>
  <si>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</si>
  <si>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</si>
  <si>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</si>
  <si>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</si>
  <si>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</si>
  <si>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</si>
  <si>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</si>
  <si>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</si>
  <si>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</si>
  <si>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</si>
  <si>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</si>
  <si>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</si>
  <si>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</si>
  <si>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</si>
  <si>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</si>
  <si>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</si>
  <si>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</si>
  <si>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</si>
  <si>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</si>
  <si>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</si>
  <si>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</si>
  <si>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</si>
  <si>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</si>
  <si>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</si>
  <si>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</si>
  <si>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</si>
  <si>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</si>
  <si>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</si>
  <si>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</si>
  <si>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</si>
  <si>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</si>
  <si>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</si>
  <si>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</si>
  <si>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</si>
  <si>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</si>
  <si>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</si>
  <si>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</si>
  <si>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</si>
  <si>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</si>
  <si>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</si>
  <si>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</si>
  <si>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</si>
  <si>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</si>
  <si>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</si>
  <si>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</si>
  <si>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</si>
  <si>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</si>
  <si>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</si>
  <si>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</si>
  <si>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</si>
  <si>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</si>
  <si>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</si>
  <si>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</si>
  <si>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</si>
  <si>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</si>
  <si>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</si>
  <si>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</si>
  <si>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</si>
  <si>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</si>
  <si>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</si>
  <si>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</si>
  <si>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</si>
  <si>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</si>
  <si>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</si>
  <si>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</si>
  <si>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</si>
  <si>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</si>
  <si>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</si>
  <si>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</si>
  <si>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</si>
  <si>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</si>
  <si>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</si>
  <si>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</si>
  <si>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</si>
  <si>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</si>
  <si>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</si>
  <si>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</si>
  <si>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</si>
  <si>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</si>
  <si>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</si>
  <si>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</si>
  <si>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</si>
  <si>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</si>
  <si>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</si>
  <si>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</si>
  <si>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</si>
  <si>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</si>
  <si>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</si>
  <si>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</si>
  <si>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</si>
  <si>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</si>
  <si>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</si>
  <si>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</si>
  <si>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</si>
  <si>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</si>
  <si>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</si>
  <si>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</si>
  <si>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</si>
  <si>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</si>
  <si>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</si>
  <si>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</si>
  <si>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</si>
  <si>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</si>
  <si>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</si>
  <si>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</si>
  <si>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</si>
  <si>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</si>
  <si>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</si>
  <si>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</si>
  <si>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</si>
  <si>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</si>
  <si>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</si>
  <si>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</si>
  <si>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</si>
  <si>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</si>
  <si>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</si>
  <si>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</si>
  <si>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</si>
  <si>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</si>
  <si>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</si>
  <si>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</si>
  <si>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</si>
  <si>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</si>
  <si>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</si>
  <si>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</si>
  <si>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</si>
  <si>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</si>
  <si>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</si>
  <si>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</si>
  <si>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</si>
  <si>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</si>
  <si>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</si>
  <si>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</si>
  <si>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</si>
  <si>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</si>
  <si>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</si>
  <si>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</si>
  <si>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</si>
  <si>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</si>
  <si>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</si>
  <si>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</si>
  <si>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</si>
  <si>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</si>
  <si>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</si>
  <si>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</si>
  <si>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</si>
  <si>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</si>
  <si>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</si>
  <si>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</si>
  <si>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</si>
  <si>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</si>
  <si>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</si>
  <si>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</si>
  <si>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</si>
  <si>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</si>
  <si>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</si>
  <si>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</si>
  <si>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</si>
  <si>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</si>
  <si>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</si>
  <si>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</si>
  <si>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</si>
  <si>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</si>
  <si>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</si>
  <si>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</si>
  <si>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</si>
  <si>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</si>
  <si>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</si>
  <si>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</si>
  <si>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</si>
  <si>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</si>
  <si>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</si>
  <si>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</si>
  <si>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</si>
  <si>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</si>
  <si>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</si>
  <si>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</si>
  <si>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</si>
  <si>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</si>
  <si>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</si>
  <si>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</si>
  <si>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</si>
  <si>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</si>
  <si>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</si>
  <si>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</si>
  <si>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</si>
  <si>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</si>
  <si>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</si>
  <si>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</si>
  <si>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</si>
  <si>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</si>
  <si>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</si>
  <si>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</si>
  <si>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</si>
  <si>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</si>
  <si>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</si>
  <si>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</si>
  <si>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</si>
  <si>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</si>
  <si>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</si>
  <si>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</si>
  <si>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</si>
  <si>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</si>
  <si>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</si>
  <si>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</si>
  <si>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</si>
  <si>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</si>
  <si>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</si>
  <si>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</si>
  <si>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</si>
  <si>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</si>
  <si>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</si>
  <si>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</si>
  <si>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</si>
  <si>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</si>
  <si>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</si>
  <si>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</si>
  <si>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</si>
  <si>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</si>
  <si>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</si>
  <si>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</si>
  <si>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</si>
  <si>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</si>
  <si>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</si>
  <si>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</si>
  <si>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</si>
  <si>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</si>
  <si>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</si>
  <si>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</si>
  <si>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</si>
  <si>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</si>
  <si>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</si>
  <si>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</si>
  <si>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</si>
  <si>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</si>
  <si>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</si>
  <si>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</si>
  <si>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</si>
  <si>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</si>
  <si>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</si>
  <si>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</si>
  <si>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</si>
  <si>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</si>
  <si>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</si>
  <si>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</si>
  <si>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</si>
  <si>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</si>
  <si>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</si>
  <si>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</si>
  <si>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</si>
  <si>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</si>
  <si>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</si>
  <si>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</si>
  <si>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</si>
  <si>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</si>
  <si>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</si>
  <si>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</si>
  <si>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</si>
  <si>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</si>
  <si>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</si>
  <si>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</si>
  <si>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</si>
  <si>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</si>
  <si>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</si>
  <si>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</si>
  <si>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</si>
  <si>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</si>
  <si>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</si>
  <si>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</si>
  <si>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</si>
  <si>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</si>
  <si>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</si>
  <si>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</si>
  <si>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</si>
  <si>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</si>
  <si>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</si>
  <si>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</si>
  <si>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</si>
  <si>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</si>
  <si>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</si>
  <si>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</si>
  <si>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</si>
  <si>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</si>
  <si>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</si>
  <si>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</si>
  <si>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</si>
  <si>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</si>
  <si>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</si>
  <si>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</si>
  <si>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</si>
  <si>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</si>
  <si>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</si>
  <si>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</si>
  <si>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</si>
  <si>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</si>
  <si>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</si>
  <si>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</si>
  <si>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</si>
  <si>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</si>
  <si>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</si>
  <si>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</si>
  <si>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</si>
  <si>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</si>
  <si>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</si>
  <si>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</si>
  <si>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</si>
  <si>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</si>
  <si>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</si>
  <si>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</si>
  <si>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</si>
  <si>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</si>
  <si>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</si>
  <si>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</si>
  <si>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</si>
  <si>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</si>
  <si>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</si>
  <si>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</si>
  <si>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</si>
  <si>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</si>
  <si>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</si>
  <si>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</si>
  <si>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</si>
  <si>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</si>
  <si>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</si>
  <si>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</si>
  <si>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</si>
  <si>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</si>
  <si>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</si>
  <si>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</si>
  <si>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</si>
  <si>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</si>
  <si>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</si>
  <si>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</si>
  <si>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</si>
  <si>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</si>
  <si>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</si>
  <si>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</si>
  <si>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</si>
  <si>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</si>
  <si>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</si>
  <si>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</si>
  <si>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</si>
  <si>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</si>
  <si>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</si>
  <si>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</si>
  <si>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</si>
  <si>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</si>
  <si>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</si>
  <si>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</si>
  <si>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</si>
  <si>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</si>
  <si>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</si>
  <si>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</si>
  <si>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</si>
  <si>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</si>
  <si>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</si>
  <si>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</si>
  <si>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</si>
  <si>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</si>
  <si>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</si>
  <si>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</si>
  <si>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</si>
  <si>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</si>
  <si>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</si>
  <si>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</si>
  <si>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</si>
  <si>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</si>
  <si>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</si>
  <si>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</si>
  <si>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</si>
  <si>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</si>
  <si>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</si>
  <si>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</si>
  <si>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</si>
  <si>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</si>
  <si>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</si>
  <si>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</si>
  <si>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</si>
  <si>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</si>
  <si>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</si>
  <si>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</si>
  <si>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</si>
  <si>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</si>
  <si>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</si>
  <si>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</si>
  <si>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</si>
  <si>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</si>
  <si>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</si>
  <si>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</si>
  <si>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</si>
  <si>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</si>
  <si>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</si>
  <si>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</si>
  <si>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</si>
  <si>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</si>
  <si>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</si>
  <si>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</si>
  <si>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</si>
  <si>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</si>
  <si>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</si>
  <si>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</si>
  <si>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</si>
  <si>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</si>
  <si>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</si>
  <si>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</si>
  <si>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</si>
  <si>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</si>
  <si>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</si>
  <si>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</si>
  <si>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</si>
  <si>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</si>
  <si>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</si>
  <si>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</si>
  <si>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</si>
  <si>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</si>
  <si>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</si>
  <si>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</si>
  <si>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</si>
  <si>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</si>
  <si>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</si>
  <si>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</si>
  <si>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</si>
  <si>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</si>
  <si>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</si>
  <si>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</si>
  <si>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</si>
  <si>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</si>
  <si>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</si>
  <si>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</si>
  <si>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</si>
  <si>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</si>
  <si>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</si>
  <si>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</si>
  <si>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</si>
  <si>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</si>
  <si>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</si>
  <si>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</si>
  <si>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</si>
  <si>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</si>
  <si>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</si>
  <si>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</si>
  <si>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</si>
  <si>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</si>
  <si>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</si>
  <si>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</si>
  <si>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</si>
  <si>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</si>
  <si>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</si>
  <si>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</si>
  <si>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</si>
  <si>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</si>
  <si>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</si>
  <si>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</si>
  <si>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</si>
  <si>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</si>
  <si>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</si>
  <si>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</si>
  <si>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</si>
  <si>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</si>
  <si>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</si>
  <si>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</si>
  <si>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</si>
  <si>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</si>
  <si>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</si>
  <si>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</si>
  <si>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</si>
  <si>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</si>
  <si>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</si>
  <si>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</si>
  <si>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</si>
  <si>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</si>
  <si>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</si>
  <si>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</si>
  <si>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</si>
  <si>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</si>
  <si>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</si>
  <si>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</si>
  <si>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</si>
  <si>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</si>
  <si>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</si>
  <si>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</si>
  <si>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</si>
  <si>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</si>
  <si>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</si>
  <si>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</si>
  <si>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</si>
  <si>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</si>
  <si>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</si>
  <si>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</si>
  <si>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</si>
  <si>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</si>
  <si>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</si>
  <si>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</si>
  <si>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</si>
  <si>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</si>
  <si>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</si>
  <si>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</si>
  <si>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</si>
  <si>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</si>
  <si>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</si>
  <si>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</si>
  <si>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</si>
  <si>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</si>
  <si>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</si>
  <si>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</si>
  <si>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</si>
  <si>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</si>
  <si>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</si>
  <si>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</si>
  <si>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</si>
  <si>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</si>
  <si>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</si>
  <si>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</si>
  <si>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</si>
  <si>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</si>
  <si>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</si>
  <si>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</si>
  <si>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</si>
  <si>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</si>
  <si>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</si>
  <si>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</si>
  <si>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</si>
  <si>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</si>
  <si>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</si>
  <si>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</si>
  <si>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</si>
  <si>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</si>
  <si>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</si>
  <si>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</si>
  <si>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</si>
  <si>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</si>
  <si>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</si>
  <si>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</si>
  <si>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</si>
  <si>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</si>
  <si>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</si>
  <si>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</si>
  <si>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</si>
  <si>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</si>
  <si>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</si>
  <si>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</si>
  <si>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</si>
  <si>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</si>
  <si>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</si>
  <si>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</si>
  <si>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</si>
  <si>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</si>
  <si>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</si>
  <si>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</si>
  <si>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</si>
  <si>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</si>
  <si>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</si>
  <si>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</si>
  <si>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</si>
  <si>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</si>
  <si>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</si>
  <si>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</si>
  <si>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</si>
  <si>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</si>
  <si>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</si>
  <si>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</si>
  <si>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</si>
  <si>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</si>
  <si>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</si>
  <si>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</si>
  <si>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</si>
  <si>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</si>
  <si>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</si>
  <si>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</si>
  <si>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</si>
  <si>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</si>
  <si>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</si>
  <si>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</si>
  <si>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</si>
  <si>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</si>
  <si>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</si>
  <si>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</si>
  <si>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</si>
  <si>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</si>
  <si>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</si>
  <si>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</si>
  <si>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</si>
  <si>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</si>
  <si>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</si>
  <si>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</si>
  <si>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</si>
  <si>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</si>
  <si>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</si>
  <si>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</si>
  <si>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</si>
  <si>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</si>
  <si>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</si>
  <si>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</si>
  <si>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</si>
  <si>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</si>
  <si>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</si>
  <si>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</si>
  <si>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</si>
  <si>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</si>
  <si>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</si>
  <si>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</si>
  <si>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</si>
  <si>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</si>
  <si>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</si>
  <si>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</si>
  <si>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</si>
  <si>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</si>
  <si>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</si>
  <si>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</si>
  <si>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</si>
  <si>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</si>
  <si>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</si>
  <si>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</si>
  <si>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</si>
  <si>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</si>
  <si>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</si>
  <si>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</si>
  <si>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</si>
  <si>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</si>
  <si>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</si>
  <si>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</si>
  <si>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</si>
  <si>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</si>
  <si>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</si>
  <si>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</si>
  <si>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</si>
  <si>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</si>
  <si>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</si>
  <si>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</si>
  <si>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</si>
  <si>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</si>
  <si>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</si>
  <si>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</si>
  <si>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</si>
  <si>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</si>
  <si>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</si>
  <si>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</si>
  <si>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</si>
  <si>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</si>
  <si>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</si>
  <si>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</si>
  <si>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</si>
  <si>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</si>
  <si>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</si>
  <si>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</si>
  <si>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</si>
  <si>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</si>
  <si>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</si>
  <si>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</si>
  <si>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</si>
  <si>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</si>
  <si>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</si>
  <si>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</si>
  <si>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</si>
  <si>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</si>
  <si>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</si>
  <si>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</si>
  <si>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</si>
  <si>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</si>
  <si>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</si>
  <si>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</si>
  <si>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</si>
  <si>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</si>
  <si>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</si>
  <si>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</si>
  <si>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</si>
  <si>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</si>
  <si>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</si>
  <si>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</si>
  <si>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</si>
  <si>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</si>
  <si>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</si>
  <si>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</si>
  <si>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</si>
  <si>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</si>
  <si>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</si>
  <si>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</si>
  <si>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</si>
  <si>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</si>
  <si>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</si>
  <si>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</si>
  <si>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</si>
  <si>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</si>
  <si>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</si>
  <si>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</si>
  <si>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</si>
  <si>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</si>
  <si>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</si>
  <si>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</si>
  <si>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</si>
  <si>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</si>
  <si>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</si>
  <si>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</si>
  <si>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</si>
  <si>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</si>
  <si>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</si>
  <si>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</si>
  <si>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</si>
  <si>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</si>
  <si>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</si>
  <si>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</si>
  <si>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</si>
  <si>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</si>
  <si>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</si>
  <si>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</si>
  <si>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</si>
  <si>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</si>
  <si>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</si>
  <si>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</si>
  <si>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</si>
  <si>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</si>
  <si>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</si>
  <si>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</si>
  <si>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</si>
  <si>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</si>
  <si>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</si>
  <si>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</si>
  <si>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</si>
  <si>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</si>
  <si>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</si>
  <si>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</si>
  <si>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</si>
  <si>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</si>
  <si>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</si>
  <si>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</si>
  <si>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</si>
  <si>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</si>
  <si>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</si>
  <si>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</si>
  <si>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</si>
  <si>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</si>
  <si>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</si>
  <si>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</si>
  <si>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</si>
  <si>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</si>
  <si>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</si>
  <si>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</si>
  <si>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</si>
  <si>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</si>
  <si>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</si>
  <si>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</si>
  <si>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</si>
  <si>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</si>
  <si>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</si>
  <si>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</si>
  <si>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</si>
  <si>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</si>
  <si>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</si>
  <si>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</si>
  <si>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</si>
  <si>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</si>
  <si>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</si>
  <si>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</si>
  <si>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</si>
  <si>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</si>
  <si>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</si>
  <si>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</si>
  <si>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</si>
  <si>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</si>
  <si>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</si>
  <si>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</si>
  <si>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</si>
  <si>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</si>
  <si>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</si>
  <si>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</si>
  <si>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</si>
  <si>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</si>
  <si>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</si>
  <si>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</si>
  <si>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</si>
  <si>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</si>
  <si>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</si>
  <si>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</si>
  <si>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</si>
  <si>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</si>
  <si>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</si>
  <si>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</si>
  <si>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</si>
  <si>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</si>
  <si>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</si>
  <si>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</si>
  <si>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</si>
  <si>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</si>
  <si>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</si>
  <si>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</si>
  <si>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</si>
  <si>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</si>
  <si>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</si>
  <si>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</si>
  <si>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</si>
  <si>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</si>
  <si>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</si>
  <si>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</si>
  <si>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</si>
  <si>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</si>
  <si>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</si>
  <si>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</si>
  <si>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</si>
  <si>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</si>
  <si>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</si>
  <si>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</si>
  <si>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</si>
  <si>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</si>
  <si>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</si>
  <si>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</si>
  <si>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</si>
  <si>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</si>
  <si>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</si>
  <si>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</si>
  <si>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</si>
  <si>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</si>
  <si>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</si>
  <si>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</si>
  <si>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</si>
  <si>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</si>
  <si>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</si>
  <si>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</si>
  <si>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</si>
  <si>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</si>
  <si>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</si>
  <si>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</si>
  <si>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</si>
  <si>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</si>
  <si>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</si>
  <si>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</si>
  <si>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</si>
  <si>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</si>
  <si>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</si>
  <si>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</si>
  <si>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</si>
  <si>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</si>
  <si>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</si>
  <si>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</si>
  <si>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</si>
  <si>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</si>
  <si>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</si>
  <si>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</si>
  <si>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</si>
  <si>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</si>
  <si>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</si>
  <si>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</si>
  <si>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</si>
  <si>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</si>
  <si>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</si>
  <si>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</si>
  <si>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</si>
  <si>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</si>
  <si>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</si>
  <si>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</si>
  <si>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</si>
  <si>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</si>
  <si>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</si>
  <si>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</si>
  <si>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</si>
  <si>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</si>
  <si>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</si>
  <si>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</si>
  <si>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</si>
  <si>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</si>
  <si>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</si>
  <si>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</si>
  <si>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</si>
  <si>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</si>
  <si>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</si>
  <si>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</si>
  <si>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</si>
  <si>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</si>
  <si>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</si>
  <si>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</si>
  <si>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</si>
  <si>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</si>
  <si>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</si>
  <si>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</si>
  <si>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</si>
  <si>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</si>
  <si>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</si>
  <si>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</si>
  <si>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</si>
  <si>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</si>
  <si>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</si>
  <si>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</si>
  <si>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</si>
  <si>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</si>
  <si>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</si>
  <si>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</si>
  <si>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</si>
  <si>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</si>
  <si>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</si>
  <si>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</si>
  <si>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</si>
  <si>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</si>
  <si>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</si>
  <si>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</si>
  <si>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</si>
  <si>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</si>
  <si>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</si>
  <si>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</si>
  <si>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</si>
  <si>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</si>
  <si>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</si>
  <si>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</si>
  <si>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</si>
  <si>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</si>
  <si>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</si>
  <si>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</si>
  <si>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</si>
  <si>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</si>
  <si>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</si>
  <si>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</si>
  <si>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</si>
  <si>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</si>
  <si>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</si>
  <si>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</si>
  <si>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</si>
  <si>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</si>
  <si>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</si>
  <si>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</si>
  <si>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</si>
  <si>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</si>
  <si>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</si>
  <si>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</si>
  <si>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</si>
  <si>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</si>
  <si>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</si>
  <si>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</si>
  <si>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</si>
  <si>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</si>
  <si>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</si>
  <si>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</si>
  <si>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</si>
  <si>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</si>
  <si>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</si>
  <si>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</si>
  <si>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</si>
  <si>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</si>
  <si>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</si>
  <si>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</si>
  <si>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</si>
  <si>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</si>
  <si>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</si>
  <si>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</si>
  <si>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</si>
  <si>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</si>
  <si>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</si>
  <si>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</si>
  <si>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</si>
  <si>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</si>
  <si>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</si>
  <si>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</si>
  <si>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</si>
  <si>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</si>
  <si>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</si>
  <si>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</si>
  <si>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</si>
  <si>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</si>
  <si>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</si>
  <si>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</si>
  <si>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</si>
  <si>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</si>
  <si>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</si>
  <si>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</si>
  <si>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</si>
  <si>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</si>
  <si>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</si>
  <si>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</si>
  <si>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</si>
  <si>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</si>
  <si>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</si>
  <si>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</si>
  <si>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</si>
  <si>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</si>
  <si>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</si>
  <si>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</si>
  <si>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</si>
  <si>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</si>
  <si>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</si>
  <si>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</si>
  <si>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</si>
  <si>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</si>
  <si>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</si>
  <si>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</si>
  <si>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</si>
  <si>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</si>
  <si>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</si>
  <si>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</si>
  <si>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</si>
  <si>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</si>
  <si>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</si>
  <si>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</si>
  <si>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</si>
  <si>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</si>
  <si>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</si>
  <si>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</si>
  <si>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</si>
  <si>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</si>
  <si>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</si>
  <si>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</si>
  <si>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</si>
  <si>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</si>
  <si>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</si>
  <si>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</si>
  <si>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</si>
  <si>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</si>
  <si>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</si>
  <si>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</si>
  <si>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</si>
  <si>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</si>
  <si>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</si>
  <si>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</si>
  <si>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</si>
  <si>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</si>
  <si>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</si>
  <si>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</si>
  <si>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</si>
  <si>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</si>
  <si>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</si>
  <si>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</si>
  <si>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</si>
  <si>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</si>
  <si>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</si>
  <si>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</si>
  <si>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</si>
  <si>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</si>
  <si>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</si>
  <si>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</si>
  <si>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</si>
  <si>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</si>
  <si>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</si>
  <si>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</si>
  <si>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</si>
  <si>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</si>
  <si>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</si>
  <si>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</si>
  <si>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</si>
  <si>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</si>
  <si>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</si>
  <si>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</si>
  <si>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</si>
  <si>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</si>
  <si>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</si>
  <si>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</si>
  <si>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</si>
  <si>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</si>
  <si>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</si>
  <si>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</si>
  <si>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</si>
  <si>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</si>
  <si>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</si>
  <si>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</si>
  <si>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</si>
  <si>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</si>
  <si>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</si>
  <si>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</si>
  <si>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</si>
  <si>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</si>
  <si>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</si>
  <si>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</si>
  <si>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</si>
  <si>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</si>
  <si>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</si>
  <si>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</si>
  <si>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</si>
  <si>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</si>
  <si>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</si>
  <si>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</si>
  <si>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</si>
  <si>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</si>
  <si>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</si>
  <si>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</si>
  <si>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</si>
  <si>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</si>
  <si>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</si>
  <si>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</si>
  <si>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</si>
  <si>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</si>
  <si>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</si>
  <si>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</si>
  <si>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</si>
  <si>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</si>
  <si>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</si>
  <si>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</si>
  <si>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</si>
  <si>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</si>
  <si>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</si>
  <si>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</si>
  <si>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</si>
  <si>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</si>
  <si>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</si>
  <si>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</si>
  <si>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</si>
  <si>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</si>
  <si>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</si>
  <si>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</si>
  <si>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</si>
  <si>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</si>
  <si>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</si>
  <si>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</si>
  <si>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</si>
  <si>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</si>
  <si>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</si>
  <si>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</si>
  <si>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</si>
  <si>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</si>
  <si>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</si>
  <si>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</si>
  <si>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</si>
  <si>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</si>
  <si>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</si>
  <si>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</si>
  <si>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</si>
  <si>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</si>
  <si>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</si>
  <si>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</si>
  <si>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</si>
  <si>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</si>
  <si>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</si>
  <si>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</si>
  <si>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</si>
  <si>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</si>
  <si>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</si>
  <si>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</si>
  <si>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</si>
  <si>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</si>
  <si>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</si>
  <si>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</si>
  <si>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</si>
  <si>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</si>
  <si>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</si>
  <si>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</si>
  <si>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</si>
  <si>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</si>
  <si>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</si>
  <si>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</si>
  <si>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</si>
  <si>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</si>
  <si>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</si>
  <si>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</si>
  <si>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</si>
  <si>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</si>
  <si>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</si>
  <si>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</si>
  <si>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</si>
  <si>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</si>
  <si>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</si>
  <si>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</si>
  <si>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</si>
  <si>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</si>
  <si>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</si>
  <si>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</si>
  <si>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</si>
  <si>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</si>
  <si>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</si>
  <si>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</si>
  <si>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</si>
  <si>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</si>
  <si>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</si>
  <si>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</si>
  <si>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</si>
  <si>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</si>
  <si>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</si>
  <si>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</si>
  <si>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</si>
  <si>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</si>
  <si>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</si>
  <si>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</si>
  <si>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</si>
  <si>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</si>
  <si>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</si>
  <si>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</si>
  <si>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</si>
  <si>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</si>
  <si>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</si>
  <si>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</si>
  <si>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</si>
  <si>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</si>
  <si>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</si>
  <si>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</si>
  <si>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</si>
  <si>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</si>
  <si>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</si>
  <si>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</si>
  <si>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</si>
  <si>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</si>
  <si>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</si>
  <si>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</si>
  <si>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</si>
  <si>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</si>
  <si>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</si>
  <si>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</si>
  <si>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</si>
  <si>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</si>
  <si>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</si>
  <si>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</si>
  <si>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</si>
  <si>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</si>
  <si>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</si>
  <si>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</si>
  <si>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</si>
  <si>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</si>
  <si>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</si>
  <si>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</si>
  <si>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</si>
  <si>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</si>
  <si>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</si>
  <si>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</si>
  <si>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</si>
  <si>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</si>
  <si>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</si>
  <si>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</si>
  <si>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</si>
  <si>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</si>
  <si>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</si>
  <si>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</si>
  <si>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</si>
  <si>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</si>
  <si>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</si>
  <si>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</si>
  <si>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</si>
  <si>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</si>
  <si>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</si>
  <si>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</si>
  <si>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</si>
  <si>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</si>
  <si>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</si>
  <si>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</si>
  <si>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</si>
  <si>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</si>
  <si>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</si>
  <si>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</si>
  <si>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</si>
  <si>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</si>
  <si>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</si>
  <si>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</si>
  <si>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</si>
  <si>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</si>
  <si>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</si>
  <si>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</si>
  <si>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</si>
  <si>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</si>
  <si>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</si>
  <si>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</si>
  <si>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</si>
  <si>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</si>
  <si>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</si>
  <si>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</si>
  <si>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</si>
  <si>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</si>
  <si>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</si>
  <si>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</si>
  <si>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</si>
  <si>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</si>
  <si>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</si>
  <si>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</si>
  <si>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</si>
  <si>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</si>
  <si>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</si>
  <si>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</si>
  <si>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</si>
  <si>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</si>
  <si>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</si>
  <si>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</si>
  <si>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</si>
  <si>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</si>
  <si>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</si>
  <si>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</si>
  <si>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</si>
  <si>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</si>
  <si>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</si>
  <si>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</si>
  <si>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</si>
  <si>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</si>
  <si>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</si>
  <si>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</si>
  <si>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</si>
  <si>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</si>
  <si>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</si>
  <si>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</si>
  <si>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</si>
  <si>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</si>
  <si>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</si>
  <si>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</si>
  <si>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</si>
  <si>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</si>
  <si>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</si>
  <si>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</si>
  <si>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</si>
  <si>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</si>
  <si>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</si>
  <si>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</si>
  <si>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</si>
  <si>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</si>
  <si>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</si>
  <si>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</si>
  <si>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</si>
  <si>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</si>
  <si>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</si>
  <si>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</si>
  <si>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</si>
  <si>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</si>
  <si>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</si>
  <si>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</si>
  <si>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</si>
  <si>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</si>
  <si>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</si>
  <si>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</si>
  <si>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</si>
  <si>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</si>
  <si>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</si>
  <si>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</si>
  <si>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</si>
  <si>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</si>
  <si>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</si>
  <si>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</si>
  <si>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</si>
  <si>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</si>
  <si>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</si>
  <si>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</si>
  <si>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</si>
  <si>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</si>
  <si>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</si>
  <si>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</si>
  <si>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</si>
  <si>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</si>
  <si>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</si>
  <si>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</si>
  <si>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</si>
  <si>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</si>
  <si>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</si>
  <si>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</si>
  <si>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</si>
  <si>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</si>
  <si>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</si>
  <si>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</si>
  <si>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</si>
  <si>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</si>
  <si>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</si>
  <si>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</si>
  <si>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</si>
  <si>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</si>
  <si>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</si>
  <si>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</si>
  <si>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</si>
  <si>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</si>
  <si>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</si>
  <si>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</si>
  <si>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</si>
  <si>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</si>
  <si>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</si>
  <si>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</si>
  <si>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</si>
  <si>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</si>
  <si>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</si>
  <si>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</si>
  <si>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</si>
  <si>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</si>
  <si>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</si>
  <si>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</si>
  <si>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</si>
  <si>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</si>
  <si>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</si>
  <si>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</si>
  <si>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</si>
  <si>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</si>
  <si>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</si>
  <si>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</si>
  <si>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</si>
  <si>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</si>
  <si>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</si>
  <si>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</si>
  <si>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</si>
  <si>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</si>
  <si>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</si>
  <si>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</si>
  <si>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</si>
  <si>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</si>
  <si>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</si>
  <si>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</si>
  <si>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</si>
  <si>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</si>
  <si>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</si>
  <si>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</si>
  <si>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</si>
  <si>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</si>
  <si>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</si>
  <si>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</si>
  <si>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</si>
  <si>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</si>
  <si>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</si>
  <si>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</si>
  <si>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</si>
  <si>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</si>
  <si>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</si>
  <si>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</si>
  <si>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</si>
  <si>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</si>
  <si>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</si>
  <si>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</si>
  <si>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</si>
  <si>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</si>
  <si>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</si>
  <si>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</si>
  <si>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</si>
  <si>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</si>
  <si>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</si>
  <si>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</si>
  <si>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</si>
  <si>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</si>
  <si>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</si>
  <si>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</si>
  <si>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</si>
  <si>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</si>
  <si>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</si>
  <si>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</si>
  <si>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</si>
  <si>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</si>
  <si>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</si>
  <si>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</si>
  <si>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</si>
  <si>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</si>
  <si>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</si>
  <si>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</si>
  <si>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</si>
  <si>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</si>
  <si>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</si>
  <si>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</si>
  <si>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</si>
  <si>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</si>
  <si>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</si>
  <si>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</si>
  <si>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</si>
  <si>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</si>
  <si>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</si>
  <si>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</si>
  <si>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</si>
  <si>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</si>
  <si>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</si>
  <si>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</si>
  <si>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</si>
  <si>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</si>
  <si>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</si>
  <si>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</si>
  <si>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</si>
  <si>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</si>
  <si>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</si>
  <si>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</si>
  <si>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</si>
  <si>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</si>
  <si>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</si>
  <si>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</si>
  <si>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</si>
  <si>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</si>
  <si>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</si>
  <si>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</si>
  <si>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</si>
  <si>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</si>
  <si>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</si>
  <si>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</si>
  <si>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</si>
  <si>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</si>
  <si>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</si>
  <si>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</si>
  <si>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</si>
  <si>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</si>
  <si>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</si>
  <si>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</si>
  <si>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</si>
  <si>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</si>
  <si>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</si>
  <si>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</si>
  <si>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</si>
  <si>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</si>
  <si>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</si>
  <si>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</si>
  <si>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</si>
  <si>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</si>
  <si>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</si>
  <si>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</si>
  <si>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</si>
  <si>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</si>
  <si>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</si>
  <si>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</si>
  <si>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</si>
  <si>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</si>
  <si>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</si>
  <si>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</si>
  <si>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</si>
  <si>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</si>
  <si>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</si>
  <si>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</si>
  <si>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</si>
  <si>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</si>
  <si>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</si>
  <si>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</si>
  <si>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</si>
  <si>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</si>
  <si>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</si>
  <si>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</si>
  <si>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</si>
  <si>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</si>
  <si>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</si>
  <si>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</si>
  <si>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</si>
  <si>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</si>
  <si>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</si>
  <si>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</si>
  <si>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</si>
  <si>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</si>
  <si>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</si>
  <si>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</si>
  <si>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</si>
  <si>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</si>
  <si>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</si>
  <si>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</si>
  <si>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</si>
  <si>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</si>
  <si>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</si>
  <si>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</si>
  <si>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</si>
  <si>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</si>
  <si>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</si>
  <si>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</si>
  <si>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</si>
  <si>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</si>
  <si>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</si>
  <si>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</si>
  <si>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</si>
  <si>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</si>
  <si>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</si>
  <si>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</si>
  <si>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</si>
  <si>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</si>
  <si>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</si>
  <si>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</si>
  <si>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</si>
  <si>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</si>
  <si>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</si>
  <si>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</si>
  <si>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</si>
  <si>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</si>
  <si>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</si>
  <si>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</si>
  <si>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</si>
  <si>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</si>
  <si>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</si>
  <si>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</si>
  <si>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</si>
  <si>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</si>
  <si>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</si>
  <si>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</si>
  <si>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</si>
  <si>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</si>
  <si>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</si>
  <si>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</si>
  <si>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</si>
  <si>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</si>
  <si>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</si>
  <si>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</si>
  <si>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</si>
  <si>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</si>
  <si>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</si>
  <si>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</si>
  <si>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</si>
  <si>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</si>
  <si>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</si>
  <si>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</si>
  <si>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</si>
  <si>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</si>
  <si>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</si>
  <si>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</si>
  <si>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</si>
  <si>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</si>
  <si>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</si>
  <si>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</si>
  <si>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</si>
  <si>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</si>
  <si>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</si>
  <si>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</si>
  <si>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</si>
  <si>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</si>
  <si>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</si>
  <si>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</si>
  <si>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</si>
  <si>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</si>
  <si>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</si>
  <si>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</si>
  <si>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</si>
  <si>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</si>
  <si>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</si>
  <si>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</si>
  <si>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</si>
  <si>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</si>
  <si>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</si>
  <si>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</si>
  <si>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</si>
  <si>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</si>
  <si>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</si>
  <si>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</si>
  <si>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</si>
  <si>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</si>
  <si>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</si>
  <si>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</si>
  <si>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</si>
  <si>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</si>
  <si>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</si>
  <si>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</si>
  <si>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</si>
  <si>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</si>
  <si>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</si>
  <si>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</si>
  <si>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</si>
  <si>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</si>
  <si>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</si>
  <si>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</si>
  <si>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</si>
  <si>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</si>
  <si>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</si>
  <si>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</si>
  <si>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</si>
  <si>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</si>
  <si>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</si>
  <si>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</si>
  <si>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</si>
  <si>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</si>
  <si>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</si>
  <si>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</si>
  <si>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</si>
  <si>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</si>
  <si>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</si>
  <si>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</si>
  <si>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</si>
  <si>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</si>
  <si>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</si>
  <si>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</si>
  <si>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</si>
  <si>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</si>
  <si>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</si>
  <si>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</si>
  <si>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</si>
  <si>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</si>
  <si>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</si>
  <si>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</si>
  <si>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</si>
  <si>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</si>
  <si>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</si>
  <si>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</si>
  <si>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</si>
  <si>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</si>
  <si>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</si>
  <si>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</si>
  <si>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</si>
  <si>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</si>
  <si>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</si>
  <si>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</si>
  <si>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</si>
  <si>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</si>
  <si>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</si>
  <si>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</si>
  <si>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</si>
  <si>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</si>
  <si>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</si>
  <si>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</si>
  <si>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</si>
  <si>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</si>
  <si>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</si>
  <si>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</si>
  <si>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</si>
  <si>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</si>
  <si>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</si>
  <si>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</si>
  <si>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</si>
  <si>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</si>
  <si>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</si>
  <si>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</si>
  <si>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</si>
  <si>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</si>
  <si>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</si>
  <si>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</si>
  <si>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</si>
  <si>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</si>
  <si>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</si>
  <si>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</si>
  <si>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</si>
  <si>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</si>
  <si>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</si>
  <si>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</si>
  <si>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</si>
  <si>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</si>
  <si>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</si>
  <si>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</si>
  <si>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</si>
  <si>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</si>
  <si>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</si>
  <si>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</si>
  <si>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</si>
  <si>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</si>
  <si>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</si>
  <si>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</si>
  <si>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</si>
  <si>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</si>
  <si>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</si>
  <si>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</si>
  <si>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</si>
  <si>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</si>
  <si>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</si>
  <si>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</si>
  <si>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</si>
  <si>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</si>
  <si>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</si>
  <si>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</si>
  <si>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</si>
  <si>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</si>
  <si>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</si>
  <si>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</si>
  <si>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</si>
  <si>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</si>
  <si>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</si>
  <si>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</si>
  <si>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</si>
  <si>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</si>
  <si>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</si>
  <si>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</si>
  <si>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</si>
  <si>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</si>
  <si>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</si>
  <si>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</si>
  <si>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</si>
  <si>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</si>
  <si>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</si>
  <si>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</si>
  <si>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</si>
  <si>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</si>
  <si>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</si>
  <si>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</si>
  <si>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</si>
  <si>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</si>
  <si>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</si>
  <si>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</si>
  <si>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</si>
  <si>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</si>
  <si>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</si>
  <si>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</si>
  <si>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</si>
  <si>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</si>
  <si>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</si>
  <si>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</si>
  <si>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</si>
  <si>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</si>
  <si>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</si>
  <si>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</si>
  <si>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</si>
  <si>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</si>
  <si>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</si>
  <si>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</si>
  <si>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</si>
  <si>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</si>
  <si>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</si>
  <si>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</si>
  <si>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</si>
  <si>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</si>
  <si>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</si>
  <si>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</si>
  <si>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</si>
  <si>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</si>
  <si>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</si>
  <si>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</si>
  <si>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</si>
  <si>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</si>
  <si>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</si>
  <si>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</si>
  <si>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</si>
  <si>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</si>
  <si>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</si>
  <si>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</si>
  <si>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</si>
  <si>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</si>
  <si>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</si>
  <si>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</si>
  <si>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</si>
  <si>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</si>
  <si>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</si>
  <si>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</si>
  <si>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</si>
  <si>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</si>
  <si>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</si>
  <si>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</si>
  <si>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</si>
  <si>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</si>
  <si>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</si>
  <si>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</si>
  <si>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</si>
  <si>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</si>
  <si>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</si>
  <si>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</si>
  <si>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</si>
  <si>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</si>
  <si>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</si>
  <si>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</si>
  <si>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</si>
  <si>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</si>
  <si>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</si>
  <si>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</si>
  <si>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</si>
  <si>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</si>
  <si>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</si>
  <si>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</si>
  <si>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</si>
  <si>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</si>
  <si>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</si>
  <si>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</si>
  <si>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</si>
  <si>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</si>
  <si>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</si>
  <si>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</si>
  <si>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</si>
  <si>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</si>
  <si>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</si>
  <si>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</si>
  <si>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</si>
  <si>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</si>
  <si>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</si>
  <si>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</si>
  <si>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</si>
  <si>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</si>
  <si>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</si>
  <si>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</si>
  <si>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</si>
  <si>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</si>
  <si>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</si>
  <si>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</si>
  <si>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</si>
  <si>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</si>
  <si>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</si>
  <si>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</si>
  <si>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</si>
  <si>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</si>
  <si>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</si>
  <si>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</si>
  <si>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</si>
  <si>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</si>
  <si>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</si>
  <si>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</si>
  <si>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</si>
  <si>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</si>
  <si>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</si>
  <si>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</si>
  <si>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</si>
  <si>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</si>
  <si>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</si>
  <si>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</si>
  <si>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</si>
  <si>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</si>
  <si>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</si>
  <si>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</si>
  <si>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</si>
  <si>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</si>
  <si>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</si>
  <si>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</si>
  <si>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</si>
  <si>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</si>
  <si>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</si>
  <si>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</si>
  <si>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</si>
  <si>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</si>
  <si>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</si>
  <si>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</si>
  <si>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</si>
  <si>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</si>
  <si>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</si>
  <si>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</si>
  <si>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</si>
  <si>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</si>
  <si>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</si>
  <si>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</si>
  <si>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</si>
  <si>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</si>
  <si>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</si>
  <si>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</si>
  <si>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</si>
  <si>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</si>
  <si>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</si>
  <si>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</si>
  <si>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</si>
  <si>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</si>
  <si>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</si>
  <si>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</si>
  <si>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</si>
  <si>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</si>
  <si>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</si>
  <si>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</si>
  <si>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</si>
  <si>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</si>
  <si>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</si>
  <si>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</si>
  <si>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</si>
  <si>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</si>
  <si>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</si>
  <si>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</si>
  <si>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</si>
  <si>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</si>
  <si>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</si>
  <si>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</si>
  <si>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</si>
  <si>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</si>
  <si>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</si>
  <si>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</si>
  <si>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</si>
  <si>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</si>
  <si>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</si>
  <si>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</si>
  <si>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</si>
  <si>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</si>
  <si>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</si>
  <si>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</si>
  <si>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</si>
  <si>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</si>
  <si>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</si>
  <si>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</si>
  <si>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</si>
  <si>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</si>
  <si>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</si>
  <si>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</si>
  <si>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</si>
  <si>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</si>
  <si>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</si>
  <si>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</si>
  <si>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</si>
  <si>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</si>
  <si>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</si>
  <si>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</si>
  <si>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</si>
  <si>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</si>
  <si>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</si>
  <si>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</si>
  <si>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</si>
  <si>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</si>
  <si>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</si>
  <si>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</si>
  <si>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</si>
  <si>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</si>
  <si>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</si>
  <si>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</si>
  <si>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</si>
  <si>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</si>
  <si>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</si>
  <si>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</si>
  <si>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</si>
  <si>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</si>
  <si>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</si>
  <si>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</si>
  <si>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</si>
  <si>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</si>
  <si>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</si>
  <si>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</si>
  <si>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</si>
  <si>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</si>
  <si>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</si>
  <si>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</si>
  <si>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</si>
  <si>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</si>
  <si>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</si>
  <si>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</si>
  <si>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</si>
  <si>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</si>
  <si>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</si>
  <si>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</si>
  <si>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</si>
  <si>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</si>
  <si>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</si>
  <si>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</si>
  <si>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</si>
  <si>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</si>
  <si>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</si>
  <si>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</si>
  <si>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</si>
  <si>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</si>
  <si>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</si>
  <si>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</si>
  <si>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</si>
  <si>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</si>
  <si>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</si>
  <si>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</si>
  <si>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</si>
  <si>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</si>
  <si>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</si>
  <si>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</si>
  <si>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</si>
  <si>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</si>
  <si>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</si>
  <si>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</si>
  <si>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</si>
  <si>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</si>
  <si>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</si>
  <si>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</si>
  <si>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</si>
  <si>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</si>
  <si>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</si>
  <si>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</si>
  <si>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</si>
  <si>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</si>
  <si>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</si>
  <si>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</si>
  <si>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</si>
  <si>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</si>
  <si>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</si>
  <si>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</si>
  <si>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</si>
  <si>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</si>
  <si>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</si>
  <si>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</si>
  <si>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</si>
  <si>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</si>
  <si>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</si>
  <si>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</si>
  <si>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</si>
  <si>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</si>
  <si>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</si>
  <si>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</si>
  <si>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</si>
  <si>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</si>
  <si>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</si>
  <si>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</si>
  <si>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</si>
  <si>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</si>
  <si>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</si>
  <si>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</si>
  <si>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</si>
  <si>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</si>
  <si>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</si>
  <si>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</si>
  <si>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</si>
  <si>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</si>
  <si>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</si>
  <si>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</si>
  <si>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</si>
  <si>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</si>
  <si>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</si>
  <si>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</si>
  <si>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</si>
  <si>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</si>
  <si>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</si>
  <si>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</si>
  <si>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</si>
  <si>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</si>
  <si>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</si>
  <si>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</si>
  <si>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</si>
  <si>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</si>
  <si>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</si>
  <si>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</si>
  <si>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</si>
  <si>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</si>
  <si>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</si>
  <si>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</si>
  <si>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</si>
  <si>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</si>
  <si>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</si>
  <si>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</si>
  <si>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</si>
  <si>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</si>
  <si>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</si>
  <si>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</si>
  <si>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</si>
  <si>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</si>
  <si>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</si>
  <si>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</si>
  <si>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</si>
  <si>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</si>
  <si>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</si>
  <si>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</si>
  <si>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</si>
  <si>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</si>
  <si>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</si>
  <si>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</si>
  <si>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</si>
  <si>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</si>
  <si>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</si>
  <si>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</si>
  <si>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</si>
  <si>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</si>
  <si>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</si>
  <si>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</si>
  <si>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</si>
  <si>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</si>
  <si>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</si>
  <si>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</si>
  <si>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</si>
  <si>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</si>
  <si>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</si>
  <si>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</si>
  <si>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</si>
  <si>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</si>
  <si>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</si>
  <si>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</si>
  <si>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</si>
  <si>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</si>
  <si>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</si>
  <si>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</si>
  <si>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</si>
  <si>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</si>
  <si>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</si>
  <si>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</si>
  <si>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</si>
  <si>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</si>
  <si>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</si>
  <si>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</si>
  <si>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</si>
  <si>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</si>
  <si>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</si>
  <si>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</si>
  <si>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</si>
  <si>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</si>
  <si>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</si>
  <si>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</si>
  <si>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</si>
  <si>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</si>
  <si>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</si>
  <si>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</si>
  <si>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</si>
  <si>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</si>
  <si>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</si>
  <si>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</si>
  <si>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</si>
  <si>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</si>
  <si>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</si>
  <si>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</si>
  <si>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</si>
  <si>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</si>
  <si>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</si>
  <si>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</si>
  <si>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</si>
  <si>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</si>
  <si>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</si>
  <si>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</si>
  <si>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</si>
  <si>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</si>
  <si>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</si>
  <si>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</si>
  <si>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</si>
  <si>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</si>
  <si>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</si>
  <si>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</si>
  <si>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</si>
  <si>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</si>
  <si>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</si>
  <si>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</si>
  <si>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</si>
  <si>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</si>
  <si>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</si>
  <si>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</si>
  <si>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</si>
  <si>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</si>
  <si>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</si>
  <si>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</si>
  <si>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</si>
  <si>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</si>
  <si>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</si>
  <si>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</si>
  <si>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</si>
  <si>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</si>
  <si>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</si>
  <si>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</si>
  <si>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</si>
  <si>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</si>
  <si>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</si>
  <si>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</si>
  <si>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</si>
  <si>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</si>
  <si>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</si>
  <si>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</si>
  <si>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</si>
  <si>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</si>
  <si>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</si>
  <si>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</si>
  <si>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</si>
  <si>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</si>
  <si>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</si>
  <si>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</si>
  <si>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</si>
  <si>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</si>
  <si>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</si>
  <si>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</si>
  <si>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</si>
  <si>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</si>
  <si>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</si>
  <si>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</si>
  <si>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</si>
  <si>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</si>
  <si>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</si>
  <si>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</si>
  <si>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</si>
  <si>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</si>
  <si>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</si>
  <si>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</si>
  <si>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</si>
  <si>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</si>
  <si>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</si>
  <si>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</si>
  <si>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</si>
  <si>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</si>
  <si>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</si>
  <si>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</si>
  <si>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</si>
  <si>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</si>
  <si>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</si>
  <si>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</si>
  <si>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</si>
  <si>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</si>
  <si>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</si>
  <si>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</si>
  <si>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</si>
  <si>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</si>
  <si>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</si>
  <si>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</si>
  <si>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</si>
  <si>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</si>
  <si>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</si>
  <si>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</si>
  <si>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</si>
  <si>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</si>
  <si>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</si>
  <si>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</si>
  <si>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</si>
  <si>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</si>
  <si>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</si>
  <si>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</si>
  <si>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</si>
  <si>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</si>
  <si>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</si>
  <si>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</si>
  <si>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</si>
  <si>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</si>
  <si>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</si>
  <si>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</si>
  <si>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</si>
  <si>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</si>
  <si>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</si>
  <si>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</si>
  <si>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</si>
  <si>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</si>
  <si>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</si>
  <si>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</si>
  <si>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</si>
  <si>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</si>
  <si>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</si>
  <si>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</si>
  <si>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</si>
  <si>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</si>
  <si>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</si>
  <si>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</si>
  <si>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</si>
  <si>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</si>
  <si>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</si>
  <si>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</si>
  <si>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</si>
  <si>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</si>
  <si>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</si>
  <si>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</si>
  <si>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</si>
  <si>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</si>
  <si>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</si>
  <si>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</si>
  <si>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</si>
  <si>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</si>
  <si>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</si>
  <si>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</si>
  <si>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</si>
  <si>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</si>
  <si>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</si>
  <si>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</si>
  <si>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</si>
  <si>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</si>
  <si>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</si>
  <si>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</si>
  <si>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</si>
  <si>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</si>
  <si>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</si>
  <si>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</si>
  <si>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</si>
  <si>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</si>
  <si>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</si>
  <si>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</si>
  <si>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</si>
  <si>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</si>
  <si>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</si>
  <si>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</si>
  <si>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</si>
  <si>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</si>
  <si>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</si>
  <si>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</si>
  <si>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</si>
  <si>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</si>
  <si>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</si>
  <si>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</si>
  <si>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</si>
  <si>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</si>
  <si>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</si>
  <si>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</si>
  <si>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</si>
  <si>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</si>
  <si>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</si>
  <si>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</si>
  <si>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</si>
  <si>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</si>
  <si>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</si>
  <si>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</si>
  <si>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</si>
  <si>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</si>
  <si>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</si>
  <si>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</si>
  <si>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</si>
  <si>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</si>
  <si>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</si>
  <si>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</si>
  <si>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</si>
  <si>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</si>
  <si>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</si>
  <si>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</si>
  <si>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</si>
  <si>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</si>
  <si>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</si>
  <si>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</si>
  <si>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</si>
  <si>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</si>
  <si>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</si>
  <si>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</si>
  <si>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</si>
  <si>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</si>
  <si>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</si>
  <si>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</si>
  <si>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</si>
  <si>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</si>
  <si>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</si>
  <si>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</si>
  <si>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</si>
  <si>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</si>
  <si>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</si>
  <si>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</si>
  <si>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</si>
  <si>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</si>
  <si>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</si>
  <si>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</si>
  <si>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</si>
  <si>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</si>
  <si>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</si>
  <si>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</si>
  <si>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</si>
  <si>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</si>
  <si>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</si>
  <si>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</si>
  <si>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</si>
  <si>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</si>
  <si>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</si>
  <si>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</si>
  <si>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</si>
  <si>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</si>
  <si>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</si>
  <si>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</si>
  <si>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</si>
  <si>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</si>
  <si>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</si>
  <si>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</si>
  <si>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</si>
  <si>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</si>
  <si>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</si>
  <si>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</si>
  <si>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</si>
  <si>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</si>
  <si>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</si>
  <si>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</si>
  <si>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</si>
  <si>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</si>
  <si>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</si>
  <si>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</si>
  <si>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</si>
  <si>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</si>
  <si>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</si>
  <si>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</si>
  <si>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</si>
  <si>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</si>
  <si>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</si>
  <si>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</si>
  <si>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</si>
  <si>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</si>
  <si>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</si>
  <si>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</si>
  <si>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</si>
  <si>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</si>
  <si>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</si>
  <si>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</si>
  <si>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</si>
  <si>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</si>
  <si>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</si>
  <si>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</si>
  <si>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</si>
  <si>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</si>
  <si>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</si>
  <si>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</si>
  <si>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</si>
  <si>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</si>
  <si>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</si>
  <si>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</si>
  <si>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</si>
  <si>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</si>
  <si>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</si>
  <si>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</si>
  <si>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</si>
  <si>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</si>
  <si>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</si>
  <si>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</si>
  <si>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</si>
  <si>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</si>
  <si>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</si>
  <si>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</si>
  <si>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</si>
  <si>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</si>
  <si>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</si>
  <si>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</si>
  <si>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</si>
  <si>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</si>
  <si>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</si>
  <si>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</si>
  <si>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</si>
  <si>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</si>
  <si>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</si>
  <si>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</si>
  <si>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</si>
  <si>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</si>
  <si>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</si>
  <si>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</si>
  <si>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</si>
  <si>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</si>
  <si>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</si>
  <si>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</si>
  <si>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</si>
  <si>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</si>
  <si>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</si>
  <si>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</si>
  <si>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</si>
  <si>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</si>
  <si>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</si>
  <si>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</si>
  <si>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</si>
  <si>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</si>
  <si>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</si>
  <si>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</si>
  <si>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</si>
  <si>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</si>
  <si>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</si>
  <si>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</si>
  <si>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</si>
  <si>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</si>
  <si>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</si>
  <si>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</si>
  <si>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</si>
  <si>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</si>
  <si>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</si>
  <si>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</si>
  <si>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</si>
  <si>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</si>
  <si>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</si>
  <si>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</si>
  <si>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</si>
  <si>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</si>
  <si>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</si>
  <si>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</si>
  <si>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</si>
  <si>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</si>
  <si>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</si>
  <si>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</si>
  <si>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</si>
  <si>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</si>
  <si>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</si>
  <si>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</si>
  <si>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</si>
  <si>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</si>
  <si>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</si>
  <si>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</si>
  <si>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</si>
  <si>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</si>
  <si>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</si>
  <si>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</si>
  <si>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</si>
  <si>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</si>
  <si>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</si>
  <si>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</si>
  <si>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</si>
  <si>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</si>
  <si>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</si>
  <si>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</si>
  <si>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</si>
  <si>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</si>
  <si>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</si>
  <si>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</si>
  <si>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</si>
  <si>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</si>
  <si>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</si>
  <si>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</si>
  <si>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</si>
  <si>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</si>
  <si>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</si>
  <si>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</si>
  <si>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</si>
  <si>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</si>
  <si>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</si>
  <si>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</si>
  <si>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</si>
  <si>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</si>
  <si>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</si>
  <si>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</si>
  <si>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</si>
  <si>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</si>
  <si>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</si>
  <si>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</si>
  <si>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</si>
  <si>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</si>
  <si>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</si>
  <si>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</si>
  <si>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</si>
  <si>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</si>
  <si>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</si>
  <si>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</si>
  <si>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</si>
  <si>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</si>
  <si>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</si>
  <si>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</si>
  <si>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</si>
  <si>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</si>
  <si>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</si>
  <si>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</si>
  <si>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</si>
  <si>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</si>
  <si>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</si>
  <si>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</si>
  <si>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</si>
  <si>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</si>
  <si>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</si>
  <si>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</si>
  <si>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</si>
  <si>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</si>
  <si>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</si>
  <si>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</si>
  <si>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</si>
  <si>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</si>
  <si>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</si>
  <si>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</si>
  <si>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</si>
  <si>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</si>
  <si>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</si>
  <si>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</si>
  <si>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</si>
  <si>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</si>
  <si>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</si>
  <si>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</si>
  <si>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</si>
  <si>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</si>
  <si>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</si>
  <si>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</si>
  <si>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</si>
  <si>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</si>
  <si>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</si>
  <si>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</si>
  <si>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</si>
  <si>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</si>
  <si>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</si>
  <si>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</si>
  <si>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</si>
  <si>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</si>
  <si>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</si>
  <si>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</si>
  <si>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</si>
  <si>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</si>
  <si>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</si>
  <si>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</si>
  <si>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</si>
  <si>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</si>
  <si>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</si>
  <si>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</si>
  <si>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</si>
  <si>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</si>
  <si>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</si>
  <si>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</si>
  <si>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</si>
  <si>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</si>
  <si>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</si>
  <si>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</si>
  <si>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</si>
  <si>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</si>
  <si>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</si>
  <si>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</si>
  <si>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</si>
  <si>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</si>
  <si>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</si>
  <si>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</si>
  <si>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</si>
  <si>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</si>
  <si>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</si>
  <si>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</si>
  <si>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</si>
  <si>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</si>
  <si>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</si>
  <si>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</si>
  <si>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</si>
  <si>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</si>
  <si>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</si>
  <si>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</si>
  <si>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</si>
  <si>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</si>
  <si>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</si>
  <si>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</si>
  <si>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</si>
  <si>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</si>
  <si>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</si>
  <si>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</si>
  <si>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</si>
  <si>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</si>
  <si>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</si>
  <si>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</si>
  <si>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</si>
  <si>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</si>
  <si>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</si>
  <si>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</si>
  <si>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</si>
  <si>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</si>
  <si>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</si>
  <si>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</si>
  <si>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</si>
  <si>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</si>
  <si>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</si>
  <si>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</si>
  <si>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</si>
  <si>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</si>
  <si>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</si>
  <si>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</si>
  <si>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</si>
  <si>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</si>
  <si>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</si>
  <si>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</si>
  <si>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</si>
  <si>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</si>
  <si>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</si>
  <si>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</si>
  <si>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</si>
  <si>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</si>
  <si>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</si>
  <si>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</si>
  <si>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</si>
  <si>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</si>
  <si>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</si>
  <si>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</si>
  <si>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</si>
  <si>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</si>
  <si>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</si>
  <si>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</si>
  <si>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</si>
  <si>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</si>
  <si>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</si>
  <si>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</si>
  <si>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</si>
  <si>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</si>
  <si>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</si>
  <si>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</si>
  <si>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</si>
  <si>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</si>
  <si>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</si>
  <si>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</si>
  <si>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</si>
  <si>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</si>
  <si>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</si>
  <si>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</si>
  <si>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</si>
  <si>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</si>
  <si>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</si>
  <si>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</si>
  <si>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</si>
  <si>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</si>
  <si>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</si>
  <si>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</si>
  <si>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</si>
  <si>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</si>
  <si>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</si>
  <si>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</si>
  <si>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</si>
  <si>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</si>
  <si>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</si>
  <si>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</si>
  <si>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</si>
  <si>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</si>
  <si>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</si>
  <si>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</si>
  <si>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</si>
  <si>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</si>
  <si>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</si>
  <si>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</si>
  <si>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</si>
  <si>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</si>
  <si>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</si>
  <si>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</si>
  <si>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</si>
  <si>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</si>
  <si>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</si>
  <si>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</si>
  <si>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</si>
  <si>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</si>
  <si>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</si>
  <si>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</si>
  <si>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</si>
  <si>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</si>
  <si>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</si>
  <si>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</si>
  <si>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</si>
  <si>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</si>
  <si>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</si>
  <si>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</si>
  <si>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</si>
  <si>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</si>
  <si>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</si>
  <si>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</si>
  <si>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</si>
  <si>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</si>
  <si>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</si>
  <si>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</si>
  <si>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</si>
  <si>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</si>
  <si>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</si>
  <si>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</si>
  <si>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</si>
  <si>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</si>
  <si>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</si>
  <si>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</si>
  <si>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</si>
  <si>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</si>
  <si>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</si>
  <si>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</si>
  <si>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</si>
  <si>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</si>
  <si>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</si>
  <si>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</si>
  <si>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</si>
  <si>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</si>
  <si>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</si>
  <si>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</si>
  <si>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</si>
  <si>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</si>
  <si>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</si>
  <si>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</si>
  <si>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</si>
  <si>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</si>
  <si>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</si>
  <si>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</si>
  <si>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</si>
  <si>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</si>
  <si>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</si>
  <si>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</si>
  <si>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</si>
  <si>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</si>
  <si>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</si>
  <si>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</si>
  <si>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</si>
  <si>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</si>
  <si>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</si>
  <si>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</si>
  <si>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</si>
  <si>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</si>
  <si>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</si>
  <si>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</si>
  <si>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</si>
  <si>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</si>
  <si>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</si>
  <si>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</si>
  <si>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</si>
  <si>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</si>
  <si>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</si>
  <si>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</si>
  <si>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</si>
  <si>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</si>
  <si>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</si>
  <si>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</si>
  <si>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</si>
  <si>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</si>
  <si>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</si>
  <si>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</si>
  <si>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</si>
  <si>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</si>
  <si>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</si>
  <si>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</si>
  <si>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</si>
  <si>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</si>
  <si>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</si>
  <si>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</si>
  <si>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</si>
  <si>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</si>
  <si>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</si>
  <si>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</si>
  <si>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</si>
  <si>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</si>
  <si>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</si>
  <si>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</si>
  <si>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</si>
  <si>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</si>
  <si>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</si>
  <si>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</si>
  <si>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</si>
  <si>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</si>
  <si>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</si>
  <si>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</si>
  <si>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</si>
  <si>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</si>
  <si>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</si>
  <si>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</si>
  <si>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</si>
  <si>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</si>
  <si>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</si>
  <si>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</si>
  <si>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</si>
  <si>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</si>
  <si>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</si>
  <si>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</si>
  <si>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</si>
  <si>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</si>
  <si>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</si>
  <si>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</si>
  <si>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</si>
  <si>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</si>
  <si>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</si>
  <si>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</si>
  <si>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</si>
  <si>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</si>
  <si>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</si>
  <si>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</si>
  <si>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</si>
  <si>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</si>
  <si>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</si>
  <si>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</si>
  <si>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</si>
  <si>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</si>
  <si>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</si>
  <si>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</si>
  <si>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</si>
  <si>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</si>
  <si>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</si>
  <si>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</si>
  <si>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</si>
  <si>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</si>
  <si>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</si>
  <si>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</si>
  <si>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</si>
  <si>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</si>
  <si>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</si>
  <si>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</si>
  <si>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</si>
  <si>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</si>
  <si>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</si>
  <si>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</si>
  <si>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</si>
  <si>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</si>
  <si>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</si>
  <si>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</si>
  <si>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</si>
  <si>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</si>
  <si>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</si>
  <si>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</si>
  <si>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</si>
  <si>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</si>
  <si>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</si>
  <si>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</si>
  <si>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</si>
  <si>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</si>
  <si>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</si>
  <si>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</si>
  <si>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</si>
  <si>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</si>
  <si>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</si>
  <si>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</si>
  <si>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</si>
  <si>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</si>
  <si>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</si>
  <si>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</si>
  <si>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</si>
  <si>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</si>
  <si>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</si>
  <si>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</si>
  <si>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</si>
  <si>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</si>
  <si>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</si>
  <si>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</si>
  <si>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</si>
  <si>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</si>
  <si>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</si>
  <si>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</si>
  <si>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</si>
  <si>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</si>
  <si>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</si>
  <si>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</si>
  <si>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</si>
  <si>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</si>
  <si>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</si>
  <si>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</si>
  <si>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</si>
  <si>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</si>
  <si>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</si>
  <si>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</si>
  <si>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</si>
  <si>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</si>
  <si>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</si>
  <si>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</si>
  <si>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</si>
  <si>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</si>
  <si>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</si>
  <si>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</si>
  <si>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</si>
  <si>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</si>
  <si>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</si>
  <si>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</si>
  <si>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</si>
  <si>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</si>
  <si>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</si>
  <si>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</si>
  <si>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</si>
  <si>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</si>
  <si>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</si>
  <si>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</si>
  <si>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</si>
  <si>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</si>
  <si>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</si>
  <si>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</si>
  <si>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</si>
  <si>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</si>
  <si>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</si>
  <si>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</si>
  <si>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</si>
  <si>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</si>
  <si>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</si>
  <si>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</si>
  <si>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</si>
  <si>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</si>
  <si>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</si>
  <si>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</si>
  <si>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</si>
  <si>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</si>
  <si>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</si>
  <si>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</si>
  <si>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</si>
  <si>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</si>
  <si>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</si>
  <si>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</si>
  <si>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</si>
  <si>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</si>
  <si>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</si>
  <si>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</si>
  <si>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</si>
  <si>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</si>
  <si>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</si>
  <si>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</si>
  <si>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</si>
  <si>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</si>
  <si>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</si>
  <si>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</si>
  <si>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</si>
  <si>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</si>
  <si>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</si>
  <si>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</si>
  <si>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</si>
  <si>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</si>
  <si>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</si>
  <si>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</si>
  <si>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</si>
  <si>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</si>
  <si>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</si>
  <si>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</si>
  <si>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</si>
  <si>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</si>
  <si>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</si>
  <si>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</si>
  <si>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</si>
  <si>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</si>
  <si>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</si>
  <si>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</si>
  <si>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</si>
  <si>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</si>
  <si>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</si>
  <si>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</si>
  <si>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</si>
  <si>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</si>
  <si>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</si>
  <si>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</si>
  <si>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</si>
  <si>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</si>
  <si>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</si>
  <si>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</si>
  <si>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</si>
  <si>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</si>
  <si>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</si>
  <si>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</si>
  <si>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</si>
  <si>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</si>
  <si>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</si>
  <si>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</si>
  <si>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</si>
  <si>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</si>
  <si>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</si>
  <si>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</si>
  <si>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</si>
  <si>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</si>
  <si>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</si>
  <si>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</si>
  <si>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</si>
  <si>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</si>
  <si>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</si>
  <si>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</si>
  <si>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</si>
  <si>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</si>
  <si>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</si>
  <si>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</si>
  <si>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</si>
  <si>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</si>
  <si>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</si>
  <si>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</si>
  <si>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</si>
  <si>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</si>
  <si>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</si>
  <si>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</si>
  <si>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</si>
  <si>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</si>
  <si>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</si>
  <si>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</si>
  <si>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</si>
  <si>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</si>
  <si>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</si>
  <si>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</si>
  <si>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</si>
  <si>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</si>
  <si>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</si>
  <si>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</si>
  <si>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</si>
  <si>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</si>
  <si>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</si>
  <si>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</si>
  <si>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</si>
  <si>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</si>
  <si>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</si>
  <si>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</si>
  <si>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</si>
  <si>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</si>
  <si>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</si>
  <si>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</si>
  <si>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</si>
  <si>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</si>
  <si>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</si>
  <si>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</si>
  <si>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</si>
  <si>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</si>
  <si>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</si>
  <si>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</si>
  <si>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</si>
  <si>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</si>
  <si>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</si>
  <si>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</si>
  <si>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</si>
  <si>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</si>
  <si>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</si>
  <si>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</si>
  <si>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</si>
  <si>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</si>
  <si>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</si>
  <si>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</si>
  <si>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</si>
  <si>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</si>
  <si>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</si>
  <si>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</si>
  <si>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</si>
  <si>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</si>
  <si>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</si>
  <si>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</si>
  <si>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</si>
  <si>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</si>
  <si>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</si>
  <si>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</si>
  <si>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</si>
  <si>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</si>
  <si>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</si>
  <si>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</si>
  <si>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</si>
  <si>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</si>
  <si>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</si>
  <si>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</si>
  <si>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</si>
  <si>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</si>
  <si>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</si>
  <si>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</si>
  <si>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</si>
  <si>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</si>
  <si>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</si>
  <si>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</si>
  <si>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</si>
  <si>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</si>
  <si>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</si>
  <si>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</si>
  <si>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</si>
  <si>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</si>
  <si>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</si>
  <si>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</si>
  <si>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</si>
  <si>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</si>
  <si>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</si>
  <si>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</si>
  <si>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</si>
  <si>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</si>
  <si>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</si>
  <si>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</si>
  <si>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</si>
  <si>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</si>
  <si>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</si>
  <si>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</si>
  <si>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</si>
  <si>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</si>
  <si>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</si>
  <si>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</si>
  <si>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</si>
  <si>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</si>
  <si>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</si>
  <si>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</si>
  <si>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</si>
  <si>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</si>
  <si>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</si>
  <si>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</si>
  <si>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</si>
  <si>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</si>
  <si>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</si>
  <si>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</si>
  <si>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</si>
  <si>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</si>
  <si>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</si>
  <si>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</si>
  <si>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</si>
  <si>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</si>
  <si>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</si>
  <si>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</si>
  <si>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</si>
  <si>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</si>
  <si>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</si>
  <si>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</si>
  <si>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</si>
  <si>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</si>
  <si>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</si>
  <si>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</si>
  <si>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</si>
  <si>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</si>
  <si>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</si>
  <si>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</si>
  <si>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</si>
  <si>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</si>
  <si>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</si>
  <si>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</si>
  <si>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</si>
  <si>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</si>
  <si>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</si>
  <si>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</si>
  <si>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</si>
  <si>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</si>
  <si>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</si>
  <si>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</si>
  <si>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</si>
  <si>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</si>
  <si>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</si>
  <si>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</si>
  <si>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</si>
  <si>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</si>
  <si>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</si>
  <si>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</si>
  <si>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</si>
  <si>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</si>
  <si>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</si>
  <si>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</si>
  <si>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</si>
  <si>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</si>
  <si>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</si>
  <si>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</si>
  <si>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</si>
  <si>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</si>
  <si>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</si>
  <si>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</si>
  <si>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</si>
  <si>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</si>
  <si>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</si>
  <si>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</si>
  <si>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</si>
  <si>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</si>
  <si>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</si>
  <si>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</si>
  <si>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</si>
  <si>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</si>
  <si>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</si>
  <si>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</si>
  <si>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</si>
  <si>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</si>
  <si>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</si>
  <si>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</si>
  <si>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</si>
  <si>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</si>
  <si>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</si>
  <si>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</si>
  <si>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</si>
  <si>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</si>
  <si>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</si>
  <si>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</si>
  <si>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</si>
  <si>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</si>
  <si>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</si>
  <si>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</si>
  <si>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</si>
  <si>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</si>
  <si>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</si>
  <si>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</si>
  <si>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</si>
  <si>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</si>
  <si>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</si>
  <si>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</si>
  <si>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</si>
  <si>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</si>
  <si>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</si>
  <si>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</si>
  <si>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</si>
  <si>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</si>
  <si>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</si>
  <si>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</si>
  <si>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</si>
  <si>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</si>
  <si>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</si>
  <si>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</si>
  <si>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</si>
  <si>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</si>
  <si>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</si>
  <si>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</si>
  <si>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</si>
  <si>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</si>
  <si>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</si>
  <si>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</si>
  <si>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</si>
  <si>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</si>
  <si>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</si>
  <si>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</si>
  <si>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</si>
  <si>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</si>
  <si>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</si>
  <si>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</si>
  <si>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</si>
  <si>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</si>
  <si>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</si>
  <si>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</si>
  <si>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</si>
  <si>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</si>
  <si>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</si>
  <si>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</si>
  <si>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</si>
  <si>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</si>
  <si>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</si>
  <si>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</si>
  <si>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</si>
  <si>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</si>
  <si>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</si>
  <si>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</si>
  <si>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</si>
  <si>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</si>
  <si>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</si>
  <si>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</si>
  <si>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</si>
  <si>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</si>
  <si>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</si>
  <si>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</si>
  <si>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</si>
  <si>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</si>
  <si>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</si>
  <si>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</si>
  <si>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</si>
  <si>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</si>
  <si>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</si>
  <si>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</si>
  <si>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</si>
  <si>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</si>
  <si>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</si>
  <si>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</si>
  <si>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</si>
  <si>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</si>
  <si>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</si>
  <si>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</si>
  <si>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</si>
  <si>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</si>
  <si>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</si>
  <si>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</si>
  <si>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</si>
  <si>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</si>
  <si>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</si>
  <si>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</si>
  <si>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</si>
  <si>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</si>
  <si>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</si>
  <si>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</si>
  <si>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</si>
  <si>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</si>
  <si>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</si>
  <si>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</si>
  <si>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</si>
  <si>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</si>
  <si>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</si>
  <si>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</si>
  <si>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</si>
  <si>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</si>
  <si>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</si>
  <si>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</si>
  <si>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</si>
  <si>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</si>
  <si>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</si>
  <si>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</si>
  <si>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</si>
  <si>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</si>
  <si>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</si>
  <si>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</si>
  <si>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</si>
  <si>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</si>
  <si>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</si>
  <si>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</si>
  <si>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</si>
  <si>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</si>
  <si>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</si>
  <si>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</si>
  <si>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</si>
  <si>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</si>
  <si>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</si>
  <si>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</si>
  <si>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</si>
  <si>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</si>
  <si>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</si>
  <si>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</si>
  <si>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</si>
  <si>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</si>
  <si>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</si>
  <si>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</si>
  <si>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</si>
  <si>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</si>
  <si>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</si>
  <si>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</si>
  <si>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</si>
  <si>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</si>
  <si>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</si>
  <si>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</si>
  <si>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</si>
  <si>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</si>
  <si>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</si>
  <si>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</si>
  <si>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</si>
  <si>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</si>
  <si>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</si>
  <si>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</si>
  <si>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</si>
  <si>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</si>
  <si>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</si>
  <si>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</si>
  <si>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</si>
  <si>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</si>
  <si>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</si>
  <si>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</si>
  <si>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</si>
  <si>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</si>
  <si>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</si>
  <si>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</si>
  <si>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</si>
  <si>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</si>
  <si>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</si>
  <si>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</si>
  <si>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</si>
  <si>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</si>
  <si>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</si>
  <si>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</si>
  <si>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</si>
  <si>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</si>
  <si>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</si>
  <si>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</si>
  <si>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</si>
  <si>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</si>
  <si>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</si>
  <si>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</si>
  <si>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</si>
  <si>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</si>
  <si>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</si>
  <si>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</si>
  <si>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</si>
  <si>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</si>
  <si>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</si>
  <si>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</si>
  <si>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</si>
  <si>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</si>
  <si>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</si>
  <si>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</si>
  <si>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</si>
  <si>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</si>
  <si>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</si>
  <si>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</si>
  <si>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</si>
  <si>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</si>
  <si>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</si>
  <si>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</si>
  <si>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</si>
  <si>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</si>
  <si>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</si>
  <si>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</si>
  <si>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</si>
  <si>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</si>
  <si>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</si>
  <si>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</si>
  <si>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</si>
  <si>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</si>
  <si>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</si>
  <si>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</si>
  <si>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</si>
  <si>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</si>
  <si>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</si>
  <si>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</si>
  <si>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</si>
  <si>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</si>
  <si>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</si>
  <si>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</si>
  <si>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</si>
  <si>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</si>
  <si>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</si>
  <si>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</si>
  <si>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</si>
  <si>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</si>
  <si>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</si>
  <si>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</si>
  <si>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</si>
  <si>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</si>
  <si>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</si>
  <si>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</si>
  <si>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</si>
  <si>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</si>
  <si>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</si>
  <si>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</si>
  <si>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</si>
  <si>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</si>
  <si>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</si>
  <si>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</si>
  <si>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</si>
  <si>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</si>
  <si>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</si>
  <si>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</si>
  <si>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</si>
  <si>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</si>
  <si>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</si>
  <si>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</si>
  <si>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</si>
  <si>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</si>
  <si>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</si>
  <si>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</si>
  <si>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</si>
  <si>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</si>
  <si>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</si>
  <si>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</si>
  <si>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</si>
  <si>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</si>
  <si>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</si>
  <si>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</si>
  <si>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</si>
  <si>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</si>
  <si>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</si>
  <si>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</si>
  <si>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</si>
  <si>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</si>
  <si>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</si>
  <si>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</si>
  <si>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</si>
  <si>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</si>
  <si>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</si>
  <si>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</si>
  <si>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</si>
  <si>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</si>
  <si>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</si>
  <si>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</si>
  <si>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</si>
  <si>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</si>
  <si>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</si>
  <si>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</si>
  <si>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</si>
  <si>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</si>
  <si>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</si>
  <si>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</si>
  <si>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</si>
  <si>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</si>
  <si>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</si>
  <si>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</si>
  <si>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</si>
  <si>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</si>
  <si>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</si>
  <si>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</si>
  <si>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</si>
  <si>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</si>
  <si>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</si>
  <si>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</si>
  <si>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</si>
  <si>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</si>
  <si>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</si>
  <si>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</si>
  <si>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</si>
  <si>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</si>
  <si>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</si>
  <si>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</si>
  <si>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</si>
  <si>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</si>
  <si>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</si>
  <si>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</si>
  <si>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</si>
  <si>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</si>
  <si>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</si>
  <si>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</si>
  <si>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</si>
  <si>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</si>
  <si>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</si>
  <si>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</si>
  <si>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</si>
  <si>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</si>
  <si>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</si>
  <si>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</si>
  <si>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</si>
  <si>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</si>
  <si>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</si>
  <si>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</si>
  <si>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</si>
  <si>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</si>
  <si>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</si>
  <si>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</si>
  <si>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</si>
  <si>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</si>
  <si>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</si>
  <si>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</si>
  <si>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</si>
  <si>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</si>
  <si>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</si>
  <si>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</si>
  <si>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</si>
  <si>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</si>
  <si>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</si>
  <si>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</si>
  <si>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</si>
  <si>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</si>
  <si>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</si>
  <si>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</si>
  <si>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</si>
  <si>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</si>
  <si>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</si>
  <si>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</si>
  <si>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</si>
  <si>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</si>
  <si>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</si>
  <si>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</si>
  <si>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</si>
  <si>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</si>
  <si>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</si>
  <si>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</si>
  <si>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</si>
  <si>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</si>
  <si>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</si>
  <si>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</si>
  <si>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</si>
  <si>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</si>
  <si>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</si>
  <si>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</si>
  <si>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</si>
  <si>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</si>
  <si>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</si>
  <si>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</si>
  <si>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</si>
  <si>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</si>
  <si>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</si>
  <si>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</si>
  <si>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</si>
  <si>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</si>
  <si>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</si>
  <si>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</si>
  <si>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</si>
  <si>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</si>
  <si>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</si>
  <si>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</si>
  <si>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</si>
  <si>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</si>
  <si>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</si>
  <si>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</si>
  <si>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</si>
  <si>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</si>
  <si>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</si>
  <si>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</si>
  <si>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</si>
  <si>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</si>
  <si>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</si>
  <si>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</si>
  <si>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</si>
  <si>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</si>
  <si>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</si>
  <si>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</si>
  <si>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</si>
  <si>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</si>
  <si>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</si>
  <si>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</si>
  <si>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</si>
  <si>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</si>
  <si>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</si>
  <si>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</si>
  <si>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</si>
  <si>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</si>
  <si>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</si>
  <si>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</si>
  <si>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</si>
  <si>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</si>
  <si>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</si>
  <si>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</si>
  <si>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</si>
  <si>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</si>
  <si>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</si>
  <si>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</si>
  <si>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</si>
  <si>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</si>
  <si>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</si>
  <si>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</si>
  <si>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</si>
  <si>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</si>
  <si>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</si>
  <si>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</si>
  <si>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</si>
  <si>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</si>
  <si>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</si>
  <si>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</si>
  <si>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</si>
  <si>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</si>
  <si>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</si>
  <si>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</si>
  <si>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</si>
  <si>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</si>
  <si>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</si>
  <si>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</si>
  <si>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</si>
  <si>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</si>
  <si>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</si>
  <si>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</si>
  <si>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</si>
  <si>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</si>
  <si>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</si>
  <si>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</si>
  <si>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</si>
  <si>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</si>
  <si>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</si>
  <si>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</si>
  <si>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</si>
  <si>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</si>
  <si>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</si>
  <si>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</si>
  <si>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</si>
  <si>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</si>
  <si>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</si>
  <si>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</si>
  <si>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</si>
  <si>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</si>
  <si>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</si>
  <si>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</si>
  <si>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</si>
  <si>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</si>
  <si>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</si>
  <si>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</si>
  <si>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</si>
  <si>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</si>
  <si>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</si>
  <si>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</si>
  <si>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</si>
  <si>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</si>
  <si>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</si>
  <si>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</si>
  <si>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</si>
  <si>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</si>
  <si>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</si>
  <si>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</si>
  <si>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</si>
  <si>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</si>
  <si>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</si>
  <si>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</si>
  <si>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</si>
  <si>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</si>
  <si>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</si>
  <si>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</si>
  <si>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</si>
  <si>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</si>
  <si>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</si>
  <si>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</si>
  <si>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</si>
  <si>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</si>
  <si>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</si>
  <si>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</si>
  <si>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</si>
  <si>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</si>
  <si>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</si>
  <si>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</si>
  <si>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</si>
  <si>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</si>
  <si>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</si>
  <si>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</si>
  <si>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</si>
  <si>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</si>
  <si>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</si>
  <si>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</si>
  <si>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</si>
  <si>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</si>
  <si>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</si>
  <si>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</si>
  <si>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</si>
  <si>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</si>
  <si>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</si>
  <si>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</si>
  <si>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</si>
  <si>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</si>
  <si>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</si>
  <si>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</si>
  <si>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</si>
  <si>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</si>
  <si>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</si>
  <si>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</si>
  <si>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</si>
  <si>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</si>
  <si>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</si>
  <si>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</si>
  <si>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</si>
  <si>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</si>
  <si>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</si>
  <si>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</si>
  <si>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</si>
  <si>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</si>
  <si>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</si>
  <si>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</si>
  <si>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</si>
  <si>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</si>
  <si>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</si>
  <si>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</si>
  <si>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</si>
  <si>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</si>
  <si>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</si>
  <si>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</si>
  <si>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</si>
  <si>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</si>
  <si>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</si>
  <si>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</si>
  <si>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</si>
  <si>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</si>
  <si>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</si>
  <si>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</si>
  <si>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</si>
  <si>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</si>
  <si>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</si>
  <si>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</si>
  <si>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</si>
  <si>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</si>
  <si>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</si>
  <si>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</si>
  <si>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</si>
  <si>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</si>
  <si>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</si>
  <si>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</si>
  <si>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</si>
  <si>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</si>
  <si>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</si>
  <si>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</si>
  <si>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</si>
  <si>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</si>
  <si>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</si>
  <si>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</si>
  <si>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</si>
  <si>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</si>
  <si>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</si>
  <si>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</si>
  <si>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</si>
  <si>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</si>
  <si>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</si>
  <si>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</si>
  <si>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</si>
  <si>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</si>
  <si>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</si>
  <si>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</si>
  <si>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</si>
  <si>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</si>
  <si>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</si>
  <si>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</si>
  <si>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</si>
  <si>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</si>
  <si>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</si>
  <si>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</si>
  <si>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</si>
  <si>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</si>
  <si>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</si>
  <si>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</si>
  <si>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</si>
  <si>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</si>
  <si>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</si>
  <si>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</si>
  <si>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</si>
  <si>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</si>
  <si>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</si>
  <si>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</si>
  <si>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</si>
  <si>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</si>
  <si>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</si>
  <si>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</si>
  <si>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</si>
  <si>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</si>
  <si>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</si>
  <si>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</si>
  <si>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</si>
  <si>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</si>
  <si>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</si>
  <si>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</si>
  <si>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</si>
  <si>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</si>
  <si>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</si>
  <si>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</si>
  <si>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</si>
  <si>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</si>
  <si>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</si>
  <si>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</si>
  <si>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</si>
  <si>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</si>
  <si>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</si>
  <si>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</si>
  <si>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</si>
  <si>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</si>
  <si>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</si>
  <si>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</si>
  <si>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</si>
  <si>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</si>
  <si>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</si>
  <si>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</si>
  <si>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</si>
  <si>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</si>
  <si>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</si>
  <si>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</si>
  <si>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</si>
  <si>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</si>
  <si>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</si>
  <si>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</si>
  <si>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</si>
  <si>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</si>
  <si>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</si>
  <si>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</si>
  <si>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</si>
  <si>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</si>
  <si>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</si>
  <si>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</si>
  <si>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</si>
  <si>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</si>
  <si>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</si>
  <si>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</si>
  <si>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</si>
  <si>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</si>
  <si>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</si>
  <si>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</si>
  <si>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</si>
  <si>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</si>
  <si>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</si>
  <si>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</si>
  <si>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</si>
  <si>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</si>
  <si>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</si>
  <si>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</si>
  <si>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</si>
  <si>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</si>
  <si>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</si>
  <si>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</si>
  <si>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</si>
  <si>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</si>
  <si>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</si>
  <si>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</si>
  <si>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</si>
  <si>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</si>
  <si>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</si>
  <si>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</si>
  <si>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</si>
  <si>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</si>
  <si>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</si>
  <si>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</si>
  <si>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</si>
  <si>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</si>
  <si>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</si>
  <si>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</si>
  <si>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</si>
  <si>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</si>
  <si>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</si>
  <si>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</si>
  <si>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</si>
  <si>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</si>
  <si>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</si>
  <si>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</si>
  <si>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</si>
  <si>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</si>
  <si>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</si>
  <si>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</si>
  <si>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</si>
  <si>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</si>
  <si>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</si>
  <si>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</si>
  <si>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</si>
  <si>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</si>
  <si>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</si>
  <si>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</si>
  <si>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</si>
  <si>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</si>
  <si>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</si>
  <si>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</si>
  <si>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</si>
  <si>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</si>
  <si>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</si>
  <si>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</si>
  <si>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</si>
  <si>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</si>
  <si>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</si>
  <si>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</si>
  <si>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</si>
  <si>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</si>
  <si>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</si>
  <si>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</si>
  <si>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</si>
  <si>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</si>
  <si>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</si>
  <si>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</si>
  <si>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</si>
  <si>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</si>
  <si>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</si>
  <si>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</si>
  <si>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</si>
  <si>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</si>
  <si>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</si>
  <si>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</si>
  <si>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</si>
  <si>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</si>
  <si>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</si>
  <si>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</si>
  <si>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</si>
  <si>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</si>
  <si>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</si>
  <si>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</si>
  <si>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</si>
  <si>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</si>
  <si>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</si>
  <si>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</si>
  <si>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</si>
  <si>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</si>
  <si>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</si>
  <si>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</si>
  <si>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</si>
  <si>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</si>
  <si>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</si>
  <si>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</si>
  <si>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</si>
  <si>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</si>
  <si>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</si>
  <si>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</si>
  <si>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</si>
  <si>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</si>
  <si>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</si>
  <si>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</si>
  <si>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</si>
  <si>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</si>
  <si>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</si>
  <si>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</si>
  <si>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</si>
  <si>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</si>
  <si>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</si>
  <si>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</si>
  <si>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</si>
  <si>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</si>
  <si>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</si>
  <si>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</si>
  <si>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</si>
  <si>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</si>
  <si>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</si>
  <si>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</si>
  <si>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</si>
  <si>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</si>
  <si>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</si>
  <si>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</si>
  <si>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</si>
  <si>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</si>
  <si>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</si>
  <si>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</si>
  <si>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</si>
  <si>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</si>
  <si>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</si>
  <si>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</si>
  <si>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</si>
  <si>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</si>
  <si>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</si>
  <si>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</si>
  <si>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</si>
  <si>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</si>
  <si>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</si>
  <si>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</si>
  <si>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</si>
  <si>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</si>
  <si>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</si>
  <si>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</si>
  <si>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</si>
  <si>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</si>
  <si>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</si>
  <si>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</si>
  <si>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</si>
  <si>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</si>
  <si>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</si>
  <si>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</si>
  <si>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</si>
  <si>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</si>
  <si>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</si>
  <si>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</si>
  <si>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</si>
  <si>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</si>
  <si>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</si>
  <si>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</si>
  <si>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</si>
  <si>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</si>
  <si>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</si>
  <si>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</si>
  <si>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</si>
  <si>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</si>
  <si>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</si>
  <si>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</si>
  <si>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</si>
  <si>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</si>
  <si>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</si>
  <si>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</si>
  <si>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</si>
  <si>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</si>
  <si>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</si>
  <si>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</si>
  <si>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</si>
  <si>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</si>
  <si>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</si>
  <si>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</si>
  <si>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</si>
  <si>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</si>
  <si>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</si>
  <si>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</si>
  <si>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</si>
  <si>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</si>
  <si>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</si>
  <si>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</si>
  <si>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</si>
  <si>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</si>
  <si>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</si>
  <si>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</si>
  <si>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</si>
  <si>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</si>
  <si>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</si>
  <si>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</si>
  <si>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</si>
  <si>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</si>
  <si>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</si>
  <si>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</si>
  <si>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</si>
  <si>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</si>
  <si>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</si>
  <si>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</si>
  <si>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</si>
  <si>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</si>
  <si>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</si>
  <si>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</si>
  <si>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</si>
  <si>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</si>
  <si>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</si>
  <si>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</si>
  <si>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</si>
  <si>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</si>
  <si>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</si>
  <si>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</si>
  <si>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</si>
  <si>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</si>
  <si>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</si>
  <si>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</si>
  <si>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</si>
  <si>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</si>
  <si>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</si>
  <si>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</si>
  <si>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</si>
  <si>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</si>
  <si>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</si>
  <si>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</si>
  <si>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</si>
  <si>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</si>
  <si>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</si>
  <si>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</si>
  <si>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</si>
  <si>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</si>
  <si>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</si>
  <si>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</si>
  <si>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</si>
  <si>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</si>
  <si>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</si>
  <si>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</si>
  <si>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</si>
  <si>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</si>
  <si>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</si>
  <si>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</si>
  <si>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</si>
  <si>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</si>
  <si>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</si>
  <si>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</si>
  <si>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</si>
  <si>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</si>
  <si>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</si>
  <si>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</si>
  <si>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</si>
  <si>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</si>
  <si>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</si>
  <si>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</si>
  <si>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</si>
  <si>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</si>
  <si>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</si>
  <si>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</si>
  <si>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</si>
  <si>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</si>
  <si>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</si>
  <si>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</si>
  <si>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</si>
  <si>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</si>
  <si>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</si>
  <si>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</si>
  <si>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</si>
  <si>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</si>
  <si>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</si>
  <si>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</si>
  <si>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</si>
  <si>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</si>
  <si>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</si>
  <si>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</si>
  <si>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</si>
  <si>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</si>
  <si>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</si>
  <si>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</si>
  <si>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</si>
  <si>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</si>
  <si>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</si>
  <si>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</si>
  <si>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</si>
  <si>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</si>
  <si>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</si>
  <si>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</si>
  <si>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</si>
  <si>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</si>
  <si>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</si>
  <si>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</si>
  <si>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</si>
  <si>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</si>
  <si>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</si>
  <si>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</si>
  <si>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</si>
  <si>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</si>
  <si>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</si>
  <si>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</si>
  <si>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</si>
  <si>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</si>
  <si>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</si>
  <si>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</si>
  <si>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</si>
  <si>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</si>
  <si>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</si>
  <si>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</si>
  <si>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</si>
  <si>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</si>
  <si>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</si>
  <si>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</si>
  <si>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</si>
  <si>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</si>
  <si>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</si>
  <si>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</si>
  <si>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</si>
  <si>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</si>
  <si>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</si>
  <si>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</si>
  <si>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</si>
  <si>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</si>
  <si>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</si>
  <si>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</si>
  <si>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</si>
  <si>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</si>
  <si>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</si>
  <si>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</si>
  <si>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</si>
  <si>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</si>
  <si>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</si>
  <si>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</si>
  <si>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</si>
  <si>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</si>
  <si>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</si>
  <si>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</si>
  <si>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</si>
  <si>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</si>
  <si>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</si>
  <si>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</si>
  <si>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</si>
  <si>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</si>
  <si>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</si>
  <si>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</si>
  <si>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</si>
  <si>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</si>
  <si>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</si>
  <si>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</si>
  <si>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</si>
  <si>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</si>
  <si>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</si>
  <si>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</si>
  <si>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</si>
  <si>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</si>
  <si>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</si>
  <si>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</si>
  <si>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</si>
  <si>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</si>
  <si>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</si>
  <si>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</si>
  <si>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</si>
  <si>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</si>
  <si>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</si>
  <si>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</si>
  <si>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</si>
  <si>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</si>
  <si>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</si>
  <si>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</si>
  <si>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</si>
  <si>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</si>
  <si>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</si>
  <si>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</si>
  <si>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</si>
  <si>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</si>
  <si>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</si>
  <si>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</si>
  <si>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</si>
  <si>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</si>
  <si>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</si>
  <si>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</si>
  <si>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</si>
  <si>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</si>
  <si>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</si>
  <si>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</si>
  <si>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</si>
  <si>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</si>
  <si>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</si>
  <si>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</si>
  <si>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</si>
  <si>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</si>
  <si>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</si>
  <si>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</si>
  <si>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</si>
  <si>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</si>
  <si>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</si>
  <si>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</si>
  <si>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</si>
  <si>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</si>
  <si>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</si>
  <si>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</si>
  <si>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</si>
  <si>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</si>
  <si>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</si>
  <si>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</si>
  <si>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</si>
  <si>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</si>
  <si>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</si>
  <si>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</si>
  <si>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</si>
  <si>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</si>
  <si>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</si>
  <si>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</si>
  <si>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</si>
  <si>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</si>
  <si>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</si>
  <si>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</si>
  <si>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</si>
  <si>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</si>
  <si>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</si>
  <si>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</si>
  <si>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</si>
  <si>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</si>
  <si>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</si>
  <si>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</si>
  <si>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</si>
  <si>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</si>
  <si>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</si>
  <si>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</si>
  <si>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</si>
  <si>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</si>
  <si>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</si>
  <si>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</si>
  <si>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</si>
  <si>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</si>
  <si>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</si>
  <si>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</si>
  <si>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</si>
  <si>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</si>
  <si>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</si>
  <si>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</si>
  <si>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</si>
  <si>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</si>
  <si>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</si>
  <si>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</si>
  <si>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</si>
  <si>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</si>
  <si>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</si>
  <si>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</si>
  <si>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</si>
  <si>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</si>
  <si>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</si>
  <si>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</si>
  <si>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</si>
  <si>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</si>
  <si>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</si>
  <si>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</si>
  <si>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</si>
  <si>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</si>
  <si>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</si>
  <si>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</si>
  <si>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</si>
  <si>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</si>
  <si>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</si>
  <si>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</si>
  <si>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</si>
  <si>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</si>
  <si>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</si>
  <si>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</si>
  <si>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</si>
  <si>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</si>
  <si>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</si>
  <si>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</si>
  <si>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</si>
  <si>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</si>
  <si>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</si>
  <si>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</si>
  <si>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</si>
  <si>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</si>
  <si>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</si>
  <si>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</si>
  <si>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</si>
  <si>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</si>
  <si>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</si>
  <si>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</si>
  <si>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</si>
  <si>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</si>
  <si>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</si>
  <si>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</si>
  <si>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</si>
  <si>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</si>
  <si>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</si>
  <si>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</si>
  <si>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</si>
  <si>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</si>
  <si>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</si>
  <si>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</si>
  <si>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</si>
  <si>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</si>
  <si>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</si>
  <si>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</si>
  <si>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</si>
  <si>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</si>
  <si>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</si>
  <si>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</si>
  <si>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</si>
  <si>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</si>
  <si>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</si>
  <si>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</si>
  <si>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</si>
  <si>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</si>
  <si>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</si>
  <si>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</si>
  <si>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</si>
  <si>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</si>
  <si>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</si>
  <si>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</si>
  <si>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</si>
  <si>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</si>
  <si>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</si>
  <si>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</si>
  <si>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</si>
  <si>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</si>
  <si>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</si>
  <si>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</si>
  <si>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</si>
  <si>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</si>
  <si>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</si>
  <si>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</si>
  <si>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</si>
  <si>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</si>
  <si>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</si>
  <si>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</si>
  <si>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</si>
  <si>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</si>
  <si>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</si>
  <si>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</si>
  <si>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</si>
  <si>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</si>
  <si>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</si>
  <si>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</si>
  <si>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</si>
  <si>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</si>
  <si>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</si>
  <si>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</si>
  <si>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</si>
  <si>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</si>
  <si>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</si>
  <si>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</si>
  <si>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</si>
  <si>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</si>
  <si>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</si>
  <si>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</si>
  <si>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</si>
  <si>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</si>
  <si>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</si>
  <si>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</si>
  <si>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</si>
  <si>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</si>
  <si>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</si>
  <si>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</si>
  <si>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</si>
  <si>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</si>
  <si>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</si>
  <si>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</si>
  <si>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</si>
  <si>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</si>
  <si>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</si>
  <si>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</si>
  <si>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</si>
  <si>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</si>
  <si>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</si>
  <si>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</si>
  <si>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</si>
  <si>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</si>
  <si>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</si>
  <si>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</si>
  <si>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</si>
  <si>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</si>
  <si>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</si>
  <si>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</si>
  <si>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</si>
  <si>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</si>
  <si>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</si>
  <si>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</si>
  <si>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</si>
  <si>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</si>
  <si>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</si>
  <si>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</si>
  <si>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</si>
  <si>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</si>
  <si>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</si>
  <si>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</si>
  <si>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</si>
  <si>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</si>
  <si>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</si>
  <si>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</si>
  <si>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</si>
  <si>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</si>
  <si>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</si>
  <si>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</si>
  <si>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</si>
  <si>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</si>
  <si>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</si>
  <si>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</si>
  <si>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</si>
  <si>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</si>
  <si>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</si>
  <si>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</si>
  <si>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</si>
  <si>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</si>
  <si>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</si>
  <si>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</si>
  <si>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</si>
  <si>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</si>
  <si>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</si>
  <si>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</si>
  <si>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</si>
  <si>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</si>
  <si>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</si>
  <si>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</si>
  <si>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</si>
  <si>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</si>
  <si>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</si>
  <si>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</si>
  <si>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</si>
  <si>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</si>
  <si>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</si>
  <si>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</si>
  <si>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</si>
  <si>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</si>
  <si>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</si>
  <si>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</si>
  <si>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</si>
  <si>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</si>
  <si>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</si>
  <si>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</si>
  <si>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</si>
  <si>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</si>
  <si>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</si>
  <si>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</si>
  <si>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</si>
  <si>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</si>
  <si>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</si>
  <si>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</si>
  <si>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</si>
  <si>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</si>
  <si>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</si>
  <si>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</si>
  <si>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</si>
  <si>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</si>
  <si>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</si>
  <si>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</si>
  <si>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</si>
  <si>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</si>
  <si>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</si>
  <si>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</si>
  <si>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</si>
  <si>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</si>
  <si>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</si>
  <si>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</si>
  <si>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</si>
  <si>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</si>
  <si>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</si>
  <si>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</si>
  <si>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</si>
  <si>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</si>
  <si>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</si>
  <si>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</si>
  <si>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</si>
  <si>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</si>
  <si>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</si>
  <si>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</si>
  <si>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</si>
  <si>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</si>
  <si>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</si>
  <si>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</si>
  <si>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</si>
  <si>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</si>
  <si>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</si>
  <si>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</si>
  <si>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</si>
  <si>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</si>
  <si>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</si>
  <si>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</si>
  <si>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</si>
  <si>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</si>
  <si>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</si>
  <si>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</si>
  <si>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</si>
  <si>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</si>
  <si>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</si>
  <si>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</si>
  <si>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</si>
  <si>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</si>
  <si>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</si>
  <si>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</si>
  <si>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</si>
  <si>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</si>
  <si>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</si>
  <si>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</si>
  <si>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</si>
  <si>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</si>
  <si>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</si>
  <si>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</si>
  <si>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</si>
  <si>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</si>
  <si>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</si>
  <si>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</si>
  <si>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</si>
  <si>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</si>
  <si>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</si>
  <si>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</si>
  <si>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</si>
  <si>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</si>
  <si>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</si>
  <si>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</si>
  <si>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</si>
  <si>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</si>
  <si>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</si>
  <si>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</si>
  <si>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</si>
  <si>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</si>
  <si>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</si>
  <si>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</si>
  <si>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</si>
  <si>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</si>
  <si>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</si>
  <si>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</si>
  <si>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</si>
  <si>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</si>
  <si>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</si>
  <si>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</si>
  <si>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</si>
  <si>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</si>
  <si>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</si>
  <si>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</si>
  <si>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</si>
  <si>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</si>
  <si>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</si>
  <si>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</si>
  <si>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</si>
  <si>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</si>
  <si>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</si>
  <si>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</si>
  <si>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</si>
  <si>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</si>
  <si>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</si>
  <si>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</si>
  <si>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</si>
  <si>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</si>
  <si>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</si>
  <si>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</si>
  <si>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</si>
  <si>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</si>
  <si>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</si>
  <si>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</si>
  <si>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</si>
  <si>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</si>
  <si>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</si>
  <si>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</si>
  <si>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</si>
  <si>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</si>
  <si>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</si>
  <si>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</si>
  <si>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</si>
  <si>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</si>
  <si>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</si>
  <si>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</si>
  <si>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</si>
  <si>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</si>
  <si>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</si>
  <si>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</si>
  <si>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</si>
  <si>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</si>
  <si>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</si>
  <si>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</si>
  <si>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</si>
  <si>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</si>
  <si>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</si>
  <si>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</si>
  <si>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</si>
  <si>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</si>
  <si>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</si>
  <si>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</si>
  <si>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</si>
  <si>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</si>
  <si>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</si>
  <si>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</si>
  <si>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</si>
  <si>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</si>
  <si>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</si>
  <si>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</si>
  <si>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</si>
  <si>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</si>
  <si>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</si>
  <si>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</si>
  <si>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</si>
  <si>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</si>
  <si>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</si>
  <si>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</si>
  <si>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</si>
  <si>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</si>
  <si>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</si>
  <si>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</si>
  <si>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</si>
  <si>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</si>
  <si>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</si>
  <si>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</si>
  <si>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</si>
  <si>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</si>
  <si>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</si>
  <si>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</si>
  <si>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</si>
  <si>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</si>
  <si>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</si>
  <si>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</si>
  <si>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</si>
  <si>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</si>
  <si>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</si>
  <si>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</si>
  <si>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</si>
  <si>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</si>
  <si>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</si>
  <si>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</si>
  <si>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</si>
  <si>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</si>
  <si>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</si>
  <si>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</si>
  <si>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</si>
  <si>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</si>
  <si>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</si>
  <si>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</si>
  <si>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</si>
  <si>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</si>
  <si>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</si>
  <si>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</si>
  <si>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</si>
  <si>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</si>
  <si>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</si>
  <si>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</si>
  <si>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</si>
  <si>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</si>
  <si>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</si>
  <si>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</si>
  <si>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</si>
  <si>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</si>
  <si>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</si>
  <si>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</si>
  <si>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</si>
  <si>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</si>
  <si>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</si>
  <si>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</si>
  <si>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</si>
  <si>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</si>
  <si>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</si>
  <si>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</si>
  <si>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</si>
  <si>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</si>
  <si>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</si>
  <si>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</si>
  <si>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</si>
  <si>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</si>
  <si>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</si>
  <si>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</si>
  <si>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</si>
  <si>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</si>
  <si>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</si>
  <si>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</si>
  <si>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</si>
  <si>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</si>
  <si>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</si>
  <si>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</si>
  <si>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</si>
  <si>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</si>
  <si>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</si>
  <si>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</si>
  <si>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</si>
  <si>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</si>
  <si>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</si>
  <si>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</si>
  <si>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</si>
  <si>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</si>
  <si>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</si>
  <si>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</si>
  <si>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</si>
  <si>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</si>
  <si>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</si>
  <si>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</si>
  <si>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</si>
  <si>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</si>
  <si>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</si>
  <si>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</si>
  <si>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</si>
  <si>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</si>
  <si>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</si>
  <si>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</si>
  <si>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</si>
  <si>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</si>
  <si>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</si>
  <si>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</si>
  <si>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</si>
  <si>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</si>
  <si>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</si>
  <si>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</si>
  <si>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</si>
  <si>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</si>
  <si>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</si>
  <si>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</si>
  <si>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</si>
  <si>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</si>
  <si>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</si>
  <si>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</si>
  <si>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</si>
  <si>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</si>
  <si>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</si>
  <si>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</si>
  <si>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</si>
  <si>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</si>
  <si>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</si>
  <si>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</si>
  <si>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</si>
  <si>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</si>
  <si>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</si>
  <si>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</si>
  <si>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</si>
  <si>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</si>
  <si>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</si>
  <si>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</si>
  <si>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</si>
  <si>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</si>
  <si>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</si>
  <si>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</si>
  <si>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</si>
  <si>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</si>
  <si>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</si>
  <si>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</si>
  <si>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</si>
  <si>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</si>
  <si>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</si>
  <si>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</si>
  <si>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</si>
  <si>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</si>
  <si>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</si>
  <si>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</si>
  <si>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</si>
  <si>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</si>
  <si>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</si>
  <si>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</si>
  <si>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</si>
  <si>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</si>
  <si>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</si>
  <si>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</si>
  <si>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</si>
  <si>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</si>
  <si>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</si>
  <si>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</si>
  <si>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</si>
  <si>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</si>
  <si>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</si>
  <si>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</si>
  <si>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</si>
  <si>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</si>
  <si>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</si>
  <si>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</si>
  <si>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</si>
  <si>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</si>
  <si>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</si>
  <si>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</si>
  <si>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</si>
  <si>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</si>
  <si>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</si>
  <si>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</si>
  <si>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</si>
  <si>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</si>
  <si>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</si>
  <si>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</si>
  <si>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</si>
  <si>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</si>
  <si>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</si>
  <si>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</si>
  <si>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</si>
  <si>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</si>
  <si>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</si>
  <si>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</si>
  <si>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</si>
  <si>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</si>
  <si>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</si>
  <si>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</si>
  <si>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</si>
  <si>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</si>
  <si>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</si>
  <si>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</si>
  <si>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</si>
  <si>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</si>
  <si>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</si>
  <si>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</si>
  <si>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</si>
  <si>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</si>
  <si>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</si>
  <si>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</si>
  <si>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</si>
  <si>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</si>
  <si>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</si>
  <si>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</si>
  <si>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</si>
  <si>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</si>
  <si>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</si>
  <si>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</si>
  <si>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</si>
  <si>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</si>
  <si>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</si>
  <si>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</si>
  <si>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</si>
  <si>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</si>
  <si>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</si>
  <si>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</si>
  <si>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</si>
  <si>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</si>
  <si>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</si>
  <si>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</si>
  <si>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</si>
  <si>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</si>
  <si>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</si>
  <si>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</si>
  <si>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</si>
  <si>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</si>
  <si>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</si>
  <si>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</si>
  <si>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</si>
  <si>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</si>
  <si>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</si>
  <si>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</si>
  <si>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</si>
  <si>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</si>
  <si>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</si>
  <si>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</si>
  <si>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</si>
  <si>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</si>
  <si>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</si>
  <si>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</si>
  <si>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</si>
  <si>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</si>
  <si>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</si>
  <si>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</si>
  <si>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</si>
  <si>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</si>
  <si>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</si>
  <si>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</si>
  <si>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</si>
  <si>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</si>
  <si>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</si>
  <si>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</si>
  <si>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</si>
  <si>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</si>
  <si>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</si>
  <si>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</si>
  <si>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</si>
  <si>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</si>
  <si>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</si>
  <si>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</si>
  <si>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</si>
  <si>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</si>
  <si>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</si>
  <si>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</si>
  <si>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</si>
  <si>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</si>
  <si>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</si>
  <si>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</si>
  <si>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</si>
  <si>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</si>
  <si>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</si>
  <si>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</si>
  <si>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</si>
  <si>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</si>
  <si>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</si>
  <si>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</si>
  <si>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</si>
  <si>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</si>
  <si>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</si>
  <si>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</si>
  <si>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</si>
  <si>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</si>
  <si>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</si>
  <si>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</si>
  <si>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</si>
  <si>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</si>
  <si>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</si>
  <si>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</si>
  <si>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</si>
  <si>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</si>
  <si>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</si>
  <si>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</si>
  <si>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</si>
  <si>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</si>
  <si>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</si>
  <si>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</si>
  <si>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</si>
  <si>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</si>
  <si>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</si>
  <si>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</si>
  <si>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</si>
  <si>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</si>
  <si>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</si>
  <si>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</si>
  <si>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</si>
  <si>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</si>
  <si>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</si>
  <si>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</si>
  <si>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</si>
  <si>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</si>
  <si>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</si>
  <si>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</si>
  <si>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</si>
  <si>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</si>
  <si>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</si>
  <si>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</si>
  <si>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</si>
  <si>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</si>
  <si>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</si>
  <si>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</si>
  <si>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</si>
  <si>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</si>
  <si>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</si>
  <si>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</si>
  <si>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</si>
  <si>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</si>
  <si>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</si>
  <si>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</si>
  <si>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</si>
  <si>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</si>
  <si>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</si>
  <si>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</si>
  <si>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</si>
  <si>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</si>
  <si>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</si>
  <si>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</si>
  <si>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</si>
  <si>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</si>
  <si>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</si>
  <si>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</si>
  <si>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</si>
  <si>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</si>
  <si>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</si>
  <si>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</si>
  <si>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</si>
  <si>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</si>
  <si>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</si>
  <si>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</si>
  <si>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</si>
  <si>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</si>
  <si>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</si>
  <si>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</si>
  <si>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</si>
  <si>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</si>
  <si>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</si>
  <si>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</si>
  <si>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</si>
  <si>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</si>
  <si>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</si>
  <si>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</si>
  <si>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</si>
  <si>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</si>
  <si>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</si>
  <si>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</si>
  <si>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</si>
  <si>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</si>
  <si>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</si>
  <si>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</si>
  <si>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</si>
  <si>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</si>
  <si>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</si>
  <si>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</si>
  <si>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</si>
  <si>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</si>
  <si>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</si>
  <si>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</si>
  <si>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</si>
  <si>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</si>
  <si>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</si>
  <si>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</si>
  <si>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</si>
  <si>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</si>
  <si>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</si>
  <si>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</si>
  <si>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</si>
  <si>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</si>
  <si>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</si>
  <si>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</si>
  <si>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</si>
  <si>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</si>
  <si>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</si>
  <si>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</si>
  <si>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</si>
  <si>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</si>
  <si>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</si>
  <si>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</si>
  <si>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</si>
  <si>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</si>
  <si>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</si>
  <si>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</si>
  <si>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</si>
  <si>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</si>
  <si>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</si>
  <si>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</si>
  <si>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</si>
  <si>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</si>
  <si>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</si>
  <si>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</si>
  <si>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</si>
  <si>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</si>
  <si>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</si>
  <si>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</si>
  <si>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</si>
  <si>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</si>
  <si>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</si>
  <si>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</si>
  <si>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</si>
  <si>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</si>
  <si>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</si>
  <si>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</si>
  <si>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</si>
  <si>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</si>
  <si>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</si>
  <si>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</si>
  <si>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</si>
  <si>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</si>
  <si>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</si>
  <si>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</si>
  <si>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</si>
  <si>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</si>
  <si>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</si>
  <si>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</si>
  <si>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</si>
  <si>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</si>
  <si>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</si>
  <si>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</si>
  <si>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</si>
  <si>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</si>
  <si>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</si>
  <si>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</si>
  <si>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</si>
  <si>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</si>
  <si>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</si>
  <si>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</si>
  <si>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</si>
  <si>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</si>
  <si>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</si>
  <si>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</si>
  <si>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</si>
  <si>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</si>
  <si>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</si>
  <si>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</si>
  <si>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</si>
  <si>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</si>
  <si>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</si>
  <si>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</si>
  <si>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</si>
  <si>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</si>
  <si>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</si>
  <si>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</si>
  <si>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</si>
  <si>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</si>
  <si>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</si>
  <si>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</si>
  <si>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</si>
  <si>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</si>
  <si>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</si>
  <si>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</si>
  <si>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</si>
  <si>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</si>
  <si>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</si>
  <si>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</si>
  <si>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</si>
  <si>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</si>
  <si>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</si>
  <si>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</si>
  <si>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</si>
  <si>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</si>
  <si>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</si>
  <si>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</si>
  <si>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</si>
  <si>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</si>
  <si>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</si>
  <si>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</si>
  <si>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</si>
  <si>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</si>
  <si>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</si>
  <si>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</si>
  <si>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</si>
  <si>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</si>
  <si>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</si>
  <si>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</si>
  <si>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</si>
  <si>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</si>
  <si>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</si>
  <si>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</si>
  <si>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</si>
  <si>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</si>
  <si>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</si>
  <si>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</si>
  <si>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</si>
  <si>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</si>
  <si>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</si>
  <si>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</si>
  <si>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</si>
  <si>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</si>
  <si>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</si>
  <si>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</si>
  <si>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</si>
  <si>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</si>
  <si>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</si>
  <si>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</si>
  <si>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</si>
  <si>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</si>
  <si>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</si>
  <si>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</si>
  <si>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</si>
  <si>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</si>
  <si>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</si>
  <si>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</si>
  <si>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</si>
  <si>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</si>
  <si>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</si>
  <si>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</si>
  <si>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</si>
  <si>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</si>
  <si>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</si>
  <si>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</si>
  <si>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</si>
  <si>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</si>
  <si>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</si>
  <si>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</si>
  <si>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</si>
  <si>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</si>
  <si>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</si>
  <si>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</si>
  <si>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</si>
  <si>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</si>
  <si>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</si>
  <si>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</si>
  <si>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</si>
  <si>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</si>
  <si>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</si>
  <si>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</si>
  <si>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</si>
  <si>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</si>
  <si>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</si>
  <si>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</si>
  <si>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</si>
  <si>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</si>
  <si>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</si>
  <si>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</si>
  <si>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</si>
  <si>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</si>
  <si>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</si>
  <si>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</si>
  <si>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</si>
  <si>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</si>
  <si>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</si>
  <si>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</si>
  <si>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</si>
  <si>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</si>
  <si>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</si>
  <si>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</si>
  <si>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</si>
  <si>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</si>
  <si>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</si>
  <si>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</si>
  <si>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</si>
  <si>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</si>
  <si>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</si>
  <si>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</si>
  <si>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</si>
  <si>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</si>
  <si>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</si>
  <si>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</si>
  <si>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</si>
  <si>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</si>
  <si>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</si>
  <si>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</si>
  <si>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</si>
  <si>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</si>
  <si>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</si>
  <si>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</si>
  <si>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</si>
  <si>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</si>
  <si>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</si>
  <si>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</si>
  <si>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</si>
  <si>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</si>
  <si>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</si>
  <si>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</si>
  <si>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</si>
  <si>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</si>
  <si>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</si>
  <si>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</si>
  <si>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</si>
  <si>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</si>
  <si>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</si>
  <si>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</si>
  <si>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</si>
  <si>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</si>
  <si>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</si>
  <si>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</si>
  <si>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</si>
  <si>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</si>
  <si>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</si>
  <si>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</si>
  <si>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</si>
  <si>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</si>
  <si>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</si>
  <si>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</si>
  <si>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</si>
  <si>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</si>
  <si>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</si>
  <si>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</si>
  <si>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</si>
  <si>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</si>
  <si>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</si>
  <si>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</si>
  <si>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</si>
  <si>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</si>
  <si>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</si>
  <si>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</si>
  <si>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</si>
  <si>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</si>
  <si>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</si>
  <si>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</si>
  <si>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</si>
  <si>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</si>
  <si>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</si>
  <si>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</si>
  <si>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</si>
  <si>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</si>
  <si>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</si>
  <si>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</si>
  <si>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</si>
  <si>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</si>
  <si>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</si>
  <si>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</si>
  <si>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</si>
  <si>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</si>
  <si>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</si>
  <si>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</si>
  <si>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</si>
  <si>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</si>
  <si>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</si>
  <si>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</si>
  <si>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</si>
  <si>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</si>
  <si>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</si>
  <si>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</si>
  <si>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</si>
  <si>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</si>
  <si>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</si>
  <si>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</si>
  <si>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</si>
  <si>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</si>
  <si>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</si>
  <si>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</si>
  <si>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</si>
  <si>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</si>
  <si>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</si>
  <si>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</si>
  <si>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</si>
  <si>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</si>
  <si>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</si>
  <si>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</si>
  <si>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</si>
  <si>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</si>
  <si>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</si>
  <si>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</si>
  <si>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</si>
  <si>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</si>
  <si>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</si>
  <si>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</si>
  <si>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</si>
  <si>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</si>
  <si>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</si>
  <si>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</si>
  <si>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</si>
  <si>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</si>
  <si>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</si>
  <si>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</si>
  <si>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</si>
  <si>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</si>
  <si>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</si>
  <si>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</si>
  <si>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</si>
  <si>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</si>
  <si>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</si>
  <si>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</si>
  <si>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</si>
  <si>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</si>
  <si>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</si>
  <si>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</si>
  <si>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</si>
  <si>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</si>
  <si>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</si>
  <si>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</si>
  <si>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</si>
  <si>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</si>
  <si>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</si>
  <si>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</si>
  <si>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</si>
  <si>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</si>
  <si>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</si>
  <si>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</si>
  <si>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</si>
  <si>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</si>
  <si>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</si>
  <si>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</si>
  <si>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</si>
  <si>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</si>
  <si>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</si>
  <si>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</si>
  <si>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</si>
  <si>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</si>
  <si>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</si>
  <si>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</si>
  <si>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</si>
  <si>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</si>
  <si>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</si>
  <si>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</si>
  <si>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</si>
  <si>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</si>
  <si>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</si>
  <si>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</si>
  <si>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</si>
  <si>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</si>
  <si>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</si>
  <si>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</si>
  <si>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</si>
  <si>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</si>
  <si>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</si>
  <si>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</si>
  <si>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</si>
  <si>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</si>
  <si>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</si>
  <si>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</si>
  <si>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</si>
  <si>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</si>
  <si>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</si>
  <si>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</si>
  <si>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</si>
  <si>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</si>
  <si>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</si>
  <si>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</si>
  <si>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</si>
  <si>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</si>
  <si>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</si>
  <si>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</si>
  <si>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</si>
  <si>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</si>
  <si>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</si>
  <si>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</si>
  <si>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</si>
  <si>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</si>
  <si>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</si>
  <si>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</si>
  <si>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</si>
  <si>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</si>
  <si>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</si>
  <si>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</si>
  <si>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</si>
  <si>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</si>
  <si>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</si>
  <si>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</si>
  <si>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</si>
  <si>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</si>
  <si>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</si>
  <si>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</si>
  <si>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</si>
  <si>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</si>
  <si>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</si>
  <si>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</si>
  <si>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</si>
  <si>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</si>
  <si>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</si>
  <si>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</si>
  <si>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</si>
  <si>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</si>
  <si>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</si>
  <si>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</si>
  <si>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</si>
  <si>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</si>
  <si>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</si>
  <si>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</si>
  <si>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</si>
  <si>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</si>
  <si>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</si>
  <si>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</si>
  <si>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</si>
  <si>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</si>
  <si>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</si>
  <si>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</si>
  <si>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</si>
  <si>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</si>
  <si>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</si>
  <si>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</si>
  <si>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</si>
  <si>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</si>
  <si>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</si>
  <si>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</si>
  <si>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</si>
  <si>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</si>
  <si>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</si>
  <si>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</si>
  <si>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</si>
  <si>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</si>
  <si>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</si>
  <si>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</si>
  <si>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</si>
  <si>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</si>
  <si>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</si>
  <si>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</si>
  <si>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</si>
  <si>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</si>
  <si>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</si>
  <si>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</si>
  <si>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</si>
  <si>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</si>
  <si>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</si>
  <si>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</si>
  <si>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</si>
  <si>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</si>
  <si>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</si>
  <si>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</si>
  <si>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</si>
  <si>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</si>
  <si>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</si>
  <si>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</si>
  <si>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</si>
  <si>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</si>
  <si>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</si>
  <si>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</si>
  <si>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</si>
  <si>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</si>
  <si>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</si>
  <si>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</si>
  <si>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</si>
  <si>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</si>
  <si>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</si>
  <si>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</si>
  <si>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</si>
  <si>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</si>
  <si>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</si>
  <si>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</si>
  <si>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</si>
  <si>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</si>
  <si>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</si>
  <si>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</si>
  <si>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</si>
  <si>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</si>
  <si>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</si>
  <si>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</si>
  <si>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</si>
  <si>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</si>
  <si>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</si>
  <si>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</si>
  <si>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</si>
  <si>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</si>
  <si>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</si>
  <si>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</si>
  <si>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</si>
  <si>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</si>
  <si>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</si>
  <si>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</si>
  <si>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</si>
  <si>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</si>
  <si>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</si>
  <si>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</si>
  <si>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</si>
  <si>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</si>
  <si>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</si>
  <si>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</si>
  <si>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</si>
  <si>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</si>
  <si>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</si>
  <si>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</si>
  <si>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</si>
  <si>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</si>
  <si>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</si>
  <si>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</si>
  <si>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</si>
  <si>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</si>
  <si>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</si>
  <si>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</si>
  <si>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</si>
  <si>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</si>
  <si>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</si>
  <si>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</si>
  <si>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</si>
  <si>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</si>
  <si>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</si>
  <si>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</si>
  <si>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</si>
  <si>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</si>
  <si>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</si>
  <si>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</si>
  <si>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</si>
  <si>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</si>
  <si>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</si>
  <si>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</si>
  <si>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</si>
  <si>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</si>
  <si>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</si>
  <si>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</si>
  <si>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</si>
  <si>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</si>
  <si>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</si>
  <si>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</si>
  <si>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</si>
  <si>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</si>
  <si>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</si>
  <si>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</si>
  <si>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</si>
  <si>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</si>
  <si>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</si>
  <si>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</si>
  <si>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</si>
  <si>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</si>
  <si>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</si>
  <si>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</si>
  <si>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</si>
  <si>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</si>
  <si>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</si>
  <si>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</si>
  <si>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</si>
  <si>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</si>
  <si>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</si>
  <si>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</si>
  <si>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</si>
  <si>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</si>
  <si>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</si>
  <si>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</si>
  <si>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</si>
  <si>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</si>
  <si>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</si>
  <si>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</si>
  <si>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</si>
  <si>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</si>
  <si>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</si>
  <si>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</si>
  <si>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</si>
  <si>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</si>
  <si>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</si>
  <si>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</si>
  <si>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</si>
  <si>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</si>
  <si>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</si>
  <si>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</si>
  <si>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</si>
  <si>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</si>
  <si>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</si>
  <si>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</si>
  <si>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</si>
  <si>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</si>
  <si>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</si>
  <si>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</si>
  <si>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</si>
  <si>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</si>
  <si>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</si>
  <si>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</si>
  <si>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</si>
  <si>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</si>
  <si>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</si>
  <si>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</si>
  <si>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</si>
  <si>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</si>
  <si>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</si>
  <si>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</si>
  <si>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</si>
  <si>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</si>
  <si>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</si>
  <si>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</si>
  <si>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</si>
  <si>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</si>
  <si>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</si>
  <si>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</si>
  <si>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</si>
  <si>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</si>
  <si>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</si>
  <si>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</si>
  <si>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</si>
  <si>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</si>
  <si>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</si>
  <si>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</si>
  <si>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</si>
  <si>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</si>
  <si>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</si>
  <si>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</si>
  <si>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</si>
  <si>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</si>
  <si>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</si>
  <si>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</si>
  <si>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</si>
  <si>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</si>
  <si>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</si>
  <si>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</si>
  <si>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</si>
  <si>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</si>
  <si>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</si>
  <si>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</si>
  <si>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</si>
  <si>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</si>
  <si>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</si>
  <si>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</si>
  <si>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</si>
  <si>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</si>
  <si>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</si>
  <si>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</si>
  <si>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</si>
  <si>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</si>
  <si>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</si>
  <si>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</si>
  <si>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</si>
  <si>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</si>
  <si>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</si>
  <si>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</si>
  <si>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</si>
  <si>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</si>
  <si>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</si>
  <si>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</si>
  <si>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</si>
  <si>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</si>
  <si>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</si>
  <si>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</si>
  <si>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</si>
  <si>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</si>
  <si>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</si>
  <si>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</si>
  <si>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</si>
  <si>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</si>
  <si>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</si>
  <si>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</si>
  <si>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</si>
  <si>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</si>
  <si>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</si>
  <si>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</si>
  <si>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</si>
  <si>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</si>
  <si>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</si>
  <si>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</si>
  <si>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</si>
  <si>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</si>
  <si>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</si>
  <si>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</si>
  <si>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</si>
  <si>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</si>
  <si>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</si>
  <si>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</si>
  <si>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</si>
  <si>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</si>
  <si>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</si>
  <si>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</si>
  <si>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</si>
  <si>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</si>
  <si>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</si>
  <si>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</si>
  <si>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</si>
  <si>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</si>
  <si>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</si>
  <si>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</si>
  <si>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</si>
  <si>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</si>
  <si>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</si>
  <si>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</si>
  <si>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</si>
  <si>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</si>
  <si>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</si>
  <si>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</si>
  <si>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</si>
  <si>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</si>
  <si>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</si>
  <si>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</si>
  <si>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</si>
  <si>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</si>
  <si>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</si>
  <si>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</si>
  <si>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</si>
  <si>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</si>
  <si>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</si>
  <si>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</si>
  <si>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</si>
  <si>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</si>
  <si>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</si>
  <si>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</si>
  <si>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</si>
  <si>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</si>
  <si>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</si>
  <si>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</si>
  <si>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</si>
  <si>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</si>
  <si>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</si>
  <si>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</si>
  <si>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</si>
  <si>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</si>
  <si>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</si>
  <si>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</si>
  <si>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</si>
  <si>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</si>
  <si>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</si>
  <si>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</si>
  <si>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</si>
  <si>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</si>
  <si>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</si>
  <si>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</si>
  <si>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</si>
  <si>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</si>
  <si>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</si>
  <si>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</si>
  <si>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</si>
  <si>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</si>
  <si>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</si>
  <si>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</si>
  <si>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</si>
  <si>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</si>
  <si>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</si>
  <si>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</si>
  <si>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</si>
  <si>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</si>
  <si>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</si>
  <si>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</si>
  <si>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</si>
  <si>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</si>
  <si>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</si>
  <si>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</si>
  <si>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</si>
  <si>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</si>
  <si>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</si>
  <si>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</si>
  <si>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</si>
  <si>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</si>
  <si>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</si>
  <si>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</si>
  <si>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</si>
  <si>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</si>
  <si>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</si>
  <si>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</si>
  <si>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</si>
  <si>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</si>
  <si>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</si>
  <si>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</si>
  <si>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</si>
  <si>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</si>
  <si>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</si>
  <si>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</si>
  <si>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</si>
  <si>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</si>
  <si>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</si>
  <si>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</si>
  <si>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</si>
  <si>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</si>
  <si>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</si>
  <si>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</si>
  <si>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</si>
  <si>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</si>
  <si>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</si>
  <si>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</si>
  <si>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</si>
  <si>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</si>
  <si>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</si>
  <si>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</si>
  <si>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</si>
  <si>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</si>
  <si>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</si>
  <si>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</si>
  <si>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</si>
  <si>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</si>
  <si>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</si>
  <si>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</si>
  <si>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</si>
  <si>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</si>
  <si>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</si>
  <si>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</si>
  <si>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</si>
  <si>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</si>
  <si>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</si>
  <si>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</si>
  <si>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</si>
  <si>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</si>
  <si>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</si>
  <si>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</si>
  <si>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</si>
  <si>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</si>
  <si>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</si>
  <si>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</si>
  <si>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</si>
  <si>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</si>
  <si>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</si>
  <si>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</si>
  <si>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</si>
  <si>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</si>
  <si>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</si>
  <si>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</si>
  <si>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</si>
  <si>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</si>
  <si>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</si>
  <si>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</si>
  <si>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</si>
  <si>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</si>
  <si>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</si>
  <si>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</si>
  <si>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</si>
  <si>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</si>
  <si>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</si>
  <si>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</si>
  <si>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</si>
  <si>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</si>
  <si>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</si>
  <si>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</si>
  <si>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</si>
  <si>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</si>
  <si>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</si>
  <si>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</si>
  <si>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</si>
  <si>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</si>
  <si>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</si>
  <si>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</si>
  <si>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</si>
  <si>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</si>
  <si>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</si>
  <si>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</si>
  <si>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</si>
  <si>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</si>
  <si>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</si>
  <si>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</si>
  <si>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</si>
  <si>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</si>
  <si>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</si>
  <si>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</si>
  <si>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</si>
  <si>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</si>
  <si>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</si>
  <si>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</si>
  <si>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</si>
  <si>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</si>
  <si>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</si>
  <si>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</si>
  <si>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</si>
  <si>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</si>
  <si>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</si>
  <si>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</si>
  <si>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</si>
  <si>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</si>
  <si>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</si>
  <si>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</si>
  <si>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</si>
  <si>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</si>
  <si>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</si>
  <si>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</si>
  <si>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</si>
  <si>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</si>
  <si>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</si>
  <si>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</si>
  <si>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</si>
  <si>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</si>
  <si>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</si>
  <si>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</si>
  <si>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</si>
  <si>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</si>
  <si>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</si>
  <si>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</si>
  <si>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</si>
  <si>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</si>
  <si>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</si>
  <si>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</si>
  <si>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</si>
  <si>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</si>
  <si>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</si>
  <si>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</si>
  <si>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</si>
  <si>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</si>
  <si>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</si>
  <si>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</si>
  <si>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</si>
  <si>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</si>
  <si>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</si>
  <si>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</si>
  <si>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</si>
  <si>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</si>
  <si>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</si>
  <si>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</si>
  <si>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</si>
  <si>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</si>
  <si>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</si>
  <si>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</si>
  <si>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</si>
  <si>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</si>
  <si>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</si>
  <si>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</si>
  <si>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</si>
  <si>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</si>
  <si>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</si>
  <si>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</si>
  <si>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</si>
  <si>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</si>
  <si>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</si>
  <si>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</si>
  <si>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</si>
  <si>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</si>
  <si>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</si>
  <si>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</si>
  <si>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</si>
  <si>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</si>
  <si>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</si>
  <si>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</si>
  <si>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</si>
  <si>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</si>
  <si>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</si>
  <si>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</si>
  <si>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</si>
  <si>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</si>
  <si>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</si>
  <si>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</si>
  <si>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</si>
  <si>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</si>
  <si>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</si>
  <si>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</si>
  <si>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</si>
  <si>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</si>
  <si>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</si>
  <si>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</si>
  <si>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</si>
  <si>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</si>
  <si>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</si>
  <si>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</si>
  <si>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</si>
  <si>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</si>
  <si>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</si>
  <si>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</si>
  <si>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</si>
  <si>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</si>
  <si>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</si>
  <si>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</si>
  <si>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</si>
  <si>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</si>
  <si>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</si>
  <si>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</si>
  <si>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</si>
  <si>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</si>
  <si>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</si>
  <si>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</si>
  <si>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</si>
  <si>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</si>
  <si>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</si>
  <si>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</si>
  <si>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</si>
  <si>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</si>
  <si>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</si>
  <si>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</si>
  <si>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</si>
  <si>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</si>
  <si>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</si>
  <si>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</si>
  <si>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</si>
  <si>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</si>
  <si>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</si>
  <si>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</si>
  <si>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</si>
  <si>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</si>
  <si>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</si>
  <si>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</si>
  <si>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</si>
  <si>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</si>
  <si>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</si>
  <si>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</si>
  <si>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</si>
  <si>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</si>
  <si>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</si>
  <si>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</si>
  <si>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</si>
  <si>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</si>
  <si>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</si>
  <si>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</si>
  <si>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</si>
  <si>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</si>
  <si>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</si>
  <si>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</si>
  <si>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</si>
  <si>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</si>
  <si>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</si>
  <si>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</si>
  <si>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</si>
  <si>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</si>
  <si>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</si>
  <si>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</si>
  <si>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</si>
  <si>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</si>
  <si>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</si>
  <si>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</si>
  <si>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</si>
  <si>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</si>
  <si>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</si>
  <si>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</si>
  <si>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</si>
  <si>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</si>
  <si>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</si>
  <si>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</si>
  <si>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</si>
  <si>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</si>
  <si>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</si>
  <si>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</si>
  <si>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</si>
  <si>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</si>
  <si>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</si>
  <si>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</si>
  <si>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</si>
  <si>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</si>
  <si>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</si>
  <si>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</si>
  <si>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</si>
  <si>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</si>
  <si>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</si>
  <si>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</si>
  <si>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</si>
  <si>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</si>
  <si>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</si>
  <si>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</si>
  <si>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</si>
  <si>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</si>
  <si>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</si>
  <si>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</si>
  <si>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</si>
  <si>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</si>
  <si>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</si>
  <si>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</si>
  <si>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</si>
  <si>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</si>
  <si>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</si>
  <si>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</si>
  <si>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</si>
  <si>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</si>
  <si>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</si>
  <si>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</si>
  <si>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</si>
  <si>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</si>
  <si>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</si>
  <si>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</si>
  <si>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</si>
  <si>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</si>
  <si>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</si>
  <si>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</si>
  <si>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</si>
  <si>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</si>
  <si>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</si>
  <si>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</si>
  <si>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</si>
  <si>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</si>
  <si>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</si>
  <si>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</si>
  <si>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</si>
  <si>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</si>
  <si>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</si>
  <si>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</si>
  <si>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</si>
  <si>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</si>
  <si>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</si>
  <si>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</si>
  <si>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</si>
  <si>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</si>
  <si>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</si>
  <si>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</si>
  <si>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</si>
  <si>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</si>
  <si>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</si>
  <si>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</si>
  <si>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</si>
  <si>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</si>
  <si>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</si>
  <si>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</si>
  <si>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</si>
  <si>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</si>
  <si>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</si>
  <si>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</si>
  <si>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</si>
  <si>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</si>
  <si>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</si>
  <si>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</si>
  <si>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</si>
  <si>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</si>
  <si>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</si>
  <si>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</si>
  <si>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</si>
  <si>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</si>
  <si>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</si>
  <si>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</si>
  <si>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</si>
  <si>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</si>
  <si>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</si>
  <si>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</si>
  <si>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</si>
  <si>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</si>
  <si>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</si>
  <si>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</si>
  <si>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</si>
  <si>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</si>
  <si>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</si>
  <si>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</si>
  <si>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</si>
  <si>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</si>
  <si>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</si>
  <si>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</si>
  <si>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</si>
  <si>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</si>
  <si>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</si>
  <si>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</si>
  <si>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</si>
  <si>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</si>
  <si>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</si>
  <si>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</si>
  <si>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</si>
  <si>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</si>
  <si>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</si>
  <si>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</si>
  <si>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</si>
  <si>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</si>
  <si>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</si>
  <si>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</si>
  <si>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</si>
  <si>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</si>
  <si>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</si>
  <si>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</si>
  <si>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</si>
  <si>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</si>
  <si>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</si>
  <si>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</si>
  <si>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</si>
  <si>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</si>
  <si>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</si>
  <si>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</si>
  <si>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</si>
  <si>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</si>
  <si>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</si>
  <si>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</si>
  <si>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</si>
  <si>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</si>
  <si>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</si>
  <si>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</si>
  <si>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</si>
  <si>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</si>
  <si>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</si>
  <si>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</si>
  <si>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</si>
  <si>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</si>
  <si>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</si>
  <si>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</si>
  <si>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</si>
  <si>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</si>
  <si>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</si>
  <si>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</si>
  <si>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</si>
  <si>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</si>
  <si>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</si>
  <si>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</si>
  <si>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</si>
  <si>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</si>
  <si>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</si>
  <si>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</si>
  <si>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</si>
  <si>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</si>
  <si>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</si>
  <si>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</si>
  <si>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</si>
  <si>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</si>
  <si>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</si>
  <si>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</si>
  <si>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</si>
  <si>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</si>
  <si>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</si>
  <si>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</si>
  <si>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</si>
  <si>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</si>
  <si>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</si>
  <si>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</si>
  <si>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</si>
  <si>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</si>
  <si>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</si>
  <si>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</si>
  <si>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</si>
  <si>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</si>
  <si>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</si>
  <si>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</si>
  <si>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</si>
  <si>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</si>
  <si>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</si>
  <si>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</si>
  <si>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</si>
  <si>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</si>
  <si>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</si>
  <si>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</si>
  <si>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</si>
  <si>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</si>
  <si>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</si>
  <si>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</si>
  <si>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</si>
  <si>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</si>
  <si>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</si>
  <si>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</si>
  <si>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</si>
  <si>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</si>
  <si>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</si>
  <si>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</si>
  <si>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</si>
  <si>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</si>
  <si>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</si>
  <si>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</si>
  <si>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</si>
  <si>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</si>
  <si>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</si>
  <si>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</si>
  <si>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</si>
  <si>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</si>
  <si>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</si>
  <si>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</si>
  <si>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</si>
  <si>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</si>
  <si>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</si>
  <si>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</si>
  <si>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</si>
  <si>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</si>
  <si>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</si>
  <si>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</si>
  <si>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</si>
  <si>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</si>
  <si>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</si>
  <si>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</si>
  <si>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</si>
  <si>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</si>
  <si>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</si>
  <si>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</si>
  <si>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</si>
  <si>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</si>
  <si>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</si>
  <si>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</si>
  <si>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</si>
  <si>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</si>
  <si>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</si>
  <si>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</si>
  <si>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</si>
  <si>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</si>
  <si>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</si>
  <si>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</si>
  <si>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</si>
  <si>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</si>
  <si>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</si>
  <si>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</si>
  <si>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</si>
  <si>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</si>
  <si>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</si>
  <si>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</si>
  <si>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</si>
  <si>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</si>
  <si>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</si>
  <si>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</si>
  <si>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</si>
  <si>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</si>
  <si>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</si>
  <si>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</si>
  <si>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</si>
  <si>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</si>
  <si>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</si>
  <si>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</si>
  <si>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</si>
  <si>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</si>
  <si>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</si>
  <si>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</si>
  <si>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</si>
  <si>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</si>
  <si>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</si>
  <si>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</si>
  <si>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</si>
  <si>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</si>
  <si>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</si>
  <si>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</si>
  <si>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</si>
  <si>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</si>
  <si>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</si>
  <si>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</si>
  <si>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</si>
  <si>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</si>
  <si>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</si>
  <si>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</si>
  <si>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</si>
  <si>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</si>
  <si>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</si>
  <si>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</si>
  <si>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</si>
  <si>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</si>
  <si>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</si>
  <si>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</si>
  <si>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</si>
  <si>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</si>
  <si>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</si>
  <si>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</si>
  <si>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</si>
  <si>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</si>
  <si>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</si>
  <si>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</si>
  <si>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</si>
  <si>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</si>
  <si>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</si>
  <si>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</si>
  <si>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</si>
  <si>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</si>
  <si>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</si>
  <si>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</si>
  <si>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</si>
  <si>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</si>
  <si>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</si>
  <si>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</si>
  <si>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</si>
  <si>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</si>
  <si>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</si>
  <si>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</si>
  <si>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</si>
  <si>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</si>
  <si>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</si>
  <si>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</si>
  <si>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</si>
  <si>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</si>
  <si>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</si>
  <si>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</si>
  <si>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</si>
  <si>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</si>
  <si>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</si>
  <si>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</si>
  <si>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</si>
  <si>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</si>
  <si>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</si>
  <si>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</si>
  <si>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</si>
  <si>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</si>
  <si>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</si>
  <si>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</si>
  <si>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</si>
  <si>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</si>
  <si>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</si>
  <si>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</si>
  <si>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</si>
  <si>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</si>
  <si>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</si>
  <si>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</si>
  <si>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</si>
  <si>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</si>
  <si>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</si>
  <si>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</si>
  <si>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</si>
  <si>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</si>
  <si>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</si>
  <si>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</si>
  <si>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</si>
  <si>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</si>
  <si>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</si>
  <si>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</si>
  <si>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</si>
  <si>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</si>
  <si>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</si>
  <si>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</si>
  <si>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</si>
  <si>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</si>
  <si>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</si>
  <si>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</si>
  <si>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</si>
  <si>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</si>
  <si>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</si>
  <si>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</si>
  <si>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</si>
  <si>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</si>
  <si>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</si>
  <si>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</si>
  <si>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</si>
  <si>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</si>
  <si>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</si>
  <si>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</si>
  <si>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</si>
  <si>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</si>
  <si>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</si>
  <si>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</si>
  <si>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</si>
  <si>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</si>
  <si>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</si>
  <si>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</si>
  <si>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</si>
  <si>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</si>
  <si>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</si>
  <si>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</si>
  <si>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</si>
  <si>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</si>
  <si>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</si>
  <si>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</si>
  <si>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</si>
  <si>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</si>
  <si>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</si>
  <si>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</si>
  <si>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</si>
  <si>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</si>
  <si>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</si>
  <si>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</si>
  <si>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</si>
  <si>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</si>
  <si>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</si>
  <si>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</si>
  <si>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</si>
  <si>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</si>
  <si>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</si>
  <si>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</si>
  <si>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</si>
  <si>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</si>
  <si>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</si>
  <si>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</si>
  <si>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</si>
  <si>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</si>
  <si>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</si>
  <si>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</si>
  <si>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</si>
  <si>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</si>
  <si>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</si>
  <si>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</si>
  <si>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</si>
  <si>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</si>
  <si>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</si>
  <si>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</si>
  <si>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</si>
  <si>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</si>
  <si>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</si>
  <si>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</si>
  <si>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</si>
  <si>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</si>
  <si>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</si>
  <si>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</si>
  <si>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</si>
  <si>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</si>
  <si>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</si>
  <si>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</si>
  <si>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</si>
  <si>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</si>
  <si>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</si>
  <si>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</si>
  <si>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</si>
  <si>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</si>
  <si>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</si>
  <si>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</si>
  <si>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</si>
  <si>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</si>
  <si>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</si>
  <si>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</si>
  <si>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</si>
  <si>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</si>
  <si>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</si>
  <si>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</si>
  <si>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</si>
  <si>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</si>
  <si>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</si>
  <si>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</si>
  <si>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</si>
  <si>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</si>
  <si>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</si>
  <si>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</si>
  <si>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</si>
  <si>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</si>
  <si>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</si>
  <si>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</si>
  <si>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</si>
  <si>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</si>
  <si>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</si>
  <si>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</si>
  <si>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</si>
  <si>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</si>
  <si>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</si>
  <si>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</si>
  <si>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</si>
  <si>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</si>
  <si>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</si>
  <si>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</si>
  <si>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</si>
  <si>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</si>
  <si>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</si>
  <si>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</si>
  <si>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</si>
  <si>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</si>
  <si>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</si>
  <si>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</si>
  <si>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</si>
  <si>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</si>
  <si>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</si>
  <si>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</si>
  <si>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</si>
  <si>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</si>
  <si>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</si>
  <si>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</si>
  <si>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</si>
  <si>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</si>
  <si>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</si>
  <si>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</si>
  <si>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</si>
  <si>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</si>
  <si>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</si>
  <si>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</si>
  <si>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</si>
  <si>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</si>
  <si>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</si>
  <si>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</si>
  <si>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</si>
  <si>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</si>
  <si>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</si>
  <si>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</si>
  <si>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</si>
  <si>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</si>
  <si>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</si>
  <si>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</si>
  <si>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</si>
  <si>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</si>
  <si>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</si>
  <si>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</si>
  <si>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</si>
  <si>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</si>
  <si>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</si>
  <si>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</si>
  <si>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</si>
  <si>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</si>
  <si>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</si>
  <si>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</si>
  <si>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</si>
  <si>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</si>
  <si>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</si>
  <si>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</si>
  <si>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</si>
  <si>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</si>
  <si>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</si>
  <si>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</si>
  <si>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</si>
  <si>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</si>
  <si>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</si>
  <si>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</si>
  <si>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</si>
  <si>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</si>
  <si>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</si>
  <si>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</si>
  <si>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</si>
  <si>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</si>
  <si>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</si>
  <si>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</si>
  <si>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</si>
  <si>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</si>
  <si>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</si>
  <si>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</si>
  <si>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</si>
  <si>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</si>
  <si>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</si>
  <si>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</si>
  <si>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</si>
  <si>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</si>
  <si>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</si>
  <si>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</si>
  <si>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</si>
  <si>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</si>
  <si>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</si>
  <si>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</si>
  <si>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</si>
  <si>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</si>
  <si>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</si>
  <si>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</si>
  <si>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</si>
  <si>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</si>
  <si>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</si>
  <si>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</si>
  <si>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</si>
  <si>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</si>
  <si>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</si>
  <si>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</si>
  <si>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</si>
  <si>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</si>
  <si>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</si>
  <si>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</si>
  <si>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</si>
  <si>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</si>
  <si>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</si>
  <si>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</si>
  <si>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</si>
  <si>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</si>
  <si>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</si>
  <si>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</si>
  <si>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</si>
  <si>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</si>
  <si>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</si>
  <si>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</si>
  <si>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</si>
  <si>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</si>
  <si>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</si>
  <si>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</si>
  <si>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</si>
  <si>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</si>
  <si>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</si>
  <si>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</si>
  <si>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</si>
  <si>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</si>
  <si>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</si>
  <si>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</si>
  <si>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</si>
  <si>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</si>
  <si>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</si>
  <si>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</si>
  <si>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</si>
  <si>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</si>
  <si>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</si>
  <si>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</si>
  <si>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</si>
  <si>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</si>
  <si>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</si>
  <si>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</si>
  <si>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</si>
  <si>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</si>
  <si>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</si>
  <si>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</si>
  <si>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</si>
  <si>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</si>
  <si>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</si>
  <si>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</si>
  <si>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</si>
  <si>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</si>
  <si>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</si>
  <si>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</si>
  <si>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</si>
  <si>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</si>
  <si>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</si>
  <si>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</si>
  <si>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</si>
  <si>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</si>
  <si>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</si>
  <si>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</si>
  <si>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</si>
  <si>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</si>
  <si>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</si>
  <si>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</si>
  <si>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</si>
  <si>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</si>
  <si>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</si>
  <si>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</si>
  <si>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</si>
  <si>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</si>
  <si>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</si>
  <si>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</si>
  <si>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</si>
  <si>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</si>
  <si>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</si>
  <si>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</si>
  <si>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</si>
  <si>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</si>
  <si>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</si>
  <si>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</si>
  <si>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</si>
  <si>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</si>
  <si>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</si>
  <si>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</si>
  <si>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</si>
  <si>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</si>
  <si>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</si>
  <si>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</si>
  <si>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</si>
  <si>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</si>
  <si>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</si>
  <si>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</si>
  <si>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</si>
  <si>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</si>
  <si>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</si>
  <si>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</si>
  <si>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</si>
  <si>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</si>
  <si>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</si>
  <si>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</si>
  <si>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</si>
  <si>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</si>
  <si>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</si>
  <si>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</si>
  <si>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</si>
  <si>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</si>
  <si>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</si>
  <si>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</si>
  <si>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</si>
  <si>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</si>
  <si>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</si>
  <si>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</si>
  <si>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</si>
  <si>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</si>
  <si>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</si>
  <si>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</si>
  <si>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</si>
  <si>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</si>
  <si>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</si>
  <si>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</si>
  <si>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</si>
  <si>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</si>
  <si>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</si>
  <si>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</si>
  <si>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</si>
  <si>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</si>
  <si>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</si>
  <si>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</si>
  <si>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</si>
  <si>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</si>
  <si>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</si>
  <si>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</si>
  <si>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</si>
  <si>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</si>
  <si>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</si>
  <si>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</si>
  <si>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</si>
  <si>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</si>
  <si>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</si>
  <si>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</si>
  <si>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</si>
  <si>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</si>
  <si>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</si>
  <si>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</si>
  <si>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</si>
  <si>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</si>
  <si>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</si>
  <si>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</si>
  <si>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</si>
  <si>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</si>
  <si>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</si>
  <si>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</si>
  <si>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</si>
  <si>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</si>
  <si>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</si>
  <si>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</si>
  <si>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</si>
  <si>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</si>
  <si>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</si>
  <si>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</si>
  <si>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</si>
  <si>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</si>
  <si>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</si>
  <si>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</si>
  <si>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</si>
  <si>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</si>
  <si>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</si>
  <si>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</si>
  <si>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</si>
  <si>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</si>
  <si>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</si>
  <si>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</si>
  <si>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</si>
  <si>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</si>
  <si>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</si>
  <si>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</si>
  <si>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</si>
  <si>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</si>
  <si>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</si>
  <si>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</si>
  <si>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</si>
  <si>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</si>
  <si>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</si>
  <si>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</si>
  <si>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</si>
  <si>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</si>
  <si>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</si>
  <si>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</si>
  <si>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</si>
  <si>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</si>
  <si>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</si>
  <si>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</si>
  <si>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</si>
  <si>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</si>
  <si>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</si>
  <si>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</si>
  <si>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</si>
  <si>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</si>
  <si>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</si>
  <si>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</si>
  <si>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</si>
  <si>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</si>
  <si>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</si>
  <si>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</si>
  <si>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</si>
  <si>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</si>
  <si>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</si>
  <si>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</si>
  <si>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</si>
  <si>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</si>
  <si>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</si>
  <si>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</si>
  <si>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</si>
  <si>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</si>
  <si>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</si>
  <si>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</si>
  <si>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</si>
  <si>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</si>
  <si>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</si>
  <si>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</si>
  <si>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</si>
  <si>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</si>
  <si>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</si>
  <si>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</si>
  <si>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</si>
  <si>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</si>
  <si>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</si>
  <si>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</si>
  <si>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</si>
  <si>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</si>
  <si>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</si>
  <si>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</si>
  <si>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</si>
  <si>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</si>
  <si>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</si>
  <si>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</si>
  <si>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</si>
  <si>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</si>
  <si>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</si>
  <si>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</si>
  <si>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</si>
  <si>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</si>
  <si>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</si>
  <si>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</si>
  <si>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</si>
  <si>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</si>
  <si>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</si>
  <si>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</si>
  <si>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</si>
  <si>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</si>
  <si>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</si>
  <si>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</si>
  <si>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</si>
  <si>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</si>
  <si>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</si>
  <si>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</si>
  <si>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</si>
  <si>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</si>
  <si>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</si>
  <si>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</si>
  <si>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</si>
  <si>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</si>
  <si>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</si>
  <si>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</si>
  <si>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</si>
  <si>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</si>
  <si>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</si>
  <si>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</si>
  <si>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</si>
  <si>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</si>
  <si>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</si>
  <si>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</si>
  <si>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</si>
  <si>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</si>
  <si>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</si>
  <si>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</si>
  <si>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</si>
  <si>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</si>
  <si>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</si>
  <si>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</si>
  <si>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</si>
  <si>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</si>
  <si>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</si>
  <si>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</si>
  <si>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</si>
  <si>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</si>
  <si>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</si>
  <si>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</si>
  <si>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</si>
  <si>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</si>
  <si>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</si>
  <si>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</si>
  <si>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</si>
  <si>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</si>
  <si>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</si>
  <si>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</si>
  <si>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</si>
  <si>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</si>
  <si>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</si>
  <si>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</si>
  <si>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</si>
  <si>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</si>
  <si>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</si>
  <si>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</si>
  <si>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</si>
  <si>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</si>
  <si>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</si>
  <si>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</si>
  <si>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</si>
  <si>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</si>
  <si>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</si>
  <si>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</si>
  <si>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</si>
  <si>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</si>
  <si>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</si>
  <si>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</si>
  <si>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</si>
  <si>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</si>
  <si>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</si>
  <si>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</si>
  <si>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</si>
  <si>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</si>
  <si>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</si>
  <si>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</si>
  <si>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</si>
  <si>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</si>
  <si>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</si>
  <si>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</si>
  <si>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</si>
  <si>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</si>
  <si>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</si>
  <si>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</si>
  <si>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</si>
  <si>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</si>
  <si>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</si>
  <si>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</si>
  <si>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</si>
  <si>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</si>
  <si>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</si>
  <si>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</si>
  <si>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</si>
  <si>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</si>
  <si>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</si>
  <si>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</si>
  <si>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</si>
  <si>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</si>
  <si>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</si>
  <si>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</si>
  <si>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</si>
  <si>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</si>
  <si>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</si>
  <si>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</si>
  <si>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</si>
  <si>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</si>
  <si>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</si>
  <si>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</si>
  <si>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</si>
  <si>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</si>
  <si>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</si>
  <si>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</si>
  <si>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</si>
  <si>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</si>
  <si>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</si>
  <si>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</si>
  <si>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</si>
  <si>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</si>
  <si>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</si>
  <si>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</si>
  <si>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</si>
  <si>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</si>
  <si>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</si>
  <si>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</si>
  <si>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</si>
  <si>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</si>
  <si>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</si>
  <si>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</si>
  <si>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</si>
  <si>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</si>
  <si>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</si>
  <si>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</si>
  <si>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</si>
  <si>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</si>
  <si>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</si>
  <si>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</si>
  <si>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</si>
  <si>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</si>
  <si>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</si>
  <si>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</si>
  <si>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</si>
  <si>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</si>
  <si>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</si>
  <si>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</si>
  <si>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</si>
  <si>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</si>
  <si>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</si>
  <si>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</si>
  <si>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</si>
  <si>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</si>
  <si>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</si>
  <si>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</si>
  <si>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</si>
  <si>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</si>
  <si>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</si>
  <si>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</si>
  <si>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</si>
  <si>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</si>
  <si>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</si>
  <si>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</si>
  <si>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</si>
  <si>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</si>
  <si>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</si>
  <si>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</si>
  <si>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</si>
  <si>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</si>
  <si>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</si>
  <si>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</si>
  <si>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</si>
  <si>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</si>
  <si>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</si>
  <si>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</si>
  <si>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</si>
  <si>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</si>
  <si>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</si>
  <si>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</si>
  <si>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</si>
  <si>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</si>
  <si>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</si>
  <si>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</si>
  <si>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</si>
  <si>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</si>
  <si>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</si>
  <si>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</si>
  <si>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</si>
  <si>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</si>
  <si>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</si>
  <si>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</si>
  <si>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</si>
  <si>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</si>
  <si>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</si>
  <si>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</si>
  <si>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</si>
  <si>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</si>
  <si>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</si>
  <si>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</si>
  <si>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</si>
  <si>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</si>
  <si>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</si>
  <si>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</si>
  <si>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</si>
  <si>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</si>
  <si>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</si>
  <si>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</si>
  <si>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</si>
  <si>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</si>
  <si>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</si>
  <si>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</si>
  <si>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</si>
  <si>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</si>
  <si>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</si>
  <si>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</si>
  <si>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</si>
  <si>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</si>
  <si>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</si>
  <si>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</si>
  <si>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</si>
  <si>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</si>
  <si>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</si>
  <si>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</si>
  <si>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</si>
  <si>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</si>
  <si>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</si>
  <si>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</si>
  <si>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</si>
  <si>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</si>
  <si>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</si>
  <si>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</si>
  <si>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</si>
  <si>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</si>
  <si>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</si>
  <si>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</si>
  <si>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</si>
  <si>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</si>
  <si>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</si>
  <si>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</si>
  <si>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</si>
  <si>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</si>
  <si>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</si>
  <si>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</si>
  <si>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</si>
  <si>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</si>
  <si>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</si>
  <si>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</si>
  <si>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</si>
  <si>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</si>
  <si>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</si>
  <si>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</si>
  <si>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</si>
  <si>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</si>
  <si>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</si>
  <si>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</si>
  <si>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</si>
  <si>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</si>
  <si>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</si>
  <si>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</si>
  <si>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</si>
  <si>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</si>
  <si>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</si>
  <si>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</si>
  <si>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</si>
  <si>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</si>
  <si>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</si>
  <si>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</si>
  <si>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</si>
  <si>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</si>
  <si>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</si>
  <si>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</si>
  <si>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</si>
  <si>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</si>
  <si>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</si>
  <si>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</si>
  <si>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</si>
  <si>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</si>
  <si>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</si>
  <si>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</si>
  <si>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</si>
  <si>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</si>
  <si>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</si>
  <si>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</si>
  <si>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</si>
  <si>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</si>
  <si>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</si>
  <si>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</si>
  <si>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</si>
  <si>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</si>
  <si>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</si>
  <si>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</si>
  <si>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</si>
  <si>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</si>
  <si>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</si>
  <si>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</si>
  <si>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</si>
  <si>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</si>
  <si>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</si>
  <si>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</si>
  <si>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</si>
  <si>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</si>
  <si>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</si>
  <si>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</si>
  <si>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</si>
  <si>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</si>
  <si>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</si>
  <si>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</si>
  <si>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</si>
  <si>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</si>
  <si>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</si>
  <si>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</si>
  <si>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</si>
  <si>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</si>
  <si>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</si>
  <si>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</si>
  <si>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</si>
  <si>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</si>
  <si>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</si>
  <si>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</si>
  <si>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</si>
  <si>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</si>
  <si>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</si>
  <si>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</si>
  <si>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</si>
  <si>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</si>
  <si>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</si>
  <si>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</si>
  <si>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</si>
  <si>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</si>
  <si>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</si>
  <si>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</si>
  <si>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</si>
  <si>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</si>
  <si>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</si>
  <si>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</si>
  <si>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</si>
  <si>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</si>
  <si>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</si>
  <si>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</si>
  <si>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</si>
  <si>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</si>
  <si>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</si>
  <si>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</si>
  <si>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</si>
  <si>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</si>
  <si>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</si>
  <si>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</si>
  <si>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</si>
  <si>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</si>
  <si>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</si>
  <si>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</si>
  <si>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</si>
  <si>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</si>
  <si>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</si>
  <si>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</si>
  <si>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</si>
  <si>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</si>
  <si>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</si>
  <si>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</si>
  <si>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</si>
  <si>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</si>
  <si>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</si>
  <si>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</si>
  <si>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</si>
  <si>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</si>
  <si>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</si>
  <si>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</si>
  <si>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</si>
  <si>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</si>
  <si>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</si>
  <si>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</si>
  <si>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</si>
  <si>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</si>
  <si>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</si>
  <si>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</si>
  <si>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</si>
  <si>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</si>
  <si>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</si>
  <si>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</si>
  <si>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</si>
  <si>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</si>
  <si>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</si>
  <si>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</si>
  <si>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</si>
  <si>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</si>
  <si>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</si>
  <si>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</si>
  <si>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</si>
  <si>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</si>
  <si>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</si>
  <si>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</si>
  <si>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</si>
  <si>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</si>
  <si>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</si>
  <si>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</si>
  <si>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</si>
  <si>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</si>
  <si>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</si>
  <si>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</si>
  <si>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</si>
  <si>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</si>
  <si>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</si>
  <si>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</si>
  <si>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</si>
  <si>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</si>
  <si>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</si>
  <si>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</si>
  <si>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</si>
  <si>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</si>
  <si>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</si>
  <si>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</si>
  <si>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</si>
  <si>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</si>
  <si>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</si>
  <si>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</si>
  <si>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</si>
  <si>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</si>
  <si>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</si>
  <si>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</si>
  <si>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</si>
  <si>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</si>
  <si>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</si>
  <si>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</si>
  <si>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</si>
  <si>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</si>
  <si>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</si>
  <si>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</si>
  <si>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</si>
  <si>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</si>
  <si>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</si>
  <si>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</si>
  <si>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</si>
  <si>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</si>
  <si>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</si>
  <si>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</si>
  <si>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</si>
  <si>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</si>
  <si>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</si>
  <si>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</si>
  <si>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</si>
  <si>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</si>
  <si>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</si>
  <si>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</si>
  <si>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</si>
  <si>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</si>
  <si>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</si>
  <si>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</si>
  <si>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</si>
  <si>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</si>
  <si>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</si>
  <si>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</si>
  <si>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</si>
  <si>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</si>
  <si>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</si>
  <si>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</si>
  <si>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</si>
  <si>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</si>
  <si>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</si>
  <si>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</si>
  <si>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</si>
  <si>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</si>
  <si>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</si>
  <si>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</si>
  <si>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</si>
  <si>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</si>
  <si>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</si>
  <si>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</si>
  <si>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</si>
  <si>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</si>
  <si>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</si>
  <si>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</si>
  <si>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</si>
  <si>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</si>
  <si>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</si>
  <si>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</si>
  <si>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</si>
  <si>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</si>
  <si>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</si>
  <si>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</si>
  <si>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</si>
  <si>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</si>
  <si>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</si>
  <si>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</si>
  <si>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</si>
  <si>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</si>
  <si>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</si>
  <si>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</si>
  <si>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</si>
  <si>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</si>
  <si>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</si>
  <si>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</si>
  <si>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</si>
  <si>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</si>
  <si>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</si>
  <si>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</si>
  <si>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</si>
  <si>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</si>
  <si>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</si>
  <si>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</si>
  <si>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</si>
  <si>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</si>
  <si>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</si>
  <si>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</si>
  <si>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</si>
  <si>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</si>
  <si>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</si>
  <si>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</si>
  <si>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</si>
  <si>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</si>
  <si>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</si>
  <si>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</si>
  <si>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</si>
  <si>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</si>
  <si>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</si>
  <si>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</si>
  <si>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</si>
  <si>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</si>
  <si>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</si>
  <si>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</si>
  <si>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</si>
  <si>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</si>
  <si>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</si>
  <si>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</si>
  <si>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</si>
  <si>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</si>
  <si>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</si>
  <si>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</si>
  <si>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</si>
  <si>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</si>
  <si>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</si>
  <si>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</si>
  <si>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</si>
  <si>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</si>
  <si>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</si>
  <si>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</si>
  <si>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</si>
  <si>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</si>
  <si>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</si>
  <si>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</si>
  <si>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</si>
  <si>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</si>
  <si>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</si>
  <si>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</si>
  <si>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</si>
  <si>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</si>
  <si>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</si>
  <si>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</si>
  <si>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</si>
  <si>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</si>
  <si>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</si>
  <si>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</si>
  <si>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</si>
  <si>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</si>
  <si>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</si>
  <si>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</si>
  <si>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</si>
  <si>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</si>
  <si>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</si>
  <si>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</si>
  <si>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</si>
  <si>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</si>
  <si>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</si>
  <si>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</si>
  <si>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</si>
  <si>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</si>
  <si>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</si>
  <si>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</si>
  <si>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</si>
  <si>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</si>
  <si>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</si>
  <si>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</si>
  <si>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</si>
  <si>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</si>
  <si>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</si>
  <si>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</si>
  <si>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</si>
  <si>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</si>
  <si>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</si>
  <si>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</si>
  <si>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</si>
  <si>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</si>
  <si>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</si>
  <si>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</si>
  <si>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</si>
  <si>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</si>
  <si>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</si>
  <si>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</si>
  <si>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</si>
  <si>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</si>
  <si>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</si>
  <si>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</si>
  <si>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</si>
  <si>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</si>
  <si>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</si>
  <si>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</si>
  <si>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</si>
  <si>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</si>
  <si>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</si>
  <si>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</si>
  <si>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</si>
  <si>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</si>
  <si>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</si>
  <si>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</si>
  <si>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</si>
  <si>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</si>
  <si>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</si>
  <si>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</si>
  <si>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</si>
  <si>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</si>
  <si>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</si>
  <si>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</si>
  <si>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</si>
  <si>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</si>
  <si>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</si>
  <si>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</si>
  <si>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</si>
  <si>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</si>
  <si>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</si>
  <si>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</si>
  <si>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</si>
  <si>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</si>
  <si>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</si>
  <si>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</si>
  <si>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</si>
  <si>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</si>
  <si>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</si>
  <si>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</si>
  <si>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</si>
  <si>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</si>
  <si>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</si>
  <si>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</si>
  <si>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</si>
  <si>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</si>
  <si>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</si>
  <si>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</si>
  <si>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</si>
  <si>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</si>
  <si>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</si>
  <si>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</si>
  <si>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</si>
  <si>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</si>
  <si>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</si>
  <si>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</si>
  <si>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</si>
  <si>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</si>
  <si>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</si>
  <si>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</si>
  <si>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</si>
  <si>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</si>
  <si>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</si>
  <si>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</si>
  <si>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</si>
  <si>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</si>
  <si>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</si>
  <si>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</si>
  <si>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</si>
  <si>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</si>
  <si>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</si>
  <si>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</si>
  <si>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</si>
  <si>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</si>
  <si>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</si>
  <si>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</si>
  <si>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</si>
  <si>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</si>
  <si>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</si>
  <si>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</si>
  <si>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</si>
  <si>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</si>
  <si>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</si>
  <si>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</si>
  <si>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</si>
  <si>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</si>
  <si>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</si>
  <si>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</si>
  <si>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</si>
  <si>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</si>
  <si>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</si>
  <si>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</si>
  <si>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</si>
  <si>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</si>
  <si>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</si>
  <si>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</si>
  <si>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</si>
  <si>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</si>
  <si>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</si>
  <si>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</si>
  <si>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</si>
  <si>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</si>
  <si>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</si>
  <si>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</si>
  <si>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</si>
  <si>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</si>
  <si>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</si>
  <si>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</si>
  <si>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</si>
  <si>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</si>
  <si>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</si>
  <si>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</si>
  <si>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</si>
  <si>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</si>
  <si>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</si>
  <si>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</si>
  <si>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</si>
  <si>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</si>
  <si>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</si>
  <si>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</si>
  <si>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</si>
  <si>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</si>
  <si>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</si>
  <si>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</si>
  <si>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</si>
  <si>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</si>
  <si>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</si>
  <si>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</si>
  <si>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</si>
  <si>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</si>
  <si>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</si>
  <si>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</si>
  <si>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</si>
  <si>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</si>
  <si>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</si>
  <si>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</si>
  <si>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</si>
  <si>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</si>
  <si>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</si>
  <si>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</si>
  <si>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</si>
  <si>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</si>
  <si>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</si>
  <si>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</si>
  <si>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</si>
  <si>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</si>
  <si>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</si>
  <si>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</si>
  <si>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</si>
  <si>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</si>
  <si>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</si>
  <si>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</si>
  <si>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</si>
  <si>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</si>
  <si>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</si>
  <si>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</si>
  <si>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</si>
  <si>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</si>
  <si>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</si>
  <si>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</si>
  <si>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</si>
  <si>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</si>
  <si>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</si>
  <si>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</si>
  <si>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</si>
  <si>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</si>
  <si>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</si>
  <si>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</si>
  <si>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</si>
  <si>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</si>
  <si>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</si>
  <si>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</si>
  <si>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</si>
  <si>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</si>
  <si>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</si>
  <si>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</si>
  <si>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</si>
  <si>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</si>
  <si>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</si>
  <si>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</si>
  <si>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</si>
  <si>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</si>
  <si>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</si>
  <si>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</si>
  <si>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</si>
  <si>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</si>
  <si>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</si>
  <si>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</si>
  <si>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</si>
  <si>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</si>
  <si>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</si>
  <si>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</si>
  <si>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</si>
  <si>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</si>
  <si>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</si>
  <si>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</si>
  <si>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</si>
  <si>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</si>
  <si>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</si>
  <si>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</si>
  <si>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</si>
  <si>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</si>
  <si>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</si>
  <si>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</si>
  <si>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</si>
  <si>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</si>
  <si>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</si>
  <si>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</si>
  <si>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</si>
  <si>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</si>
  <si>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</si>
  <si>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</si>
  <si>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</si>
  <si>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</si>
  <si>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</si>
  <si>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</si>
  <si>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</si>
  <si>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</si>
  <si>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</si>
  <si>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</si>
  <si>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</si>
  <si>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</si>
  <si>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</si>
  <si>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</si>
  <si>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</si>
  <si>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</si>
  <si>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</si>
  <si>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</si>
  <si>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</si>
  <si>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</si>
  <si>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</si>
  <si>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</si>
  <si>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</si>
  <si>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</si>
  <si>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</si>
  <si>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</si>
  <si>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</si>
  <si>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</si>
  <si>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</si>
  <si>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</si>
  <si>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</si>
  <si>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</si>
  <si>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</si>
  <si>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</si>
  <si>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</si>
  <si>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</si>
  <si>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</si>
  <si>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</si>
  <si>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</si>
  <si>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</si>
  <si>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</si>
  <si>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</si>
  <si>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</si>
  <si>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</si>
  <si>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</si>
  <si>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</si>
  <si>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</si>
  <si>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</si>
  <si>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</si>
  <si>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</si>
  <si>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</si>
  <si>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</si>
  <si>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</si>
  <si>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</si>
  <si>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</si>
  <si>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</si>
  <si>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</si>
  <si>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</si>
  <si>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</si>
  <si>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</si>
  <si>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</si>
  <si>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</si>
  <si>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</si>
  <si>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</si>
  <si>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</si>
  <si>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</si>
  <si>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</si>
  <si>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</si>
  <si>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</si>
  <si>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</si>
  <si>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</si>
  <si>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</si>
  <si>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</si>
  <si>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</si>
  <si>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</si>
  <si>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</si>
  <si>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</si>
  <si>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</si>
  <si>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</si>
  <si>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</si>
  <si>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</si>
  <si>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</si>
  <si>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</si>
  <si>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</si>
  <si>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</si>
  <si>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</si>
  <si>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</si>
  <si>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</si>
  <si>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</si>
  <si>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</si>
  <si>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</si>
  <si>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</si>
  <si>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</si>
  <si>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</si>
  <si>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</si>
  <si>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</si>
  <si>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</si>
  <si>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</si>
  <si>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</si>
  <si>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</si>
  <si>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</si>
  <si>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</si>
  <si>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</si>
  <si>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</si>
  <si>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</si>
  <si>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</si>
  <si>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</si>
  <si>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</si>
  <si>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</si>
  <si>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</si>
  <si>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</si>
  <si>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</si>
  <si>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</si>
  <si>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</si>
  <si>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</si>
  <si>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</si>
  <si>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</si>
  <si>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</si>
  <si>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</si>
  <si>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</si>
  <si>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</si>
  <si>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</si>
  <si>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</si>
  <si>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</si>
  <si>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</si>
  <si>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</si>
  <si>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</si>
  <si>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</si>
  <si>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</si>
  <si>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</si>
  <si>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</si>
  <si>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</si>
  <si>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</si>
  <si>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</si>
  <si>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</si>
  <si>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</si>
  <si>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</si>
  <si>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</si>
  <si>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</si>
  <si>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</si>
  <si>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</si>
  <si>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</si>
  <si>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</si>
  <si>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</si>
  <si>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</si>
  <si>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</si>
  <si>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</si>
  <si>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</si>
  <si>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</si>
  <si>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</si>
  <si>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</si>
  <si>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</si>
  <si>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</si>
  <si>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</si>
  <si>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</si>
  <si>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</si>
  <si>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</si>
  <si>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</si>
  <si>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</si>
  <si>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</si>
  <si>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</si>
  <si>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</si>
  <si>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</si>
  <si>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</si>
  <si>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</si>
  <si>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</si>
  <si>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</si>
  <si>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</si>
  <si>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</si>
  <si>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</si>
  <si>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</si>
  <si>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</si>
  <si>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</si>
  <si>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</si>
  <si>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</si>
  <si>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</si>
  <si>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</si>
  <si>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</si>
  <si>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</si>
  <si>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</si>
  <si>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</si>
  <si>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</si>
  <si>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</si>
  <si>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</si>
  <si>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</si>
  <si>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</si>
  <si>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</si>
  <si>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</si>
  <si>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</si>
  <si>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</si>
  <si>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</si>
  <si>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</si>
  <si>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</si>
  <si>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</si>
  <si>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</si>
  <si>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</si>
  <si>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</si>
  <si>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</si>
  <si>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</si>
  <si>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</si>
  <si>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</si>
  <si>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</si>
  <si>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</si>
  <si>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</si>
  <si>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</si>
  <si>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</si>
  <si>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</si>
  <si>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</si>
  <si>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</si>
  <si>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</si>
  <si>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</si>
  <si>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</si>
  <si>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</si>
  <si>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</si>
  <si>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</si>
  <si>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</si>
  <si>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</si>
  <si>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</si>
  <si>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</si>
  <si>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</si>
  <si>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</si>
  <si>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</si>
  <si>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</si>
  <si>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</si>
  <si>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</si>
  <si>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</si>
  <si>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</si>
  <si>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</si>
  <si>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</si>
  <si>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</si>
  <si>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</si>
  <si>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</si>
  <si>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</si>
  <si>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</si>
  <si>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</si>
  <si>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</si>
  <si>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</si>
  <si>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</si>
  <si>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</si>
  <si>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</si>
  <si>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</si>
  <si>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</si>
  <si>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</si>
  <si>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</si>
  <si>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</si>
  <si>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</si>
  <si>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</si>
  <si>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</si>
  <si>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</si>
  <si>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</si>
  <si>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</si>
  <si>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</si>
  <si>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</si>
  <si>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</si>
  <si>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</si>
  <si>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</si>
  <si>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</si>
  <si>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</si>
  <si>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</si>
  <si>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</si>
  <si>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</si>
  <si>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</si>
  <si>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</si>
  <si>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</si>
  <si>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</si>
  <si>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</si>
  <si>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</si>
  <si>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</si>
  <si>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</si>
  <si>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</si>
  <si>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</si>
  <si>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</si>
  <si>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</si>
  <si>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</si>
  <si>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</si>
  <si>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</si>
  <si>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</si>
  <si>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</si>
  <si>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</si>
  <si>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</si>
  <si>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</si>
  <si>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</si>
  <si>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</si>
  <si>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</si>
  <si>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</si>
  <si>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</si>
  <si>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</si>
  <si>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</si>
  <si>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</si>
  <si>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</si>
  <si>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</si>
  <si>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</si>
  <si>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</si>
  <si>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</si>
  <si>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</si>
  <si>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</si>
  <si>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</si>
  <si>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</si>
  <si>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</si>
  <si>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</si>
  <si>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</si>
  <si>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</si>
  <si>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</si>
  <si>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</si>
  <si>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</si>
  <si>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</si>
  <si>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</si>
  <si>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</si>
  <si>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</si>
  <si>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</si>
  <si>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</si>
  <si>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</si>
  <si>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</si>
  <si>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</si>
  <si>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</si>
  <si>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</si>
  <si>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</si>
  <si>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</si>
  <si>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</si>
  <si>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</si>
  <si>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</si>
  <si>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</si>
  <si>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</si>
  <si>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</si>
  <si>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</si>
  <si>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</si>
  <si>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</si>
  <si>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</si>
  <si>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</si>
  <si>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</si>
  <si>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</si>
  <si>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</si>
  <si>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</si>
  <si>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</si>
  <si>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</si>
  <si>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</si>
  <si>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</si>
  <si>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</si>
  <si>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</si>
  <si>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</si>
  <si>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</si>
  <si>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</si>
  <si>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</si>
  <si>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</si>
  <si>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</si>
  <si>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</si>
  <si>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</si>
  <si>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</si>
  <si>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</si>
  <si>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</si>
  <si>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</si>
  <si>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</si>
  <si>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</si>
  <si>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</si>
  <si>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</si>
  <si>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</si>
  <si>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</si>
  <si>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</si>
  <si>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</si>
  <si>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</si>
  <si>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</si>
  <si>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</si>
  <si>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</si>
  <si>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</si>
  <si>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</si>
  <si>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</si>
  <si>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</si>
  <si>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</si>
  <si>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</si>
  <si>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</si>
  <si>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</si>
  <si>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</si>
  <si>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</si>
  <si>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</si>
  <si>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</si>
  <si>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</si>
  <si>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</si>
  <si>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</si>
  <si>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</si>
  <si>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</si>
  <si>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</si>
  <si>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</si>
  <si>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</si>
  <si>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</si>
  <si>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</si>
  <si>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</si>
  <si>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</si>
  <si>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</si>
  <si>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</si>
  <si>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</si>
  <si>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</si>
  <si>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</si>
  <si>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</si>
  <si>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</si>
  <si>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</si>
  <si>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</si>
  <si>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</si>
  <si>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</si>
  <si>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</si>
  <si>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</si>
  <si>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</si>
  <si>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</si>
  <si>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</si>
  <si>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</si>
  <si>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</si>
  <si>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</si>
  <si>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</si>
  <si>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</si>
  <si>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</si>
  <si>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</si>
  <si>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</si>
  <si>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</si>
  <si>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</si>
  <si>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</si>
  <si>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</si>
  <si>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</si>
  <si>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</si>
  <si>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</si>
  <si>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</si>
  <si>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</si>
  <si>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</si>
  <si>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</si>
  <si>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</si>
  <si>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</si>
  <si>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</si>
  <si>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</si>
  <si>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</si>
  <si>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</si>
  <si>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</si>
  <si>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</si>
  <si>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</si>
  <si>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</si>
  <si>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</si>
  <si>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</si>
  <si>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</si>
  <si>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</si>
  <si>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</si>
  <si>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</si>
  <si>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</si>
  <si>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</si>
  <si>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</si>
  <si>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</si>
  <si>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</si>
  <si>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</si>
  <si>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</si>
  <si>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</si>
  <si>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</si>
  <si>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</si>
  <si>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</si>
  <si>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</si>
  <si>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</si>
  <si>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</si>
  <si>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</si>
  <si>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</si>
  <si>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</si>
  <si>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</si>
  <si>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</si>
  <si>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</si>
  <si>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</si>
  <si>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</si>
  <si>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</si>
  <si>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</si>
  <si>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</si>
  <si>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</si>
  <si>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</si>
  <si>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</si>
  <si>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</si>
  <si>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</si>
  <si>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</si>
  <si>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</si>
  <si>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</si>
  <si>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</si>
  <si>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</si>
  <si>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</si>
  <si>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</si>
  <si>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</si>
  <si>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</si>
  <si>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</si>
  <si>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</si>
  <si>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</si>
  <si>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</si>
  <si>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</si>
  <si>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</si>
  <si>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</si>
  <si>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</si>
  <si>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</si>
  <si>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</si>
  <si>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</si>
  <si>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</si>
  <si>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</si>
  <si>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</si>
  <si>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</si>
  <si>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</si>
  <si>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</si>
  <si>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</si>
  <si>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</si>
  <si>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</si>
  <si>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</si>
  <si>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</si>
  <si>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</si>
  <si>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</si>
  <si>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</si>
  <si>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</si>
  <si>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</si>
  <si>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</si>
  <si>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</si>
  <si>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</si>
  <si>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</si>
  <si>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</si>
  <si>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</si>
  <si>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</si>
  <si>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</si>
  <si>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</si>
  <si>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</si>
  <si>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</si>
  <si>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</si>
  <si>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</si>
  <si>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</si>
  <si>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</si>
  <si>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</si>
  <si>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</si>
  <si>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</si>
  <si>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</si>
  <si>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</si>
  <si>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</si>
  <si>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</si>
  <si>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</si>
  <si>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</si>
  <si>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</si>
  <si>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</si>
  <si>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</si>
  <si>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</si>
  <si>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</si>
  <si>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</si>
  <si>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</si>
  <si>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</si>
  <si>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</si>
  <si>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</si>
  <si>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</si>
  <si>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</si>
  <si>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</si>
  <si>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</si>
  <si>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</si>
  <si>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</si>
  <si>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</si>
  <si>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</si>
  <si>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</si>
  <si>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</si>
  <si>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</si>
  <si>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</si>
  <si>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</si>
  <si>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</si>
  <si>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</si>
  <si>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</si>
  <si>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</si>
  <si>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</si>
  <si>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</si>
  <si>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</si>
  <si>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</si>
  <si>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</si>
  <si>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</si>
  <si>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</si>
  <si>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</si>
  <si>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</si>
  <si>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</si>
  <si>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</si>
  <si>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</si>
  <si>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</si>
  <si>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</si>
  <si>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</si>
  <si>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</si>
  <si>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</si>
  <si>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</si>
  <si>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</si>
  <si>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</si>
  <si>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</si>
  <si>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</si>
  <si>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</si>
  <si>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</si>
  <si>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</si>
  <si>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</si>
  <si>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</si>
  <si>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</si>
  <si>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</si>
  <si>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</si>
  <si>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</si>
  <si>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</si>
  <si>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</si>
  <si>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</si>
  <si>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</si>
  <si>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</si>
  <si>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</si>
  <si>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</si>
  <si>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</si>
  <si>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</si>
  <si>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</si>
  <si>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</si>
  <si>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</si>
  <si>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</si>
  <si>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</si>
  <si>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</si>
  <si>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</si>
  <si>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</si>
  <si>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</si>
  <si>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</si>
  <si>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</si>
  <si>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</si>
  <si>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</si>
  <si>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</si>
  <si>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</si>
  <si>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</si>
  <si>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</si>
  <si>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</si>
  <si>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</si>
  <si>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</si>
  <si>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</si>
  <si>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</si>
  <si>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</si>
  <si>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</si>
  <si>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</si>
  <si>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</si>
  <si>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</si>
  <si>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</si>
  <si>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</si>
  <si>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</si>
  <si>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</si>
  <si>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</si>
  <si>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</si>
  <si>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</si>
  <si>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</si>
  <si>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</si>
  <si>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</si>
  <si>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</si>
  <si>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</si>
  <si>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</si>
  <si>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</si>
  <si>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</si>
  <si>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</si>
  <si>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</si>
  <si>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</si>
  <si>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</si>
  <si>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</si>
  <si>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</si>
  <si>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</si>
  <si>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</si>
  <si>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</si>
  <si>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</si>
  <si>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</si>
  <si>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</si>
  <si>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</si>
  <si>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</si>
  <si>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</si>
  <si>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</si>
  <si>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</si>
  <si>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</si>
  <si>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</si>
  <si>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</si>
  <si>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</si>
  <si>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</si>
  <si>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</si>
  <si>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</si>
  <si>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</si>
  <si>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</si>
  <si>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</si>
  <si>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</si>
  <si>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</si>
  <si>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</si>
  <si>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</si>
  <si>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</si>
  <si>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</si>
  <si>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</si>
  <si>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</si>
  <si>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</si>
  <si>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</si>
  <si>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</si>
  <si>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</si>
  <si>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</si>
  <si>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</si>
  <si>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</si>
  <si>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</si>
  <si>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</si>
  <si>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</si>
  <si>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</si>
  <si>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</si>
  <si>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</si>
  <si>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</si>
  <si>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</si>
  <si>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</si>
  <si>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</si>
  <si>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</si>
  <si>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</si>
  <si>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</si>
  <si>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</si>
  <si>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</si>
  <si>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</si>
  <si>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</si>
  <si>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</si>
  <si>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</si>
  <si>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</si>
  <si>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</si>
  <si>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</si>
  <si>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</si>
  <si>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</si>
  <si>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</si>
  <si>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</si>
  <si>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</si>
  <si>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</si>
  <si>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</si>
  <si>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</si>
  <si>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</si>
  <si>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</si>
  <si>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</si>
  <si>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</si>
  <si>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</si>
  <si>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</si>
  <si>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</si>
  <si>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</si>
  <si>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</si>
  <si>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</si>
  <si>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</si>
  <si>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</si>
  <si>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</si>
  <si>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</si>
  <si>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</si>
  <si>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</si>
  <si>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</si>
  <si>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</si>
  <si>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</si>
  <si>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</si>
  <si>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</si>
  <si>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</si>
  <si>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</si>
  <si>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</si>
  <si>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</si>
  <si>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</si>
  <si>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</si>
  <si>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</si>
  <si>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</si>
  <si>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</si>
  <si>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</si>
  <si>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</si>
  <si>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</si>
  <si>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</si>
  <si>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</si>
  <si>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</si>
  <si>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</si>
  <si>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</si>
  <si>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</si>
  <si>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</si>
  <si>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</si>
  <si>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</si>
  <si>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</si>
  <si>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</si>
  <si>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</si>
  <si>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</si>
  <si>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</si>
  <si>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</si>
  <si>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</si>
  <si>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</si>
  <si>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</si>
  <si>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</si>
  <si>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</si>
  <si>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</si>
  <si>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</si>
  <si>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</si>
  <si>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</si>
  <si>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</si>
  <si>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</si>
  <si>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</si>
  <si>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</si>
  <si>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</si>
  <si>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</si>
  <si>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</si>
  <si>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</si>
  <si>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</si>
  <si>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</si>
  <si>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</si>
  <si>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</si>
  <si>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</si>
  <si>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</si>
  <si>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</si>
  <si>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</si>
  <si>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</si>
  <si>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</si>
  <si>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</si>
  <si>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</si>
  <si>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</si>
  <si>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</si>
  <si>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</si>
  <si>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</si>
  <si>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</si>
  <si>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</si>
  <si>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</si>
  <si>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</si>
  <si>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</si>
  <si>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</si>
  <si>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</si>
  <si>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</si>
  <si>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</si>
  <si>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</si>
  <si>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</si>
  <si>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</si>
  <si>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</si>
  <si>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</si>
  <si>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</si>
  <si>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</si>
  <si>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</si>
  <si>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</si>
  <si>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</si>
  <si>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</si>
  <si>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</si>
  <si>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</si>
  <si>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</si>
  <si>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</si>
  <si>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</si>
  <si>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</si>
  <si>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</si>
  <si>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</si>
  <si>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</si>
  <si>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</si>
  <si>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</si>
  <si>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</si>
  <si>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</si>
  <si>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</si>
  <si>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</si>
  <si>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</si>
  <si>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</si>
  <si>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</si>
  <si>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</si>
  <si>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</si>
  <si>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</si>
  <si>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</si>
  <si>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</si>
  <si>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</si>
  <si>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</si>
  <si>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</si>
  <si>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</si>
  <si>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</si>
  <si>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</si>
  <si>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</si>
  <si>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</si>
  <si>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</si>
  <si>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</si>
  <si>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</si>
  <si>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</si>
  <si>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</si>
  <si>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</si>
  <si>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</si>
  <si>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</si>
  <si>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</si>
  <si>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</si>
  <si>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</si>
  <si>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</si>
  <si>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</si>
  <si>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</si>
  <si>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</si>
  <si>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</si>
  <si>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</si>
  <si>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</si>
  <si>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</si>
  <si>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</si>
  <si>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</si>
  <si>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</si>
  <si>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</si>
  <si>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</si>
  <si>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</si>
  <si>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</si>
  <si>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</si>
  <si>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</si>
  <si>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</si>
  <si>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</si>
  <si>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</si>
  <si>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</si>
  <si>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</si>
  <si>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</si>
  <si>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</si>
  <si>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</si>
  <si>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</si>
  <si>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</si>
  <si>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</si>
  <si>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</si>
  <si>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</si>
  <si>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</si>
  <si>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</si>
  <si>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</si>
  <si>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</si>
  <si>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</si>
  <si>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</si>
  <si>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</si>
  <si>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</si>
  <si>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</si>
  <si>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</si>
  <si>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</si>
  <si>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</si>
  <si>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</si>
  <si>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</si>
  <si>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</si>
  <si>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</si>
  <si>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</si>
  <si>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</si>
  <si>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</si>
  <si>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</si>
  <si>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</si>
  <si>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</si>
  <si>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</si>
  <si>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</si>
  <si>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</si>
  <si>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</si>
  <si>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</si>
  <si>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</si>
  <si>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</si>
  <si>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</si>
  <si>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</si>
  <si>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</si>
  <si>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</si>
  <si>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</si>
  <si>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</si>
  <si>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</si>
  <si>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</si>
  <si>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</si>
  <si>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</si>
  <si>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</si>
  <si>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</si>
  <si>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</si>
  <si>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</si>
  <si>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</si>
  <si>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</si>
  <si>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</si>
  <si>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</si>
  <si>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</si>
  <si>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</si>
  <si>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</si>
  <si>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</si>
  <si>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</si>
  <si>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</si>
  <si>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</si>
  <si>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</si>
  <si>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</si>
  <si>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</si>
  <si>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</si>
  <si>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</si>
  <si>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</si>
  <si>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</si>
  <si>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</si>
  <si>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</si>
  <si>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</si>
  <si>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</si>
  <si>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</si>
  <si>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</si>
  <si>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</si>
  <si>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</si>
  <si>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</si>
  <si>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</si>
  <si>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</si>
  <si>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</si>
  <si>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</si>
  <si>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</si>
  <si>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</si>
  <si>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</si>
  <si>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</si>
  <si>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</si>
  <si>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</si>
  <si>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</si>
  <si>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</si>
  <si>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</si>
  <si>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</si>
  <si>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</si>
  <si>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</si>
  <si>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</si>
  <si>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</si>
  <si>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</si>
  <si>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</si>
  <si>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</si>
  <si>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</si>
  <si>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</si>
  <si>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</si>
  <si>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</si>
  <si>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</si>
  <si>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</si>
  <si>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</si>
  <si>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</si>
  <si>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</si>
  <si>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</si>
  <si>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</si>
  <si>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</si>
  <si>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</si>
  <si>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</si>
  <si>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</si>
  <si>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</si>
  <si>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</si>
  <si>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</si>
  <si>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</si>
  <si>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</si>
  <si>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</si>
  <si>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</si>
  <si>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</si>
  <si>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</si>
  <si>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</si>
  <si>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</si>
  <si>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</si>
  <si>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</si>
  <si>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</si>
  <si>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</si>
  <si>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</si>
  <si>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</si>
  <si>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</si>
  <si>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</si>
  <si>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</si>
  <si>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</si>
  <si>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</si>
  <si>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</si>
  <si>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</si>
  <si>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</si>
  <si>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</si>
  <si>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</si>
  <si>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</si>
  <si>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</si>
  <si>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</si>
  <si>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</si>
  <si>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</si>
  <si>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</si>
  <si>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</si>
  <si>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</si>
  <si>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</si>
  <si>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</si>
  <si>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</si>
  <si>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</si>
  <si>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</si>
  <si>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</si>
  <si>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</si>
  <si>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</si>
  <si>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</si>
  <si>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</si>
  <si>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</si>
  <si>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</si>
  <si>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</si>
  <si>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</si>
  <si>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</si>
  <si>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</si>
  <si>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</si>
  <si>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</si>
  <si>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</si>
  <si>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</si>
  <si>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</si>
  <si>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</si>
  <si>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</si>
  <si>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</si>
  <si>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</si>
  <si>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</si>
  <si>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</si>
  <si>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</si>
  <si>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</si>
  <si>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</si>
  <si>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</si>
  <si>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</si>
  <si>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</si>
  <si>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</si>
  <si>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</si>
  <si>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</si>
  <si>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</si>
  <si>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</si>
  <si>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</si>
  <si>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</si>
  <si>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</si>
  <si>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</si>
  <si>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</si>
  <si>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</si>
  <si>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</si>
  <si>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</si>
  <si>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</si>
  <si>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</si>
  <si>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</si>
  <si>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</si>
  <si>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</si>
  <si>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</si>
  <si>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</si>
  <si>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</si>
  <si>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</si>
  <si>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</si>
  <si>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</si>
  <si>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</si>
  <si>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</si>
  <si>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</si>
  <si>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</si>
  <si>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</si>
  <si>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</si>
  <si>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</si>
  <si>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</si>
  <si>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</si>
  <si>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</si>
  <si>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</si>
  <si>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</si>
  <si>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</si>
  <si>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</si>
  <si>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</si>
  <si>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</si>
  <si>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</si>
  <si>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</si>
  <si>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</si>
  <si>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</si>
  <si>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</si>
  <si>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</si>
  <si>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</si>
  <si>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</si>
  <si>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</si>
  <si>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</si>
  <si>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</si>
  <si>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</si>
  <si>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</si>
  <si>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</si>
  <si>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</si>
  <si>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</si>
  <si>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</si>
  <si>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</si>
  <si>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</si>
  <si>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</si>
  <si>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</si>
  <si>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</si>
  <si>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</si>
  <si>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</si>
  <si>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</si>
  <si>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</si>
  <si>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</si>
  <si>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</si>
  <si>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</si>
  <si>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</si>
  <si>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</si>
  <si>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</si>
  <si>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</si>
  <si>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</si>
  <si>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</si>
  <si>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</si>
  <si>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</si>
  <si>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</si>
  <si>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</si>
  <si>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</si>
  <si>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</si>
  <si>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</si>
  <si>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</si>
  <si>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</si>
  <si>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</si>
  <si>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</si>
  <si>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</si>
  <si>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</si>
  <si>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</si>
  <si>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</si>
  <si>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</si>
  <si>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</si>
  <si>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</si>
  <si>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</si>
  <si>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</si>
  <si>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</si>
  <si>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</si>
  <si>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</si>
  <si>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</si>
  <si>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</si>
  <si>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</si>
  <si>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</si>
  <si>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</si>
  <si>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</si>
  <si>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</si>
  <si>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</si>
  <si>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</si>
  <si>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</si>
  <si>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</si>
  <si>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</si>
  <si>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</si>
  <si>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</si>
  <si>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</si>
  <si>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</si>
  <si>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</si>
  <si>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</si>
  <si>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</si>
  <si>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</si>
  <si>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</si>
  <si>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</si>
  <si>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</si>
  <si>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</si>
  <si>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</si>
  <si>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</si>
  <si>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</si>
  <si>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</si>
  <si>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</si>
  <si>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</si>
  <si>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</si>
  <si>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</si>
  <si>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</si>
  <si>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</si>
  <si>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</si>
  <si>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</si>
  <si>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</si>
  <si>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</si>
  <si>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</si>
  <si>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</si>
  <si>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</si>
  <si>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</si>
  <si>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</si>
  <si>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</si>
  <si>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</si>
  <si>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</si>
  <si>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</si>
  <si>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</si>
  <si>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</si>
  <si>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</si>
  <si>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</si>
  <si>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</si>
  <si>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</si>
  <si>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</si>
  <si>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</si>
  <si>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</si>
  <si>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</si>
  <si>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</si>
  <si>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</si>
  <si>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</si>
  <si>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</si>
  <si>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</si>
  <si>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</si>
  <si>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</si>
  <si>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</si>
  <si>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</si>
  <si>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</si>
  <si>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</si>
  <si>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</si>
  <si>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</si>
  <si>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</si>
  <si>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</si>
  <si>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</si>
  <si>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</si>
  <si>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</si>
  <si>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</si>
  <si>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</si>
  <si>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</si>
  <si>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</si>
  <si>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</si>
  <si>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</si>
  <si>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</si>
  <si>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</si>
  <si>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</si>
  <si>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</si>
  <si>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</si>
  <si>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</si>
  <si>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</si>
  <si>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</si>
  <si>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</si>
  <si>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</si>
  <si>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</si>
  <si>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</si>
  <si>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</si>
  <si>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</si>
  <si>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</si>
  <si>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</si>
  <si>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</si>
  <si>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</si>
  <si>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</si>
  <si>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</si>
  <si>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</si>
  <si>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</si>
  <si>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</si>
  <si>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</si>
  <si>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</si>
  <si>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</si>
  <si>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</si>
  <si>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</si>
  <si>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</si>
  <si>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</si>
  <si>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</si>
  <si>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</si>
  <si>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</si>
  <si>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</si>
  <si>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</si>
  <si>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</si>
  <si>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</si>
  <si>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</si>
  <si>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</si>
  <si>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</si>
  <si>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</si>
  <si>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</si>
  <si>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</si>
  <si>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</si>
  <si>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</si>
  <si>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</si>
  <si>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</si>
  <si>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</si>
  <si>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</si>
  <si>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</si>
  <si>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</si>
  <si>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</si>
  <si>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</si>
  <si>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</si>
  <si>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</si>
  <si>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</si>
  <si>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</si>
  <si>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</si>
  <si>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</si>
  <si>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</si>
  <si>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</si>
  <si>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</si>
  <si>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</si>
  <si>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</si>
  <si>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</si>
  <si>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</si>
  <si>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</si>
  <si>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</si>
  <si>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</si>
  <si>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</si>
  <si>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</si>
  <si>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</si>
  <si>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</si>
  <si>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</si>
  <si>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</si>
  <si>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</si>
  <si>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</si>
  <si>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</si>
  <si>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</si>
  <si>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</si>
  <si>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</si>
  <si>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</si>
  <si>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</si>
  <si>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</si>
  <si>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</si>
  <si>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</si>
  <si>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</si>
  <si>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</si>
  <si>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</si>
  <si>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</si>
  <si>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</si>
  <si>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</si>
  <si>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</si>
  <si>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</si>
  <si>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</si>
  <si>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</si>
  <si>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</si>
  <si>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</si>
  <si>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</si>
  <si>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</si>
  <si>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</si>
  <si>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</si>
  <si>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</si>
  <si>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</si>
  <si>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</si>
  <si>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</si>
  <si>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</si>
  <si>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</si>
  <si>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</si>
  <si>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</si>
  <si>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</si>
  <si>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</si>
  <si>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</si>
  <si>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</si>
  <si>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</si>
  <si>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</si>
  <si>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</si>
  <si>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</si>
  <si>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</si>
  <si>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</si>
  <si>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</si>
  <si>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</si>
  <si>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</si>
  <si>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</si>
  <si>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</si>
  <si>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</si>
  <si>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</si>
  <si>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</si>
  <si>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</si>
  <si>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</si>
  <si>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</si>
  <si>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</si>
  <si>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</si>
  <si>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</si>
  <si>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</si>
  <si>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</si>
  <si>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</si>
  <si>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</si>
  <si>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</si>
  <si>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</si>
  <si>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</si>
  <si>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</si>
  <si>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</si>
  <si>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</si>
  <si>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</si>
  <si>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</si>
  <si>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</si>
  <si>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</si>
  <si>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</si>
  <si>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</si>
  <si>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</si>
  <si>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</si>
  <si>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</si>
  <si>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</si>
  <si>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</si>
  <si>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</si>
  <si>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</si>
  <si>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</si>
  <si>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</si>
  <si>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</si>
  <si>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</si>
  <si>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</si>
  <si>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</si>
  <si>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</si>
  <si>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</si>
  <si>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</si>
  <si>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</si>
  <si>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</si>
  <si>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</si>
  <si>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</si>
  <si>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</si>
  <si>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</si>
  <si>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</si>
  <si>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</si>
  <si>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</si>
  <si>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</si>
  <si>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</si>
  <si>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</si>
  <si>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</si>
  <si>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</si>
  <si>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</si>
  <si>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</si>
  <si>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</si>
  <si>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</si>
  <si>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</si>
  <si>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</si>
  <si>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</si>
  <si>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</si>
  <si>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</si>
  <si>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</si>
  <si>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</si>
  <si>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</si>
  <si>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</si>
  <si>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</si>
  <si>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</si>
  <si>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</si>
  <si>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</si>
  <si>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</si>
  <si>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</si>
  <si>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</si>
  <si>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</si>
  <si>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</si>
  <si>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</si>
  <si>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</si>
  <si>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</si>
  <si>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</si>
  <si>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</si>
  <si>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</si>
  <si>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</si>
  <si>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</si>
  <si>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</si>
  <si>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</si>
  <si>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</si>
  <si>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</si>
  <si>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</si>
  <si>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</si>
  <si>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</si>
  <si>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</si>
  <si>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</si>
  <si>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</si>
  <si>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</si>
  <si>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</si>
  <si>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</si>
  <si>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</si>
  <si>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</si>
  <si>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</si>
  <si>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</si>
  <si>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</si>
  <si>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</si>
  <si>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</si>
  <si>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</si>
  <si>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</si>
  <si>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</si>
  <si>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</si>
  <si>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</si>
  <si>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</si>
  <si>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</si>
  <si>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</si>
  <si>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</si>
  <si>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</si>
  <si>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</si>
  <si>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</si>
  <si>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</si>
  <si>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</si>
  <si>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</si>
  <si>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</si>
  <si>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</si>
  <si>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</si>
  <si>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</si>
  <si>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</si>
  <si>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</si>
  <si>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</si>
  <si>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</si>
  <si>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</si>
  <si>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</si>
  <si>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</si>
  <si>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</si>
  <si>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</si>
  <si>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</si>
  <si>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</si>
  <si>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</si>
  <si>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</si>
  <si>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</si>
  <si>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</si>
  <si>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</si>
  <si>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</si>
  <si>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</si>
  <si>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</si>
  <si>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</si>
  <si>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</si>
  <si>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</si>
  <si>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</si>
  <si>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</si>
  <si>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</si>
  <si>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</si>
  <si>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</si>
  <si>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</si>
  <si>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</si>
  <si>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</si>
  <si>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</si>
  <si>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</si>
  <si>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</si>
  <si>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</si>
  <si>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</si>
  <si>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</si>
  <si>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</si>
  <si>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</si>
  <si>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</si>
  <si>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</si>
  <si>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</si>
  <si>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</si>
  <si>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</si>
  <si>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</si>
  <si>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</si>
  <si>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</si>
  <si>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</si>
  <si>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</si>
  <si>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</si>
  <si>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</si>
  <si>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</si>
  <si>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</si>
  <si>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</si>
  <si>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</si>
  <si>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</si>
  <si>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</si>
  <si>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</si>
  <si>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</si>
  <si>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</si>
  <si>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</si>
  <si>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</si>
  <si>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</si>
  <si>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</si>
  <si>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</si>
  <si>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</si>
  <si>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</si>
  <si>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</si>
  <si>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</si>
  <si>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</si>
  <si>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</si>
  <si>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</si>
  <si>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</si>
  <si>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</si>
  <si>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</si>
  <si>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</si>
  <si>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</si>
  <si>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</si>
  <si>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</si>
  <si>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</si>
  <si>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</si>
  <si>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</si>
  <si>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</si>
  <si>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</si>
  <si>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</si>
  <si>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</si>
  <si>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</si>
  <si>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</si>
  <si>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</si>
  <si>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</si>
  <si>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</si>
  <si>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</si>
  <si>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</si>
  <si>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</si>
  <si>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</si>
  <si>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</si>
  <si>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</si>
  <si>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</si>
  <si>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</si>
  <si>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</si>
  <si>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</si>
  <si>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</si>
  <si>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</si>
  <si>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</si>
  <si>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</si>
  <si>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</si>
  <si>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</si>
  <si>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</si>
  <si>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</si>
  <si>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</si>
  <si>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</si>
  <si>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</si>
  <si>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</si>
  <si>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</si>
  <si>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</si>
  <si>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</si>
  <si>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</si>
  <si>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</si>
  <si>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</si>
  <si>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</si>
  <si>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</si>
  <si>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</si>
  <si>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</si>
  <si>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</si>
  <si>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</si>
  <si>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</si>
  <si>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</si>
  <si>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</si>
  <si>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</si>
  <si>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</si>
  <si>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</si>
  <si>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</si>
  <si>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</si>
  <si>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</si>
  <si>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</si>
  <si>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</si>
  <si>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</si>
  <si>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</si>
  <si>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</si>
  <si>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</si>
  <si>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</si>
  <si>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</si>
  <si>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</si>
  <si>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</si>
  <si>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</si>
  <si>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</si>
  <si>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</si>
  <si>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</si>
  <si>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</si>
  <si>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</si>
  <si>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</si>
  <si>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</si>
  <si>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</si>
  <si>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</si>
  <si>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</si>
  <si>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</si>
  <si>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</si>
  <si>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</si>
  <si>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</si>
  <si>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</si>
  <si>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</si>
  <si>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</si>
  <si>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</si>
  <si>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</si>
  <si>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</si>
  <si>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</si>
  <si>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</si>
  <si>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</si>
  <si>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</si>
  <si>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</si>
  <si>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</si>
  <si>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</si>
  <si>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</si>
  <si>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</si>
  <si>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</si>
  <si>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</si>
  <si>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</si>
  <si>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</si>
  <si>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</si>
  <si>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</si>
  <si>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</si>
  <si>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</si>
  <si>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</si>
  <si>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</si>
  <si>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</si>
  <si>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</si>
  <si>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</si>
  <si>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</si>
  <si>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</si>
  <si>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</si>
  <si>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</si>
  <si>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</si>
  <si>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</si>
  <si>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</si>
  <si>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</si>
  <si>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</si>
  <si>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</si>
  <si>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</si>
  <si>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</si>
  <si>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</si>
  <si>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</si>
  <si>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</si>
  <si>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</si>
  <si>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</si>
  <si>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</si>
  <si>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</si>
  <si>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</si>
  <si>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</si>
  <si>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</si>
  <si>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</si>
  <si>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</si>
  <si>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</si>
  <si>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</si>
  <si>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</si>
  <si>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</si>
  <si>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</si>
  <si>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</si>
  <si>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</si>
  <si>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</si>
  <si>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</si>
  <si>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</si>
  <si>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</si>
  <si>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</si>
  <si>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</si>
  <si>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</si>
  <si>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</si>
  <si>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</si>
  <si>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</si>
  <si>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</si>
  <si>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</si>
  <si>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</si>
  <si>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</si>
  <si>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</si>
  <si>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</si>
  <si>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</si>
  <si>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</si>
  <si>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</si>
  <si>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</si>
  <si>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</si>
  <si>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</si>
  <si>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</si>
  <si>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</si>
  <si>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</si>
  <si>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</si>
  <si>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</si>
  <si>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</si>
  <si>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</si>
  <si>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</si>
  <si>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</si>
  <si>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</si>
  <si>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</si>
  <si>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</si>
  <si>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</si>
  <si>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</si>
  <si>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</si>
  <si>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</si>
  <si>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</si>
  <si>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</si>
  <si>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</si>
  <si>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</si>
  <si>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</si>
  <si>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</si>
  <si>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</si>
  <si>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</si>
  <si>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</si>
  <si>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</si>
  <si>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</si>
  <si>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</si>
  <si>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</si>
  <si>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</si>
  <si>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</si>
  <si>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</si>
  <si>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</si>
  <si>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</si>
  <si>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</si>
  <si>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</si>
  <si>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</si>
  <si>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</si>
  <si>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</si>
  <si>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</si>
  <si>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</si>
  <si>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</si>
  <si>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</si>
  <si>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</si>
  <si>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</si>
  <si>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</si>
  <si>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</si>
  <si>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</si>
  <si>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</si>
  <si>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</si>
  <si>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</si>
  <si>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</si>
  <si>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</si>
  <si>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</si>
  <si>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</si>
  <si>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</si>
  <si>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</si>
  <si>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</si>
  <si>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</si>
  <si>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</si>
  <si>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</si>
  <si>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</si>
  <si>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</si>
  <si>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</si>
  <si>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</si>
  <si>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</si>
  <si>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</si>
  <si>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</si>
  <si>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</si>
  <si>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</si>
  <si>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</si>
  <si>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</si>
  <si>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</si>
  <si>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</si>
  <si>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</si>
  <si>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</si>
  <si>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</si>
  <si>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</si>
  <si>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</si>
  <si>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</si>
  <si>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</si>
  <si>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</si>
  <si>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</si>
  <si>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</si>
  <si>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</si>
  <si>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</si>
  <si>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</si>
  <si>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</si>
  <si>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</si>
  <si>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</si>
  <si>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</si>
  <si>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</si>
  <si>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</si>
  <si>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</si>
  <si>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</si>
  <si>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</si>
  <si>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</si>
  <si>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</si>
  <si>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</si>
  <si>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</si>
  <si>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</si>
  <si>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</si>
  <si>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</si>
  <si>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</si>
  <si>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</si>
  <si>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</si>
  <si>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</si>
  <si>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</si>
  <si>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</si>
  <si>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</si>
  <si>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</si>
  <si>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</si>
  <si>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</si>
  <si>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</si>
  <si>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</si>
  <si>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</si>
  <si>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</si>
  <si>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</si>
  <si>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</si>
  <si>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</si>
  <si>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</si>
  <si>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</si>
  <si>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</si>
  <si>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</si>
  <si>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</si>
  <si>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</si>
  <si>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</si>
  <si>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</si>
  <si>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</si>
  <si>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</si>
  <si>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</si>
  <si>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</si>
  <si>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</si>
  <si>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</si>
  <si>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</si>
  <si>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</si>
  <si>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</si>
  <si>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</si>
  <si>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</si>
  <si>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</si>
  <si>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</si>
  <si>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</si>
  <si>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</si>
  <si>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</si>
  <si>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</si>
  <si>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</si>
  <si>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</si>
  <si>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</si>
  <si>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</si>
  <si>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</si>
  <si>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</si>
  <si>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</si>
  <si>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</si>
  <si>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</si>
  <si>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</si>
  <si>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</si>
  <si>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</si>
  <si>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</si>
  <si>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</si>
  <si>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</si>
  <si>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</si>
  <si>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</si>
  <si>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</si>
  <si>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</si>
  <si>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</si>
  <si>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</si>
  <si>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</si>
  <si>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</si>
  <si>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</si>
  <si>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</si>
  <si>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</si>
  <si>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</si>
  <si>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</si>
  <si>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</si>
  <si>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</si>
  <si>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</si>
  <si>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</si>
  <si>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</si>
  <si>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</si>
  <si>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</si>
  <si>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</si>
  <si>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</si>
  <si>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</si>
  <si>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</si>
  <si>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</si>
  <si>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</si>
  <si>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</si>
  <si>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</si>
  <si>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</si>
  <si>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</si>
  <si>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</si>
  <si>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</si>
  <si>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</si>
  <si>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</si>
  <si>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</si>
  <si>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</si>
  <si>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</si>
  <si>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</si>
  <si>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</si>
  <si>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</si>
  <si>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</si>
  <si>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</si>
  <si>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</si>
  <si>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</si>
  <si>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</si>
  <si>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</si>
  <si>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</si>
  <si>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</si>
  <si>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</si>
  <si>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</si>
  <si>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</si>
  <si>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</si>
  <si>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</si>
  <si>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</si>
  <si>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</si>
  <si>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</si>
  <si>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</si>
  <si>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</si>
  <si>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</si>
  <si>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</si>
  <si>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</si>
  <si>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</si>
  <si>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</si>
  <si>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</si>
  <si>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</si>
  <si>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</si>
  <si>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</si>
  <si>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</si>
  <si>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</si>
  <si>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</si>
  <si>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</si>
  <si>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</si>
  <si>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</si>
  <si>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</si>
  <si>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</si>
  <si>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</si>
  <si>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</si>
  <si>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</si>
  <si>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</si>
  <si>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</si>
  <si>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</si>
  <si>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</si>
  <si>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</si>
  <si>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</si>
  <si>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</si>
  <si>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</si>
  <si>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</si>
  <si>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</si>
  <si>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</si>
  <si>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</si>
  <si>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</si>
  <si>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</si>
  <si>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</si>
  <si>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</si>
  <si>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</si>
  <si>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</si>
  <si>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</si>
  <si>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</si>
  <si>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</si>
  <si>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</si>
  <si>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Columna16365</t>
  </si>
  <si>
    <t>Columna16366</t>
  </si>
  <si>
    <t>Columna16367</t>
  </si>
  <si>
    <t>Columna16368</t>
  </si>
  <si>
    <t>Columna16369</t>
  </si>
  <si>
    <t>Columna16370</t>
  </si>
  <si>
    <t>EQUINO</t>
  </si>
  <si>
    <t>NATACIÓN TERAPEUTICA</t>
  </si>
  <si>
    <t>P14150</t>
  </si>
  <si>
    <t>MOTRICIDAD</t>
  </si>
  <si>
    <t>BLOQUE</t>
  </si>
  <si>
    <t xml:space="preserve">HORARIO C </t>
  </si>
  <si>
    <t>NATACIÓN</t>
  </si>
  <si>
    <t>FECHA</t>
  </si>
  <si>
    <t>NOTA</t>
  </si>
  <si>
    <t>IMPORTE</t>
  </si>
  <si>
    <t>Total</t>
  </si>
  <si>
    <t>Área</t>
  </si>
  <si>
    <t>Bajas</t>
  </si>
  <si>
    <t>Servicio</t>
  </si>
  <si>
    <t>Ingresos</t>
  </si>
  <si>
    <t>Motivo</t>
  </si>
  <si>
    <t>Logofoniatría</t>
  </si>
  <si>
    <t>Total de bajas</t>
  </si>
  <si>
    <t>Cognición</t>
  </si>
  <si>
    <t>Equinoterapia</t>
  </si>
  <si>
    <t>Motricidad</t>
  </si>
  <si>
    <t>Hidroterapia</t>
  </si>
  <si>
    <t>Natación</t>
  </si>
  <si>
    <t>Psicología</t>
  </si>
  <si>
    <t>AUDITORIA</t>
  </si>
  <si>
    <t>HORARIO B</t>
  </si>
  <si>
    <t>P16005</t>
  </si>
  <si>
    <t>SESIONES EN EL MES</t>
  </si>
  <si>
    <t>DESCUENTO POR TOMAR MAS DE 12 SESIONES AL MES - PAGO TRIMESTRAL MAY JUN JUL</t>
  </si>
  <si>
    <t>F/4882-83-84</t>
  </si>
  <si>
    <t>P15814</t>
  </si>
  <si>
    <t>F/4914</t>
  </si>
  <si>
    <t>N13239</t>
  </si>
  <si>
    <t>N13246</t>
  </si>
  <si>
    <t>F/4926</t>
  </si>
  <si>
    <t>N13264</t>
  </si>
  <si>
    <t>P16037</t>
  </si>
  <si>
    <t>p16037</t>
  </si>
  <si>
    <t>F/4962</t>
  </si>
  <si>
    <t>F/4969</t>
  </si>
  <si>
    <t xml:space="preserve">SU SALUD NO LE PERMITE SEGUIR </t>
  </si>
  <si>
    <t xml:space="preserve">CONTRATIEMPOS EN SU NUCLEO FAMILIAR </t>
  </si>
  <si>
    <t xml:space="preserve">SALIO DEL PAIS </t>
  </si>
  <si>
    <t xml:space="preserve">TERMINO SU OBJETIVO </t>
  </si>
  <si>
    <t>NO VIVE EN GDL</t>
  </si>
  <si>
    <t xml:space="preserve">SU MAMÁ ENTRO A TRABAJAR Y NO PUEDE TRAERLO </t>
  </si>
  <si>
    <t xml:space="preserve">NO ESTA DEACUERDO CON LAS REGLAS DEL CENTRO - NO PAGO EL MES DE MAYO Y SI LO TOMO </t>
  </si>
  <si>
    <t>F/4991</t>
  </si>
  <si>
    <t>F/4995</t>
  </si>
  <si>
    <t>F/4998</t>
  </si>
  <si>
    <t>SUTANA</t>
  </si>
  <si>
    <t>PERENGANA</t>
  </si>
  <si>
    <t>FULANO</t>
  </si>
  <si>
    <t>PEPITO</t>
  </si>
  <si>
    <t>PRUEBARDA</t>
  </si>
  <si>
    <t>PEPITA</t>
  </si>
  <si>
    <t>TESTINA</t>
  </si>
  <si>
    <t>DEMONA</t>
  </si>
  <si>
    <t>PRUEBERTO</t>
  </si>
  <si>
    <t>LOREM</t>
  </si>
  <si>
    <t>FULENCIO</t>
  </si>
  <si>
    <t>SUTANO</t>
  </si>
  <si>
    <t>PERENGANO</t>
  </si>
  <si>
    <t>PRUDENCIO</t>
  </si>
  <si>
    <t>MBAPE</t>
  </si>
  <si>
    <t>RONALDO</t>
  </si>
  <si>
    <t>MESSI</t>
  </si>
  <si>
    <t>HAALAND</t>
  </si>
  <si>
    <t>MORITA</t>
  </si>
  <si>
    <t>CLIENTIN</t>
  </si>
  <si>
    <t>CLIENTINA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</si>
</sst>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_-;\-* #,##0.00_-;_-* \-??_-;_-@_-"/>
    <numFmt numFmtId="165" formatCode="&quot;$&quot;#,##0"/>
    <numFmt numFmtId="166" formatCode="&quot;$&quot;#,##0.00"/>
    <numFmt numFmtId="167" formatCode="_-[$$-80A]* #,##0.00_-;\-[$$-80A]* #,##0.00_-;_-[$$-80A]* &quot;-&quot;??_-;_-@_-"/>
  </numFmts>
  <fonts count="13">
    <font>
      <sz val="11"/>
      <color theme="1"/>
      <name val="Calibri"/>
      <charset val="134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Aptos"/>
      <family val="2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2065187536243"/>
        <bgColor theme="6" tint="0.79992065187536243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44" fontId="7" fillId="0" borderId="0" applyFont="0" applyFill="0" applyBorder="0" applyProtection="0"/>
    <xf numFmtId="43" fontId="7" fillId="0" borderId="0" applyFont="0" applyFill="0" applyBorder="0" applyProtection="0"/>
    <xf numFmtId="164" fontId="6" fillId="0" borderId="0" applyFill="0" applyBorder="0" applyProtection="0"/>
    <xf numFmtId="43" fontId="6" fillId="0" borderId="0" applyFont="0" applyFill="0" applyBorder="0" applyProtection="0"/>
    <xf numFmtId="0" fontId="6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4" fontId="2" fillId="0" borderId="0" xfId="1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4" fontId="1" fillId="3" borderId="1" xfId="1" applyFont="1" applyFill="1" applyBorder="1" applyAlignment="1">
      <alignment horizontal="right" vertical="center"/>
    </xf>
    <xf numFmtId="44" fontId="1" fillId="3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4" fontId="4" fillId="0" borderId="1" xfId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4" fontId="2" fillId="4" borderId="1" xfId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left" vertical="center"/>
    </xf>
    <xf numFmtId="44" fontId="2" fillId="0" borderId="1" xfId="1" applyFont="1" applyBorder="1" applyAlignment="1">
      <alignment horizontal="right" vertical="center"/>
    </xf>
    <xf numFmtId="166" fontId="2" fillId="0" borderId="1" xfId="1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44" fontId="3" fillId="0" borderId="1" xfId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44" fontId="3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44" fontId="2" fillId="0" borderId="7" xfId="1" applyFont="1" applyBorder="1" applyAlignment="1">
      <alignment horizontal="right" vertical="center"/>
    </xf>
    <xf numFmtId="44" fontId="4" fillId="0" borderId="7" xfId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4" fontId="2" fillId="2" borderId="1" xfId="1" applyFont="1" applyFill="1" applyBorder="1" applyAlignment="1">
      <alignment horizontal="right" vertical="center"/>
    </xf>
    <xf numFmtId="166" fontId="2" fillId="2" borderId="1" xfId="1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/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4" fontId="3" fillId="0" borderId="0" xfId="1" applyFont="1"/>
    <xf numFmtId="43" fontId="3" fillId="0" borderId="0" xfId="4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center" vertical="center"/>
    </xf>
    <xf numFmtId="165" fontId="8" fillId="6" borderId="0" xfId="0" applyNumberFormat="1" applyFont="1" applyFill="1" applyAlignment="1">
      <alignment horizontal="center" vertical="center"/>
    </xf>
    <xf numFmtId="165" fontId="8" fillId="6" borderId="0" xfId="0" applyNumberFormat="1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44" fontId="9" fillId="0" borderId="0" xfId="1" applyFont="1"/>
    <xf numFmtId="0" fontId="10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43" fontId="3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167" fontId="11" fillId="0" borderId="0" xfId="0" applyNumberFormat="1" applyFont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6">
    <cellStyle name="Millares 2" xfId="2"/>
    <cellStyle name="Millares 6" xfId="3"/>
    <cellStyle name="Millares_Hoja1" xfId="4"/>
    <cellStyle name="Moneda" xfId="1" builtinId="4"/>
    <cellStyle name="Normal" xfId="0" builtinId="0"/>
    <cellStyle name="Normal 2 2" xfId="5"/>
  </cellStyles>
  <dxfs count="330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_-[$$-80A]* #,##0.00_-;\-[$$-80A]* #,##0.00_-;_-[$$-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_-[$$-80A]* #,##0.00_-;\-[$$-80A]* #,##0.00_-;_-[$$-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_-[$$-80A]* #,##0.00_-;\-[$$-80A]* #,##0.00_-;_-[$$-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_-[$$-80A]* #,##0.00_-;\-[$$-80A]* #,##0.00_-;_-[$$-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_-[$$-80A]* #,##0.00_-;\-[$$-80A]* #,##0.00_-;_-[$$-80A]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5"/>
          <bgColor indexed="5"/>
        </patternFill>
      </fill>
    </dxf>
    <dxf>
      <font>
        <b/>
        <i val="0"/>
      </font>
      <fill>
        <patternFill patternType="solid">
          <fgColor rgb="FFFF99FF"/>
          <bgColor rgb="FFFF99FF"/>
        </patternFill>
      </fill>
    </dxf>
    <dxf>
      <font>
        <b/>
        <i val="0"/>
      </font>
      <fill>
        <patternFill patternType="solid">
          <fgColor indexed="40"/>
          <bgColor indexed="40"/>
        </patternFill>
      </fill>
    </dxf>
    <dxf>
      <font>
        <b/>
        <i val="0"/>
      </font>
      <fill>
        <patternFill patternType="solid">
          <fgColor rgb="FF9966FF"/>
          <bgColor rgb="FF9966FF"/>
        </patternFill>
      </fill>
    </dxf>
    <dxf>
      <font>
        <b/>
        <i val="0"/>
      </font>
      <fill>
        <patternFill patternType="solid">
          <fgColor rgb="FFFF9933"/>
          <bgColor rgb="FFFF9933"/>
        </patternFill>
      </fill>
    </dxf>
    <dxf>
      <font>
        <b/>
        <i val="0"/>
      </font>
      <fill>
        <patternFill patternType="solid">
          <fgColor rgb="FF92D050"/>
          <bgColor rgb="FF92D050"/>
        </patternFill>
      </fill>
    </dxf>
    <dxf>
      <font>
        <b/>
        <i val="0"/>
      </font>
      <fill>
        <patternFill patternType="solid">
          <fgColor theme="0" tint="-0.34998626667073579"/>
          <bgColor theme="0" tint="-0.34998626667073579"/>
        </patternFill>
      </fill>
    </dxf>
    <dxf>
      <font>
        <b/>
        <i val="0"/>
      </font>
      <fill>
        <patternFill patternType="solid">
          <fgColor indexed="2"/>
          <bgColor indexed="2"/>
        </patternFill>
      </fill>
    </dxf>
    <dxf>
      <font>
        <b val="0"/>
        <i val="0"/>
        <strike val="0"/>
        <u val="none"/>
        <sz val="8"/>
        <name val="Calibri"/>
        <scheme val="none"/>
      </font>
      <fill>
        <patternFill patternType="solid"/>
      </fill>
      <alignment horizontal="center"/>
    </dxf>
    <dxf>
      <font>
        <b val="0"/>
        <i val="0"/>
        <strike val="0"/>
        <u val="none"/>
        <sz val="8"/>
        <name val="Calibri"/>
        <scheme val="none"/>
      </font>
      <fill>
        <patternFill patternType="solid"/>
      </fill>
    </dxf>
    <dxf>
      <font>
        <b val="0"/>
        <i val="0"/>
        <strike val="0"/>
        <u val="none"/>
        <sz val="8"/>
        <name val="Calibri"/>
        <scheme val="none"/>
      </font>
      <fill>
        <patternFill patternType="solid"/>
      </fill>
    </dxf>
    <dxf>
      <font>
        <b val="0"/>
        <i val="0"/>
        <strike val="0"/>
        <u val="none"/>
        <sz val="8"/>
        <name val="Calibri"/>
        <scheme val="none"/>
      </font>
      <numFmt numFmtId="19" formatCode="dd/mm/yyyy"/>
      <fill>
        <patternFill patternType="solid"/>
      </fill>
    </dxf>
    <dxf>
      <font>
        <b val="0"/>
        <i val="0"/>
        <strike val="0"/>
        <u val="none"/>
        <sz val="8"/>
        <name val="Calibri"/>
        <scheme val="none"/>
      </font>
      <numFmt numFmtId="0" formatCode="General"/>
      <fill>
        <patternFill patternType="solid"/>
      </fill>
      <alignment horizontal="left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165" formatCode="&quot;$&quot;#,##0"/>
      <alignment horizontal="center" vertical="center"/>
    </dxf>
    <dxf>
      <font>
        <b val="0"/>
        <i val="0"/>
        <strike val="0"/>
        <outline val="0"/>
        <shadow val="0"/>
        <u val="none"/>
        <vertAlign val="baseline"/>
        <sz val="8"/>
        <color theme="0"/>
        <name val="Calibri"/>
        <scheme val="minor"/>
      </font>
      <numFmt numFmtId="165" formatCode="&quot;$&quot;#,##0"/>
      <fill>
        <patternFill>
          <fgColor indexed="64"/>
          <bgColor theme="4" tint="-0.249977111117893"/>
        </patternFill>
      </fill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 textRotation="0" indent="0" justifyLastLine="0" shrinkToFit="0" readingOrder="0"/>
    </dxf>
    <dxf>
      <font>
        <b val="0"/>
        <i val="0"/>
        <strike val="0"/>
        <u val="none"/>
        <sz val="8"/>
        <name val="Calibri"/>
        <scheme val="none"/>
      </font>
      <numFmt numFmtId="34" formatCode="_-&quot;$&quot;* #,##0.00_-;\-&quot;$&quot;* #,##0.00_-;_-&quot;$&quot;* &quot;-&quot;??_-;_-@_-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numFmt numFmtId="0" formatCode="General"/>
      <alignment horizontal="center" vertical="center" textRotation="0" indent="0" justifyLastLine="0" shrinkToFit="0" readingOrder="0"/>
    </dxf>
    <dxf>
      <font>
        <b val="0"/>
        <i val="0"/>
        <strike val="0"/>
        <u val="none"/>
        <sz val="8"/>
        <name val="Calibri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  <dxf>
      <font>
        <b val="0"/>
        <i val="0"/>
        <strike val="0"/>
        <u val="none"/>
        <sz val="8"/>
        <name val="Calibri"/>
        <scheme val="none"/>
      </font>
      <alignment horizontal="center" vertical="center"/>
    </dxf>
  </dxfs>
  <tableStyles count="0" defaultTableStyle="TableStyleMedium2" defaultPivotStyle="PivotStyleLight16"/>
  <colors>
    <mruColors>
      <color rgb="FFFF33CC"/>
      <color rgb="FF66FFCC"/>
      <color rgb="FF00FFFF"/>
      <color rgb="FFFF99FF"/>
      <color rgb="FFFFCCCC"/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4" displayName="Tabla4" ref="A1:XFD8" totalsRowCount="1">
  <autoFilter ref="A1:XFD7"/>
  <tableColumns count="16384">
    <tableColumn id="1" name="SEMANA DE PAGO" dataDxfId="33012" totalsRowDxfId="16388"/>
    <tableColumn id="2" name="NATACIÓN " dataDxfId="33011" totalsRowDxfId="16387"/>
    <tableColumn id="3" name="CLIENTE FACTURA" dataDxfId="33010" totalsRowDxfId="16386"/>
    <tableColumn id="4" name="FOLIO" dataDxfId="33009" totalsRowDxfId="16385"/>
    <tableColumn id="5" name="NOMBRE" dataDxfId="33008" totalsRowDxfId="16384"/>
    <tableColumn id="6" name="SERVICIO" dataDxfId="33007" totalsRowDxfId="16383"/>
    <tableColumn id="7" name="VXS" dataDxfId="33006" totalsRowDxfId="16382"/>
    <tableColumn id="14" name="SESIONES EN EL MES" totalsRowFunction="sum" dataDxfId="33005" totalsRowDxfId="16381"/>
    <tableColumn id="8" name="PAGO" totalsRowFunction="sum" dataDxfId="33004" totalsRowDxfId="16380">
      <calculatedColumnFormula>Tabla4[[#This Row],[PRECIO DE LISTA]]+Tabla4[[#This Row],[INSC. / RECARGO ]]-Tabla4[[#This Row],[DESCUENTO]]+Tabla4[[#This Row],[RECARGOS]]</calculatedColumnFormula>
    </tableColumn>
    <tableColumn id="9" name="PRECIO DE LISTA" dataDxfId="33003" totalsRowDxfId="16379"/>
    <tableColumn id="10" name="INSC. / RECARGO " totalsRowFunction="sum" dataDxfId="33002" totalsRowDxfId="16378"/>
    <tableColumn id="11" name="DESCUENTO" totalsRowFunction="sum" dataDxfId="33001" totalsRowDxfId="16377"/>
    <tableColumn id="12" name="RECARGOS" totalsRowFunction="sum" dataDxfId="33000" totalsRowDxfId="16376"/>
    <tableColumn id="13" name="COMENTARIOS" dataDxfId="32999" totalsRowDxfId="16375"/>
    <tableColumn id="15" name="AUDITORIA" dataDxfId="32998" totalsRowDxfId="16374"/>
    <tableColumn id="16" name="Columna2" dataDxfId="32997" totalsRowDxfId="16373"/>
    <tableColumn id="17" name="Columna3" dataDxfId="32996" totalsRowDxfId="16372"/>
    <tableColumn id="18" name="Columna4" dataDxfId="32995" totalsRowDxfId="16371"/>
    <tableColumn id="19" name="Columna5" dataDxfId="32994" totalsRowDxfId="16370"/>
    <tableColumn id="20" name="Columna6" dataDxfId="32993" totalsRowDxfId="16369"/>
    <tableColumn id="21" name="Columna7" dataDxfId="32992" totalsRowDxfId="16368"/>
    <tableColumn id="22" name="Columna8" dataDxfId="32991" totalsRowDxfId="16367"/>
    <tableColumn id="23" name="Columna9" dataDxfId="32990" totalsRowDxfId="16366"/>
    <tableColumn id="24" name="Columna10" dataDxfId="32989" totalsRowDxfId="16365"/>
    <tableColumn id="25" name="Columna11" dataDxfId="32988" totalsRowDxfId="16364"/>
    <tableColumn id="26" name="Columna12" dataDxfId="32987" totalsRowDxfId="16363"/>
    <tableColumn id="27" name="Columna13" dataDxfId="32986" totalsRowDxfId="16362"/>
    <tableColumn id="28" name="Columna14" dataDxfId="32985" totalsRowDxfId="16361"/>
    <tableColumn id="29" name="Columna15" dataDxfId="32984" totalsRowDxfId="16360"/>
    <tableColumn id="30" name="Columna16" dataDxfId="32983" totalsRowDxfId="16359"/>
    <tableColumn id="31" name="Columna17" dataDxfId="32982" totalsRowDxfId="16358"/>
    <tableColumn id="32" name="Columna18" dataDxfId="32981" totalsRowDxfId="16357"/>
    <tableColumn id="33" name="Columna19" dataDxfId="32980" totalsRowDxfId="16356"/>
    <tableColumn id="34" name="Columna20" dataDxfId="32979" totalsRowDxfId="16355"/>
    <tableColumn id="35" name="Columna21" dataDxfId="32978" totalsRowDxfId="16354"/>
    <tableColumn id="36" name="Columna22" dataDxfId="32977" totalsRowDxfId="16353"/>
    <tableColumn id="37" name="Columna23" dataDxfId="32976" totalsRowDxfId="16352"/>
    <tableColumn id="38" name="Columna24" dataDxfId="32975" totalsRowDxfId="16351"/>
    <tableColumn id="39" name="Columna25" dataDxfId="32974" totalsRowDxfId="16350"/>
    <tableColumn id="40" name="Columna26" dataDxfId="32973" totalsRowDxfId="16349"/>
    <tableColumn id="41" name="Columna27" dataDxfId="32972" totalsRowDxfId="16348"/>
    <tableColumn id="42" name="Columna28" dataDxfId="32971" totalsRowDxfId="16347"/>
    <tableColumn id="43" name="Columna29" dataDxfId="32970" totalsRowDxfId="16346"/>
    <tableColumn id="44" name="Columna30" dataDxfId="32969" totalsRowDxfId="16345"/>
    <tableColumn id="45" name="Columna31" dataDxfId="32968" totalsRowDxfId="16344"/>
    <tableColumn id="46" name="Columna32" dataDxfId="32967" totalsRowDxfId="16343"/>
    <tableColumn id="47" name="Columna33" dataDxfId="32966" totalsRowDxfId="16342"/>
    <tableColumn id="48" name="Columna34" dataDxfId="32965" totalsRowDxfId="16341"/>
    <tableColumn id="49" name="Columna35" dataDxfId="32964" totalsRowDxfId="16340"/>
    <tableColumn id="50" name="Columna36" dataDxfId="32963" totalsRowDxfId="16339"/>
    <tableColumn id="51" name="Columna37" dataDxfId="32962" totalsRowDxfId="16338"/>
    <tableColumn id="52" name="Columna38" dataDxfId="32961" totalsRowDxfId="16337"/>
    <tableColumn id="53" name="Columna39" dataDxfId="32960" totalsRowDxfId="16336"/>
    <tableColumn id="54" name="Columna40" dataDxfId="32959" totalsRowDxfId="16335"/>
    <tableColumn id="55" name="Columna41" dataDxfId="32958" totalsRowDxfId="16334"/>
    <tableColumn id="56" name="Columna42" dataDxfId="32957" totalsRowDxfId="16333"/>
    <tableColumn id="57" name="Columna43" dataDxfId="32956" totalsRowDxfId="16332"/>
    <tableColumn id="58" name="Columna44" dataDxfId="32955" totalsRowDxfId="16331"/>
    <tableColumn id="59" name="Columna45" dataDxfId="32954" totalsRowDxfId="16330"/>
    <tableColumn id="60" name="Columna46" dataDxfId="32953" totalsRowDxfId="16329"/>
    <tableColumn id="61" name="Columna47" dataDxfId="32952" totalsRowDxfId="16328"/>
    <tableColumn id="62" name="Columna48" dataDxfId="32951" totalsRowDxfId="16327"/>
    <tableColumn id="63" name="Columna49" dataDxfId="32950" totalsRowDxfId="16326"/>
    <tableColumn id="64" name="Columna50" dataDxfId="32949" totalsRowDxfId="16325"/>
    <tableColumn id="65" name="Columna51" dataDxfId="32948" totalsRowDxfId="16324"/>
    <tableColumn id="66" name="Columna52" dataDxfId="32947" totalsRowDxfId="16323"/>
    <tableColumn id="67" name="Columna53" dataDxfId="32946" totalsRowDxfId="16322"/>
    <tableColumn id="68" name="Columna54" dataDxfId="32945" totalsRowDxfId="16321"/>
    <tableColumn id="69" name="Columna55" dataDxfId="32944" totalsRowDxfId="16320"/>
    <tableColumn id="70" name="Columna56" dataDxfId="32943" totalsRowDxfId="16319"/>
    <tableColumn id="71" name="Columna57" dataDxfId="32942" totalsRowDxfId="16318"/>
    <tableColumn id="72" name="Columna58" dataDxfId="32941" totalsRowDxfId="16317"/>
    <tableColumn id="73" name="Columna59" dataDxfId="32940" totalsRowDxfId="16316"/>
    <tableColumn id="74" name="Columna60" dataDxfId="32939" totalsRowDxfId="16315"/>
    <tableColumn id="75" name="Columna61" dataDxfId="32938" totalsRowDxfId="16314"/>
    <tableColumn id="76" name="Columna62" dataDxfId="32937" totalsRowDxfId="16313"/>
    <tableColumn id="77" name="Columna63" dataDxfId="32936" totalsRowDxfId="16312"/>
    <tableColumn id="78" name="Columna64" dataDxfId="32935" totalsRowDxfId="16311"/>
    <tableColumn id="79" name="Columna65" dataDxfId="32934" totalsRowDxfId="16310"/>
    <tableColumn id="80" name="Columna66" dataDxfId="32933" totalsRowDxfId="16309"/>
    <tableColumn id="81" name="Columna67" dataDxfId="32932" totalsRowDxfId="16308"/>
    <tableColumn id="82" name="Columna68" dataDxfId="32931" totalsRowDxfId="16307"/>
    <tableColumn id="83" name="Columna69" dataDxfId="32930" totalsRowDxfId="16306"/>
    <tableColumn id="84" name="Columna70" dataDxfId="32929" totalsRowDxfId="16305"/>
    <tableColumn id="85" name="Columna71" dataDxfId="32928" totalsRowDxfId="16304"/>
    <tableColumn id="86" name="Columna72" dataDxfId="32927" totalsRowDxfId="16303"/>
    <tableColumn id="87" name="Columna73" dataDxfId="32926" totalsRowDxfId="16302"/>
    <tableColumn id="88" name="Columna74" dataDxfId="32925" totalsRowDxfId="16301"/>
    <tableColumn id="89" name="Columna75" dataDxfId="32924" totalsRowDxfId="16300"/>
    <tableColumn id="90" name="Columna76" dataDxfId="32923" totalsRowDxfId="16299"/>
    <tableColumn id="91" name="Columna77" dataDxfId="32922" totalsRowDxfId="16298"/>
    <tableColumn id="92" name="Columna78" dataDxfId="32921" totalsRowDxfId="16297"/>
    <tableColumn id="93" name="Columna79" dataDxfId="32920" totalsRowDxfId="16296"/>
    <tableColumn id="94" name="Columna80" dataDxfId="32919" totalsRowDxfId="16295"/>
    <tableColumn id="95" name="Columna81" dataDxfId="32918" totalsRowDxfId="16294"/>
    <tableColumn id="96" name="Columna82" dataDxfId="32917" totalsRowDxfId="16293"/>
    <tableColumn id="97" name="Columna83" dataDxfId="32916" totalsRowDxfId="16292"/>
    <tableColumn id="98" name="Columna84" dataDxfId="32915" totalsRowDxfId="16291"/>
    <tableColumn id="99" name="Columna85" dataDxfId="32914" totalsRowDxfId="16290"/>
    <tableColumn id="100" name="Columna86" dataDxfId="32913" totalsRowDxfId="16289"/>
    <tableColumn id="101" name="Columna87" dataDxfId="32912" totalsRowDxfId="16288"/>
    <tableColumn id="102" name="Columna88" dataDxfId="32911" totalsRowDxfId="16287"/>
    <tableColumn id="103" name="Columna89" dataDxfId="32910" totalsRowDxfId="16286"/>
    <tableColumn id="104" name="Columna90" dataDxfId="32909" totalsRowDxfId="16285"/>
    <tableColumn id="105" name="Columna91" dataDxfId="32908" totalsRowDxfId="16284"/>
    <tableColumn id="106" name="Columna92" dataDxfId="32907" totalsRowDxfId="16283"/>
    <tableColumn id="107" name="Columna93" dataDxfId="32906" totalsRowDxfId="16282"/>
    <tableColumn id="108" name="Columna94" dataDxfId="32905" totalsRowDxfId="16281"/>
    <tableColumn id="109" name="Columna95" dataDxfId="32904" totalsRowDxfId="16280"/>
    <tableColumn id="110" name="Columna96" dataDxfId="32903" totalsRowDxfId="16279"/>
    <tableColumn id="111" name="Columna97" dataDxfId="32902" totalsRowDxfId="16278"/>
    <tableColumn id="112" name="Columna98" dataDxfId="32901" totalsRowDxfId="16277"/>
    <tableColumn id="113" name="Columna99" dataDxfId="32900" totalsRowDxfId="16276"/>
    <tableColumn id="114" name="Columna100" dataDxfId="32899" totalsRowDxfId="16275"/>
    <tableColumn id="115" name="Columna101" dataDxfId="32898" totalsRowDxfId="16274"/>
    <tableColumn id="116" name="Columna102" dataDxfId="32897" totalsRowDxfId="16273"/>
    <tableColumn id="117" name="Columna103" dataDxfId="32896" totalsRowDxfId="16272"/>
    <tableColumn id="118" name="Columna104" dataDxfId="32895" totalsRowDxfId="16271"/>
    <tableColumn id="119" name="Columna105" dataDxfId="32894" totalsRowDxfId="16270"/>
    <tableColumn id="120" name="Columna106" dataDxfId="32893" totalsRowDxfId="16269"/>
    <tableColumn id="121" name="Columna107" dataDxfId="32892" totalsRowDxfId="16268"/>
    <tableColumn id="122" name="Columna108" dataDxfId="32891" totalsRowDxfId="16267"/>
    <tableColumn id="123" name="Columna109" dataDxfId="32890" totalsRowDxfId="16266"/>
    <tableColumn id="124" name="Columna110" dataDxfId="32889" totalsRowDxfId="16265"/>
    <tableColumn id="125" name="Columna111" dataDxfId="32888" totalsRowDxfId="16264"/>
    <tableColumn id="126" name="Columna112" dataDxfId="32887" totalsRowDxfId="16263"/>
    <tableColumn id="127" name="Columna113" dataDxfId="32886" totalsRowDxfId="16262"/>
    <tableColumn id="128" name="Columna114" dataDxfId="32885" totalsRowDxfId="16261"/>
    <tableColumn id="129" name="Columna115" dataDxfId="32884" totalsRowDxfId="16260"/>
    <tableColumn id="130" name="Columna116" dataDxfId="32883" totalsRowDxfId="16259"/>
    <tableColumn id="131" name="Columna117" dataDxfId="32882" totalsRowDxfId="16258"/>
    <tableColumn id="132" name="Columna118" dataDxfId="32881" totalsRowDxfId="16257"/>
    <tableColumn id="133" name="Columna119" dataDxfId="32880" totalsRowDxfId="16256"/>
    <tableColumn id="134" name="Columna120" dataDxfId="32879" totalsRowDxfId="16255"/>
    <tableColumn id="135" name="Columna121" dataDxfId="32878" totalsRowDxfId="16254"/>
    <tableColumn id="136" name="Columna122" dataDxfId="32877" totalsRowDxfId="16253"/>
    <tableColumn id="137" name="Columna123" dataDxfId="32876" totalsRowDxfId="16252"/>
    <tableColumn id="138" name="Columna124" dataDxfId="32875" totalsRowDxfId="16251"/>
    <tableColumn id="139" name="Columna125" dataDxfId="32874" totalsRowDxfId="16250"/>
    <tableColumn id="140" name="Columna126" dataDxfId="32873" totalsRowDxfId="16249"/>
    <tableColumn id="141" name="Columna127" dataDxfId="32872" totalsRowDxfId="16248"/>
    <tableColumn id="142" name="Columna128" dataDxfId="32871" totalsRowDxfId="16247"/>
    <tableColumn id="143" name="Columna129" dataDxfId="32870" totalsRowDxfId="16246"/>
    <tableColumn id="144" name="Columna130" dataDxfId="32869" totalsRowDxfId="16245"/>
    <tableColumn id="145" name="Columna131" dataDxfId="32868" totalsRowDxfId="16244"/>
    <tableColumn id="146" name="Columna132" dataDxfId="32867" totalsRowDxfId="16243"/>
    <tableColumn id="147" name="Columna133" dataDxfId="32866" totalsRowDxfId="16242"/>
    <tableColumn id="148" name="Columna134" dataDxfId="32865" totalsRowDxfId="16241"/>
    <tableColumn id="149" name="Columna135" dataDxfId="32864" totalsRowDxfId="16240"/>
    <tableColumn id="150" name="Columna136" dataDxfId="32863" totalsRowDxfId="16239"/>
    <tableColumn id="151" name="Columna137" dataDxfId="32862" totalsRowDxfId="16238"/>
    <tableColumn id="152" name="Columna138" dataDxfId="32861" totalsRowDxfId="16237"/>
    <tableColumn id="153" name="Columna139" dataDxfId="32860" totalsRowDxfId="16236"/>
    <tableColumn id="154" name="Columna140" dataDxfId="32859" totalsRowDxfId="16235"/>
    <tableColumn id="155" name="Columna141" dataDxfId="32858" totalsRowDxfId="16234"/>
    <tableColumn id="156" name="Columna142" dataDxfId="32857" totalsRowDxfId="16233"/>
    <tableColumn id="157" name="Columna143" dataDxfId="32856" totalsRowDxfId="16232"/>
    <tableColumn id="158" name="Columna144" dataDxfId="32855" totalsRowDxfId="16231"/>
    <tableColumn id="159" name="Columna145" dataDxfId="32854" totalsRowDxfId="16230"/>
    <tableColumn id="160" name="Columna146" dataDxfId="32853" totalsRowDxfId="16229"/>
    <tableColumn id="161" name="Columna147" dataDxfId="32852" totalsRowDxfId="16228"/>
    <tableColumn id="162" name="Columna148" dataDxfId="32851" totalsRowDxfId="16227"/>
    <tableColumn id="163" name="Columna149" dataDxfId="32850" totalsRowDxfId="16226"/>
    <tableColumn id="164" name="Columna150" dataDxfId="32849" totalsRowDxfId="16225"/>
    <tableColumn id="165" name="Columna151" dataDxfId="32848" totalsRowDxfId="16224"/>
    <tableColumn id="166" name="Columna152" dataDxfId="32847" totalsRowDxfId="16223"/>
    <tableColumn id="167" name="Columna153" dataDxfId="32846" totalsRowDxfId="16222"/>
    <tableColumn id="168" name="Columna154" dataDxfId="32845" totalsRowDxfId="16221"/>
    <tableColumn id="169" name="Columna155" dataDxfId="32844" totalsRowDxfId="16220"/>
    <tableColumn id="170" name="Columna156" dataDxfId="32843" totalsRowDxfId="16219"/>
    <tableColumn id="171" name="Columna157" dataDxfId="32842" totalsRowDxfId="16218"/>
    <tableColumn id="172" name="Columna158" dataDxfId="32841" totalsRowDxfId="16217"/>
    <tableColumn id="173" name="Columna159" dataDxfId="32840" totalsRowDxfId="16216"/>
    <tableColumn id="174" name="Columna160" dataDxfId="32839" totalsRowDxfId="16215"/>
    <tableColumn id="175" name="Columna161" dataDxfId="32838" totalsRowDxfId="16214"/>
    <tableColumn id="176" name="Columna162" dataDxfId="32837" totalsRowDxfId="16213"/>
    <tableColumn id="177" name="Columna163" dataDxfId="32836" totalsRowDxfId="16212"/>
    <tableColumn id="178" name="Columna164" dataDxfId="32835" totalsRowDxfId="16211"/>
    <tableColumn id="179" name="Columna165" dataDxfId="32834" totalsRowDxfId="16210"/>
    <tableColumn id="180" name="Columna166" dataDxfId="32833" totalsRowDxfId="16209"/>
    <tableColumn id="181" name="Columna167" dataDxfId="32832" totalsRowDxfId="16208"/>
    <tableColumn id="182" name="Columna168" dataDxfId="32831" totalsRowDxfId="16207"/>
    <tableColumn id="183" name="Columna169" dataDxfId="32830" totalsRowDxfId="16206"/>
    <tableColumn id="184" name="Columna170" dataDxfId="32829" totalsRowDxfId="16205"/>
    <tableColumn id="185" name="Columna171" dataDxfId="32828" totalsRowDxfId="16204"/>
    <tableColumn id="186" name="Columna172" dataDxfId="32827" totalsRowDxfId="16203"/>
    <tableColumn id="187" name="Columna173" dataDxfId="32826" totalsRowDxfId="16202"/>
    <tableColumn id="188" name="Columna174" dataDxfId="32825" totalsRowDxfId="16201"/>
    <tableColumn id="189" name="Columna175" dataDxfId="32824" totalsRowDxfId="16200"/>
    <tableColumn id="190" name="Columna176" dataDxfId="32823" totalsRowDxfId="16199"/>
    <tableColumn id="191" name="Columna177" dataDxfId="32822" totalsRowDxfId="16198"/>
    <tableColumn id="192" name="Columna178" dataDxfId="32821" totalsRowDxfId="16197"/>
    <tableColumn id="193" name="Columna179" dataDxfId="32820" totalsRowDxfId="16196"/>
    <tableColumn id="194" name="Columna180" dataDxfId="32819" totalsRowDxfId="16195"/>
    <tableColumn id="195" name="Columna181" dataDxfId="32818" totalsRowDxfId="16194"/>
    <tableColumn id="196" name="Columna182" dataDxfId="32817" totalsRowDxfId="16193"/>
    <tableColumn id="197" name="Columna183" dataDxfId="32816" totalsRowDxfId="16192"/>
    <tableColumn id="198" name="Columna184" dataDxfId="32815" totalsRowDxfId="16191"/>
    <tableColumn id="199" name="Columna185" dataDxfId="32814" totalsRowDxfId="16190"/>
    <tableColumn id="200" name="Columna186" dataDxfId="32813" totalsRowDxfId="16189"/>
    <tableColumn id="201" name="Columna187" dataDxfId="32812" totalsRowDxfId="16188"/>
    <tableColumn id="202" name="Columna188" dataDxfId="32811" totalsRowDxfId="16187"/>
    <tableColumn id="203" name="Columna189" dataDxfId="32810" totalsRowDxfId="16186"/>
    <tableColumn id="204" name="Columna190" dataDxfId="32809" totalsRowDxfId="16185"/>
    <tableColumn id="205" name="Columna191" dataDxfId="32808" totalsRowDxfId="16184"/>
    <tableColumn id="206" name="Columna192" dataDxfId="32807" totalsRowDxfId="16183"/>
    <tableColumn id="207" name="Columna193" dataDxfId="32806" totalsRowDxfId="16182"/>
    <tableColumn id="208" name="Columna194" dataDxfId="32805" totalsRowDxfId="16181"/>
    <tableColumn id="209" name="Columna195" dataDxfId="32804" totalsRowDxfId="16180"/>
    <tableColumn id="210" name="Columna196" dataDxfId="32803" totalsRowDxfId="16179"/>
    <tableColumn id="211" name="Columna197" dataDxfId="32802" totalsRowDxfId="16178"/>
    <tableColumn id="212" name="Columna198" dataDxfId="32801" totalsRowDxfId="16177"/>
    <tableColumn id="213" name="Columna199" dataDxfId="32800" totalsRowDxfId="16176"/>
    <tableColumn id="214" name="Columna200" dataDxfId="32799" totalsRowDxfId="16175"/>
    <tableColumn id="215" name="Columna201" dataDxfId="32798" totalsRowDxfId="16174"/>
    <tableColumn id="216" name="Columna202" dataDxfId="32797" totalsRowDxfId="16173"/>
    <tableColumn id="217" name="Columna203" dataDxfId="32796" totalsRowDxfId="16172"/>
    <tableColumn id="218" name="Columna204" dataDxfId="32795" totalsRowDxfId="16171"/>
    <tableColumn id="219" name="Columna205" dataDxfId="32794" totalsRowDxfId="16170"/>
    <tableColumn id="220" name="Columna206" dataDxfId="32793" totalsRowDxfId="16169"/>
    <tableColumn id="221" name="Columna207" dataDxfId="32792" totalsRowDxfId="16168"/>
    <tableColumn id="222" name="Columna208" dataDxfId="32791" totalsRowDxfId="16167"/>
    <tableColumn id="223" name="Columna209" dataDxfId="32790" totalsRowDxfId="16166"/>
    <tableColumn id="224" name="Columna210" dataDxfId="32789" totalsRowDxfId="16165"/>
    <tableColumn id="225" name="Columna211" dataDxfId="32788" totalsRowDxfId="16164"/>
    <tableColumn id="226" name="Columna212" dataDxfId="32787" totalsRowDxfId="16163"/>
    <tableColumn id="227" name="Columna213" dataDxfId="32786" totalsRowDxfId="16162"/>
    <tableColumn id="228" name="Columna214" dataDxfId="32785" totalsRowDxfId="16161"/>
    <tableColumn id="229" name="Columna215" dataDxfId="32784" totalsRowDxfId="16160"/>
    <tableColumn id="230" name="Columna216" dataDxfId="32783" totalsRowDxfId="16159"/>
    <tableColumn id="231" name="Columna217" dataDxfId="32782" totalsRowDxfId="16158"/>
    <tableColumn id="232" name="Columna218" dataDxfId="32781" totalsRowDxfId="16157"/>
    <tableColumn id="233" name="Columna219" dataDxfId="32780" totalsRowDxfId="16156"/>
    <tableColumn id="234" name="Columna220" dataDxfId="32779" totalsRowDxfId="16155"/>
    <tableColumn id="235" name="Columna221" dataDxfId="32778" totalsRowDxfId="16154"/>
    <tableColumn id="236" name="Columna222" dataDxfId="32777" totalsRowDxfId="16153"/>
    <tableColumn id="237" name="Columna223" dataDxfId="32776" totalsRowDxfId="16152"/>
    <tableColumn id="238" name="Columna224" dataDxfId="32775" totalsRowDxfId="16151"/>
    <tableColumn id="239" name="Columna225" dataDxfId="32774" totalsRowDxfId="16150"/>
    <tableColumn id="240" name="Columna226" dataDxfId="32773" totalsRowDxfId="16149"/>
    <tableColumn id="241" name="Columna227" dataDxfId="32772" totalsRowDxfId="16148"/>
    <tableColumn id="242" name="Columna228" dataDxfId="32771" totalsRowDxfId="16147"/>
    <tableColumn id="243" name="Columna229" dataDxfId="32770" totalsRowDxfId="16146"/>
    <tableColumn id="244" name="Columna230" dataDxfId="32769" totalsRowDxfId="16145"/>
    <tableColumn id="245" name="Columna231" dataDxfId="32768" totalsRowDxfId="16144"/>
    <tableColumn id="246" name="Columna232" dataDxfId="32767" totalsRowDxfId="16143"/>
    <tableColumn id="247" name="Columna233" dataDxfId="32766" totalsRowDxfId="16142"/>
    <tableColumn id="248" name="Columna234" dataDxfId="32765" totalsRowDxfId="16141"/>
    <tableColumn id="249" name="Columna235" dataDxfId="32764" totalsRowDxfId="16140"/>
    <tableColumn id="250" name="Columna236" dataDxfId="32763" totalsRowDxfId="16139"/>
    <tableColumn id="251" name="Columna237" dataDxfId="32762" totalsRowDxfId="16138"/>
    <tableColumn id="252" name="Columna238" dataDxfId="32761" totalsRowDxfId="16137"/>
    <tableColumn id="253" name="Columna239" dataDxfId="32760" totalsRowDxfId="16136"/>
    <tableColumn id="254" name="Columna240" dataDxfId="32759" totalsRowDxfId="16135"/>
    <tableColumn id="255" name="Columna241" dataDxfId="32758" totalsRowDxfId="16134"/>
    <tableColumn id="256" name="Columna242" dataDxfId="32757" totalsRowDxfId="16133"/>
    <tableColumn id="257" name="Columna243" dataDxfId="32756" totalsRowDxfId="16132"/>
    <tableColumn id="258" name="Columna244" dataDxfId="32755" totalsRowDxfId="16131"/>
    <tableColumn id="259" name="Columna245" dataDxfId="32754" totalsRowDxfId="16130"/>
    <tableColumn id="260" name="Columna246" dataDxfId="32753" totalsRowDxfId="16129"/>
    <tableColumn id="261" name="Columna247" dataDxfId="32752" totalsRowDxfId="16128"/>
    <tableColumn id="262" name="Columna248" dataDxfId="32751" totalsRowDxfId="16127"/>
    <tableColumn id="263" name="Columna249" dataDxfId="32750" totalsRowDxfId="16126"/>
    <tableColumn id="264" name="Columna250" dataDxfId="32749" totalsRowDxfId="16125"/>
    <tableColumn id="265" name="Columna251" dataDxfId="32748" totalsRowDxfId="16124"/>
    <tableColumn id="266" name="Columna252" dataDxfId="32747" totalsRowDxfId="16123"/>
    <tableColumn id="267" name="Columna253" dataDxfId="32746" totalsRowDxfId="16122"/>
    <tableColumn id="268" name="Columna254" dataDxfId="32745" totalsRowDxfId="16121"/>
    <tableColumn id="269" name="Columna255" dataDxfId="32744" totalsRowDxfId="16120"/>
    <tableColumn id="270" name="Columna256" dataDxfId="32743" totalsRowDxfId="16119"/>
    <tableColumn id="271" name="Columna257" dataDxfId="32742" totalsRowDxfId="16118"/>
    <tableColumn id="272" name="Columna258" dataDxfId="32741" totalsRowDxfId="16117"/>
    <tableColumn id="273" name="Columna259" dataDxfId="32740" totalsRowDxfId="16116"/>
    <tableColumn id="274" name="Columna260" dataDxfId="32739" totalsRowDxfId="16115"/>
    <tableColumn id="275" name="Columna261" dataDxfId="32738" totalsRowDxfId="16114"/>
    <tableColumn id="276" name="Columna262" dataDxfId="32737" totalsRowDxfId="16113"/>
    <tableColumn id="277" name="Columna263" dataDxfId="32736" totalsRowDxfId="16112"/>
    <tableColumn id="278" name="Columna264" dataDxfId="32735" totalsRowDxfId="16111"/>
    <tableColumn id="279" name="Columna265" dataDxfId="32734" totalsRowDxfId="16110"/>
    <tableColumn id="280" name="Columna266" dataDxfId="32733" totalsRowDxfId="16109"/>
    <tableColumn id="281" name="Columna267" dataDxfId="32732" totalsRowDxfId="16108"/>
    <tableColumn id="282" name="Columna268" dataDxfId="32731" totalsRowDxfId="16107"/>
    <tableColumn id="283" name="Columna269" dataDxfId="32730" totalsRowDxfId="16106"/>
    <tableColumn id="284" name="Columna270" dataDxfId="32729" totalsRowDxfId="16105"/>
    <tableColumn id="285" name="Columna271" dataDxfId="32728" totalsRowDxfId="16104"/>
    <tableColumn id="286" name="Columna272" dataDxfId="32727" totalsRowDxfId="16103"/>
    <tableColumn id="287" name="Columna273" dataDxfId="32726" totalsRowDxfId="16102"/>
    <tableColumn id="288" name="Columna274" dataDxfId="32725" totalsRowDxfId="16101"/>
    <tableColumn id="289" name="Columna275" dataDxfId="32724" totalsRowDxfId="16100"/>
    <tableColumn id="290" name="Columna276" dataDxfId="32723" totalsRowDxfId="16099"/>
    <tableColumn id="291" name="Columna277" dataDxfId="32722" totalsRowDxfId="16098"/>
    <tableColumn id="292" name="Columna278" dataDxfId="32721" totalsRowDxfId="16097"/>
    <tableColumn id="293" name="Columna279" dataDxfId="32720" totalsRowDxfId="16096"/>
    <tableColumn id="294" name="Columna280" dataDxfId="32719" totalsRowDxfId="16095"/>
    <tableColumn id="295" name="Columna281" dataDxfId="32718" totalsRowDxfId="16094"/>
    <tableColumn id="296" name="Columna282" dataDxfId="32717" totalsRowDxfId="16093"/>
    <tableColumn id="297" name="Columna283" dataDxfId="32716" totalsRowDxfId="16092"/>
    <tableColumn id="298" name="Columna284" dataDxfId="32715" totalsRowDxfId="16091"/>
    <tableColumn id="299" name="Columna285" dataDxfId="32714" totalsRowDxfId="16090"/>
    <tableColumn id="300" name="Columna286" dataDxfId="32713" totalsRowDxfId="16089"/>
    <tableColumn id="301" name="Columna287" dataDxfId="32712" totalsRowDxfId="16088"/>
    <tableColumn id="302" name="Columna288" dataDxfId="32711" totalsRowDxfId="16087"/>
    <tableColumn id="303" name="Columna289" dataDxfId="32710" totalsRowDxfId="16086"/>
    <tableColumn id="304" name="Columna290" dataDxfId="32709" totalsRowDxfId="16085"/>
    <tableColumn id="305" name="Columna291" dataDxfId="32708" totalsRowDxfId="16084"/>
    <tableColumn id="306" name="Columna292" dataDxfId="32707" totalsRowDxfId="16083"/>
    <tableColumn id="307" name="Columna293" dataDxfId="32706" totalsRowDxfId="16082"/>
    <tableColumn id="308" name="Columna294" dataDxfId="32705" totalsRowDxfId="16081"/>
    <tableColumn id="309" name="Columna295" dataDxfId="32704" totalsRowDxfId="16080"/>
    <tableColumn id="310" name="Columna296" dataDxfId="32703" totalsRowDxfId="16079"/>
    <tableColumn id="311" name="Columna297" dataDxfId="32702" totalsRowDxfId="16078"/>
    <tableColumn id="312" name="Columna298" dataDxfId="32701" totalsRowDxfId="16077"/>
    <tableColumn id="313" name="Columna299" dataDxfId="32700" totalsRowDxfId="16076"/>
    <tableColumn id="314" name="Columna300" dataDxfId="32699" totalsRowDxfId="16075"/>
    <tableColumn id="315" name="Columna301" dataDxfId="32698" totalsRowDxfId="16074"/>
    <tableColumn id="316" name="Columna302" dataDxfId="32697" totalsRowDxfId="16073"/>
    <tableColumn id="317" name="Columna303" dataDxfId="32696" totalsRowDxfId="16072"/>
    <tableColumn id="318" name="Columna304" dataDxfId="32695" totalsRowDxfId="16071"/>
    <tableColumn id="319" name="Columna305" dataDxfId="32694" totalsRowDxfId="16070"/>
    <tableColumn id="320" name="Columna306" dataDxfId="32693" totalsRowDxfId="16069"/>
    <tableColumn id="321" name="Columna307" dataDxfId="32692" totalsRowDxfId="16068"/>
    <tableColumn id="322" name="Columna308" dataDxfId="32691" totalsRowDxfId="16067"/>
    <tableColumn id="323" name="Columna309" dataDxfId="32690" totalsRowDxfId="16066"/>
    <tableColumn id="324" name="Columna310" dataDxfId="32689" totalsRowDxfId="16065"/>
    <tableColumn id="325" name="Columna311" dataDxfId="32688" totalsRowDxfId="16064"/>
    <tableColumn id="326" name="Columna312" dataDxfId="32687" totalsRowDxfId="16063"/>
    <tableColumn id="327" name="Columna313" dataDxfId="32686" totalsRowDxfId="16062"/>
    <tableColumn id="328" name="Columna314" dataDxfId="32685" totalsRowDxfId="16061"/>
    <tableColumn id="329" name="Columna315" dataDxfId="32684" totalsRowDxfId="16060"/>
    <tableColumn id="330" name="Columna316" dataDxfId="32683" totalsRowDxfId="16059"/>
    <tableColumn id="331" name="Columna317" dataDxfId="32682" totalsRowDxfId="16058"/>
    <tableColumn id="332" name="Columna318" dataDxfId="32681" totalsRowDxfId="16057"/>
    <tableColumn id="333" name="Columna319" dataDxfId="32680" totalsRowDxfId="16056"/>
    <tableColumn id="334" name="Columna320" dataDxfId="32679" totalsRowDxfId="16055"/>
    <tableColumn id="335" name="Columna321" dataDxfId="32678" totalsRowDxfId="16054"/>
    <tableColumn id="336" name="Columna322" dataDxfId="32677" totalsRowDxfId="16053"/>
    <tableColumn id="337" name="Columna323" dataDxfId="32676" totalsRowDxfId="16052"/>
    <tableColumn id="338" name="Columna324" dataDxfId="32675" totalsRowDxfId="16051"/>
    <tableColumn id="339" name="Columna325" dataDxfId="32674" totalsRowDxfId="16050"/>
    <tableColumn id="340" name="Columna326" dataDxfId="32673" totalsRowDxfId="16049"/>
    <tableColumn id="341" name="Columna327" dataDxfId="32672" totalsRowDxfId="16048"/>
    <tableColumn id="342" name="Columna328" dataDxfId="32671" totalsRowDxfId="16047"/>
    <tableColumn id="343" name="Columna329" dataDxfId="32670" totalsRowDxfId="16046"/>
    <tableColumn id="344" name="Columna330" dataDxfId="32669" totalsRowDxfId="16045"/>
    <tableColumn id="345" name="Columna331" dataDxfId="32668" totalsRowDxfId="16044"/>
    <tableColumn id="346" name="Columna332" dataDxfId="32667" totalsRowDxfId="16043"/>
    <tableColumn id="347" name="Columna333" dataDxfId="32666" totalsRowDxfId="16042"/>
    <tableColumn id="348" name="Columna334" dataDxfId="32665" totalsRowDxfId="16041"/>
    <tableColumn id="349" name="Columna335" dataDxfId="32664" totalsRowDxfId="16040"/>
    <tableColumn id="350" name="Columna336" dataDxfId="32663" totalsRowDxfId="16039"/>
    <tableColumn id="351" name="Columna337" dataDxfId="32662" totalsRowDxfId="16038"/>
    <tableColumn id="352" name="Columna338" dataDxfId="32661" totalsRowDxfId="16037"/>
    <tableColumn id="353" name="Columna339" dataDxfId="32660" totalsRowDxfId="16036"/>
    <tableColumn id="354" name="Columna340" dataDxfId="32659" totalsRowDxfId="16035"/>
    <tableColumn id="355" name="Columna341" dataDxfId="32658" totalsRowDxfId="16034"/>
    <tableColumn id="356" name="Columna342" dataDxfId="32657" totalsRowDxfId="16033"/>
    <tableColumn id="357" name="Columna343" dataDxfId="32656" totalsRowDxfId="16032"/>
    <tableColumn id="358" name="Columna344" dataDxfId="32655" totalsRowDxfId="16031"/>
    <tableColumn id="359" name="Columna345" dataDxfId="32654" totalsRowDxfId="16030"/>
    <tableColumn id="360" name="Columna346" dataDxfId="32653" totalsRowDxfId="16029"/>
    <tableColumn id="361" name="Columna347" dataDxfId="32652" totalsRowDxfId="16028"/>
    <tableColumn id="362" name="Columna348" dataDxfId="32651" totalsRowDxfId="16027"/>
    <tableColumn id="363" name="Columna349" dataDxfId="32650" totalsRowDxfId="16026"/>
    <tableColumn id="364" name="Columna350" dataDxfId="32649" totalsRowDxfId="16025"/>
    <tableColumn id="365" name="Columna351" dataDxfId="32648" totalsRowDxfId="16024"/>
    <tableColumn id="366" name="Columna352" dataDxfId="32647" totalsRowDxfId="16023"/>
    <tableColumn id="367" name="Columna353" dataDxfId="32646" totalsRowDxfId="16022"/>
    <tableColumn id="368" name="Columna354" dataDxfId="32645" totalsRowDxfId="16021"/>
    <tableColumn id="369" name="Columna355" dataDxfId="32644" totalsRowDxfId="16020"/>
    <tableColumn id="370" name="Columna356" dataDxfId="32643" totalsRowDxfId="16019"/>
    <tableColumn id="371" name="Columna357" dataDxfId="32642" totalsRowDxfId="16018"/>
    <tableColumn id="372" name="Columna358" dataDxfId="32641" totalsRowDxfId="16017"/>
    <tableColumn id="373" name="Columna359" dataDxfId="32640" totalsRowDxfId="16016"/>
    <tableColumn id="374" name="Columna360" dataDxfId="32639" totalsRowDxfId="16015"/>
    <tableColumn id="375" name="Columna361" dataDxfId="32638" totalsRowDxfId="16014"/>
    <tableColumn id="376" name="Columna362" dataDxfId="32637" totalsRowDxfId="16013"/>
    <tableColumn id="377" name="Columna363" dataDxfId="32636" totalsRowDxfId="16012"/>
    <tableColumn id="378" name="Columna364" dataDxfId="32635" totalsRowDxfId="16011"/>
    <tableColumn id="379" name="Columna365" dataDxfId="32634" totalsRowDxfId="16010"/>
    <tableColumn id="380" name="Columna366" dataDxfId="32633" totalsRowDxfId="16009"/>
    <tableColumn id="381" name="Columna367" dataDxfId="32632" totalsRowDxfId="16008"/>
    <tableColumn id="382" name="Columna368" dataDxfId="32631" totalsRowDxfId="16007"/>
    <tableColumn id="383" name="Columna369" dataDxfId="32630" totalsRowDxfId="16006"/>
    <tableColumn id="384" name="Columna370" dataDxfId="32629" totalsRowDxfId="16005"/>
    <tableColumn id="385" name="Columna371" dataDxfId="32628" totalsRowDxfId="16004"/>
    <tableColumn id="386" name="Columna372" dataDxfId="32627" totalsRowDxfId="16003"/>
    <tableColumn id="387" name="Columna373" dataDxfId="32626" totalsRowDxfId="16002"/>
    <tableColumn id="388" name="Columna374" dataDxfId="32625" totalsRowDxfId="16001"/>
    <tableColumn id="389" name="Columna375" dataDxfId="32624" totalsRowDxfId="16000"/>
    <tableColumn id="390" name="Columna376" dataDxfId="32623" totalsRowDxfId="15999"/>
    <tableColumn id="391" name="Columna377" dataDxfId="32622" totalsRowDxfId="15998"/>
    <tableColumn id="392" name="Columna378" dataDxfId="32621" totalsRowDxfId="15997"/>
    <tableColumn id="393" name="Columna379" dataDxfId="32620" totalsRowDxfId="15996"/>
    <tableColumn id="394" name="Columna380" dataDxfId="32619" totalsRowDxfId="15995"/>
    <tableColumn id="395" name="Columna381" dataDxfId="32618" totalsRowDxfId="15994"/>
    <tableColumn id="396" name="Columna382" dataDxfId="32617" totalsRowDxfId="15993"/>
    <tableColumn id="397" name="Columna383" dataDxfId="32616" totalsRowDxfId="15992"/>
    <tableColumn id="398" name="Columna384" dataDxfId="32615" totalsRowDxfId="15991"/>
    <tableColumn id="399" name="Columna385" dataDxfId="32614" totalsRowDxfId="15990"/>
    <tableColumn id="400" name="Columna386" dataDxfId="32613" totalsRowDxfId="15989"/>
    <tableColumn id="401" name="Columna387" dataDxfId="32612" totalsRowDxfId="15988"/>
    <tableColumn id="402" name="Columna388" dataDxfId="32611" totalsRowDxfId="15987"/>
    <tableColumn id="403" name="Columna389" dataDxfId="32610" totalsRowDxfId="15986"/>
    <tableColumn id="404" name="Columna390" dataDxfId="32609" totalsRowDxfId="15985"/>
    <tableColumn id="405" name="Columna391" dataDxfId="32608" totalsRowDxfId="15984"/>
    <tableColumn id="406" name="Columna392" dataDxfId="32607" totalsRowDxfId="15983"/>
    <tableColumn id="407" name="Columna393" dataDxfId="32606" totalsRowDxfId="15982"/>
    <tableColumn id="408" name="Columna394" dataDxfId="32605" totalsRowDxfId="15981"/>
    <tableColumn id="409" name="Columna395" dataDxfId="32604" totalsRowDxfId="15980"/>
    <tableColumn id="410" name="Columna396" dataDxfId="32603" totalsRowDxfId="15979"/>
    <tableColumn id="411" name="Columna397" dataDxfId="32602" totalsRowDxfId="15978"/>
    <tableColumn id="412" name="Columna398" dataDxfId="32601" totalsRowDxfId="15977"/>
    <tableColumn id="413" name="Columna399" dataDxfId="32600" totalsRowDxfId="15976"/>
    <tableColumn id="414" name="Columna400" dataDxfId="32599" totalsRowDxfId="15975"/>
    <tableColumn id="415" name="Columna401" dataDxfId="32598" totalsRowDxfId="15974"/>
    <tableColumn id="416" name="Columna402" dataDxfId="32597" totalsRowDxfId="15973"/>
    <tableColumn id="417" name="Columna403" dataDxfId="32596" totalsRowDxfId="15972"/>
    <tableColumn id="418" name="Columna404" dataDxfId="32595" totalsRowDxfId="15971"/>
    <tableColumn id="419" name="Columna405" dataDxfId="32594" totalsRowDxfId="15970"/>
    <tableColumn id="420" name="Columna406" dataDxfId="32593" totalsRowDxfId="15969"/>
    <tableColumn id="421" name="Columna407" dataDxfId="32592" totalsRowDxfId="15968"/>
    <tableColumn id="422" name="Columna408" dataDxfId="32591" totalsRowDxfId="15967"/>
    <tableColumn id="423" name="Columna409" dataDxfId="32590" totalsRowDxfId="15966"/>
    <tableColumn id="424" name="Columna410" dataDxfId="32589" totalsRowDxfId="15965"/>
    <tableColumn id="425" name="Columna411" dataDxfId="32588" totalsRowDxfId="15964"/>
    <tableColumn id="426" name="Columna412" dataDxfId="32587" totalsRowDxfId="15963"/>
    <tableColumn id="427" name="Columna413" dataDxfId="32586" totalsRowDxfId="15962"/>
    <tableColumn id="428" name="Columna414" dataDxfId="32585" totalsRowDxfId="15961"/>
    <tableColumn id="429" name="Columna415" dataDxfId="32584" totalsRowDxfId="15960"/>
    <tableColumn id="430" name="Columna416" dataDxfId="32583" totalsRowDxfId="15959"/>
    <tableColumn id="431" name="Columna417" dataDxfId="32582" totalsRowDxfId="15958"/>
    <tableColumn id="432" name="Columna418" dataDxfId="32581" totalsRowDxfId="15957"/>
    <tableColumn id="433" name="Columna419" dataDxfId="32580" totalsRowDxfId="15956"/>
    <tableColumn id="434" name="Columna420" dataDxfId="32579" totalsRowDxfId="15955"/>
    <tableColumn id="435" name="Columna421" dataDxfId="32578" totalsRowDxfId="15954"/>
    <tableColumn id="436" name="Columna422" dataDxfId="32577" totalsRowDxfId="15953"/>
    <tableColumn id="437" name="Columna423" dataDxfId="32576" totalsRowDxfId="15952"/>
    <tableColumn id="438" name="Columna424" dataDxfId="32575" totalsRowDxfId="15951"/>
    <tableColumn id="439" name="Columna425" dataDxfId="32574" totalsRowDxfId="15950"/>
    <tableColumn id="440" name="Columna426" dataDxfId="32573" totalsRowDxfId="15949"/>
    <tableColumn id="441" name="Columna427" dataDxfId="32572" totalsRowDxfId="15948"/>
    <tableColumn id="442" name="Columna428" dataDxfId="32571" totalsRowDxfId="15947"/>
    <tableColumn id="443" name="Columna429" dataDxfId="32570" totalsRowDxfId="15946"/>
    <tableColumn id="444" name="Columna430" dataDxfId="32569" totalsRowDxfId="15945"/>
    <tableColumn id="445" name="Columna431" dataDxfId="32568" totalsRowDxfId="15944"/>
    <tableColumn id="446" name="Columna432" dataDxfId="32567" totalsRowDxfId="15943"/>
    <tableColumn id="447" name="Columna433" dataDxfId="32566" totalsRowDxfId="15942"/>
    <tableColumn id="448" name="Columna434" dataDxfId="32565" totalsRowDxfId="15941"/>
    <tableColumn id="449" name="Columna435" dataDxfId="32564" totalsRowDxfId="15940"/>
    <tableColumn id="450" name="Columna436" dataDxfId="32563" totalsRowDxfId="15939"/>
    <tableColumn id="451" name="Columna437" dataDxfId="32562" totalsRowDxfId="15938"/>
    <tableColumn id="452" name="Columna438" dataDxfId="32561" totalsRowDxfId="15937"/>
    <tableColumn id="453" name="Columna439" dataDxfId="32560" totalsRowDxfId="15936"/>
    <tableColumn id="454" name="Columna440" dataDxfId="32559" totalsRowDxfId="15935"/>
    <tableColumn id="455" name="Columna441" dataDxfId="32558" totalsRowDxfId="15934"/>
    <tableColumn id="456" name="Columna442" dataDxfId="32557" totalsRowDxfId="15933"/>
    <tableColumn id="457" name="Columna443" dataDxfId="32556" totalsRowDxfId="15932"/>
    <tableColumn id="458" name="Columna444" dataDxfId="32555" totalsRowDxfId="15931"/>
    <tableColumn id="459" name="Columna445" dataDxfId="32554" totalsRowDxfId="15930"/>
    <tableColumn id="460" name="Columna446" dataDxfId="32553" totalsRowDxfId="15929"/>
    <tableColumn id="461" name="Columna447" dataDxfId="32552" totalsRowDxfId="15928"/>
    <tableColumn id="462" name="Columna448" dataDxfId="32551" totalsRowDxfId="15927"/>
    <tableColumn id="463" name="Columna449" dataDxfId="32550" totalsRowDxfId="15926"/>
    <tableColumn id="464" name="Columna450" dataDxfId="32549" totalsRowDxfId="15925"/>
    <tableColumn id="465" name="Columna451" dataDxfId="32548" totalsRowDxfId="15924"/>
    <tableColumn id="466" name="Columna452" dataDxfId="32547" totalsRowDxfId="15923"/>
    <tableColumn id="467" name="Columna453" dataDxfId="32546" totalsRowDxfId="15922"/>
    <tableColumn id="468" name="Columna454" dataDxfId="32545" totalsRowDxfId="15921"/>
    <tableColumn id="469" name="Columna455" dataDxfId="32544" totalsRowDxfId="15920"/>
    <tableColumn id="470" name="Columna456" dataDxfId="32543" totalsRowDxfId="15919"/>
    <tableColumn id="471" name="Columna457" dataDxfId="32542" totalsRowDxfId="15918"/>
    <tableColumn id="472" name="Columna458" dataDxfId="32541" totalsRowDxfId="15917"/>
    <tableColumn id="473" name="Columna459" dataDxfId="32540" totalsRowDxfId="15916"/>
    <tableColumn id="474" name="Columna460" dataDxfId="32539" totalsRowDxfId="15915"/>
    <tableColumn id="475" name="Columna461" dataDxfId="32538" totalsRowDxfId="15914"/>
    <tableColumn id="476" name="Columna462" dataDxfId="32537" totalsRowDxfId="15913"/>
    <tableColumn id="477" name="Columna463" dataDxfId="32536" totalsRowDxfId="15912"/>
    <tableColumn id="478" name="Columna464" dataDxfId="32535" totalsRowDxfId="15911"/>
    <tableColumn id="479" name="Columna465" dataDxfId="32534" totalsRowDxfId="15910"/>
    <tableColumn id="480" name="Columna466" dataDxfId="32533" totalsRowDxfId="15909"/>
    <tableColumn id="481" name="Columna467" dataDxfId="32532" totalsRowDxfId="15908"/>
    <tableColumn id="482" name="Columna468" dataDxfId="32531" totalsRowDxfId="15907"/>
    <tableColumn id="483" name="Columna469" dataDxfId="32530" totalsRowDxfId="15906"/>
    <tableColumn id="484" name="Columna470" dataDxfId="32529" totalsRowDxfId="15905"/>
    <tableColumn id="485" name="Columna471" dataDxfId="32528" totalsRowDxfId="15904"/>
    <tableColumn id="486" name="Columna472" dataDxfId="32527" totalsRowDxfId="15903"/>
    <tableColumn id="487" name="Columna473" dataDxfId="32526" totalsRowDxfId="15902"/>
    <tableColumn id="488" name="Columna474" dataDxfId="32525" totalsRowDxfId="15901"/>
    <tableColumn id="489" name="Columna475" dataDxfId="32524" totalsRowDxfId="15900"/>
    <tableColumn id="490" name="Columna476" dataDxfId="32523" totalsRowDxfId="15899"/>
    <tableColumn id="491" name="Columna477" dataDxfId="32522" totalsRowDxfId="15898"/>
    <tableColumn id="492" name="Columna478" dataDxfId="32521" totalsRowDxfId="15897"/>
    <tableColumn id="493" name="Columna479" dataDxfId="32520" totalsRowDxfId="15896"/>
    <tableColumn id="494" name="Columna480" dataDxfId="32519" totalsRowDxfId="15895"/>
    <tableColumn id="495" name="Columna481" dataDxfId="32518" totalsRowDxfId="15894"/>
    <tableColumn id="496" name="Columna482" dataDxfId="32517" totalsRowDxfId="15893"/>
    <tableColumn id="497" name="Columna483" dataDxfId="32516" totalsRowDxfId="15892"/>
    <tableColumn id="498" name="Columna484" dataDxfId="32515" totalsRowDxfId="15891"/>
    <tableColumn id="499" name="Columna485" dataDxfId="32514" totalsRowDxfId="15890"/>
    <tableColumn id="500" name="Columna486" dataDxfId="32513" totalsRowDxfId="15889"/>
    <tableColumn id="501" name="Columna487" dataDxfId="32512" totalsRowDxfId="15888"/>
    <tableColumn id="502" name="Columna488" dataDxfId="32511" totalsRowDxfId="15887"/>
    <tableColumn id="503" name="Columna489" dataDxfId="32510" totalsRowDxfId="15886"/>
    <tableColumn id="504" name="Columna490" dataDxfId="32509" totalsRowDxfId="15885"/>
    <tableColumn id="505" name="Columna491" dataDxfId="32508" totalsRowDxfId="15884"/>
    <tableColumn id="506" name="Columna492" dataDxfId="32507" totalsRowDxfId="15883"/>
    <tableColumn id="507" name="Columna493" dataDxfId="32506" totalsRowDxfId="15882"/>
    <tableColumn id="508" name="Columna494" dataDxfId="32505" totalsRowDxfId="15881"/>
    <tableColumn id="509" name="Columna495" dataDxfId="32504" totalsRowDxfId="15880"/>
    <tableColumn id="510" name="Columna496" dataDxfId="32503" totalsRowDxfId="15879"/>
    <tableColumn id="511" name="Columna497" dataDxfId="32502" totalsRowDxfId="15878"/>
    <tableColumn id="512" name="Columna498" dataDxfId="32501" totalsRowDxfId="15877"/>
    <tableColumn id="513" name="Columna499" dataDxfId="32500" totalsRowDxfId="15876"/>
    <tableColumn id="514" name="Columna500" dataDxfId="32499" totalsRowDxfId="15875"/>
    <tableColumn id="515" name="Columna501" dataDxfId="32498" totalsRowDxfId="15874"/>
    <tableColumn id="516" name="Columna502" dataDxfId="32497" totalsRowDxfId="15873"/>
    <tableColumn id="517" name="Columna503" dataDxfId="32496" totalsRowDxfId="15872"/>
    <tableColumn id="518" name="Columna504" dataDxfId="32495" totalsRowDxfId="15871"/>
    <tableColumn id="519" name="Columna505" dataDxfId="32494" totalsRowDxfId="15870"/>
    <tableColumn id="520" name="Columna506" dataDxfId="32493" totalsRowDxfId="15869"/>
    <tableColumn id="521" name="Columna507" dataDxfId="32492" totalsRowDxfId="15868"/>
    <tableColumn id="522" name="Columna508" dataDxfId="32491" totalsRowDxfId="15867"/>
    <tableColumn id="523" name="Columna509" dataDxfId="32490" totalsRowDxfId="15866"/>
    <tableColumn id="524" name="Columna510" dataDxfId="32489" totalsRowDxfId="15865"/>
    <tableColumn id="525" name="Columna511" dataDxfId="32488" totalsRowDxfId="15864"/>
    <tableColumn id="526" name="Columna512" dataDxfId="32487" totalsRowDxfId="15863"/>
    <tableColumn id="527" name="Columna513" dataDxfId="32486" totalsRowDxfId="15862"/>
    <tableColumn id="528" name="Columna514" dataDxfId="32485" totalsRowDxfId="15861"/>
    <tableColumn id="529" name="Columna515" dataDxfId="32484" totalsRowDxfId="15860"/>
    <tableColumn id="530" name="Columna516" dataDxfId="32483" totalsRowDxfId="15859"/>
    <tableColumn id="531" name="Columna517" dataDxfId="32482" totalsRowDxfId="15858"/>
    <tableColumn id="532" name="Columna518" dataDxfId="32481" totalsRowDxfId="15857"/>
    <tableColumn id="533" name="Columna519" dataDxfId="32480" totalsRowDxfId="15856"/>
    <tableColumn id="534" name="Columna520" dataDxfId="32479" totalsRowDxfId="15855"/>
    <tableColumn id="535" name="Columna521" dataDxfId="32478" totalsRowDxfId="15854"/>
    <tableColumn id="536" name="Columna522" dataDxfId="32477" totalsRowDxfId="15853"/>
    <tableColumn id="537" name="Columna523" dataDxfId="32476" totalsRowDxfId="15852"/>
    <tableColumn id="538" name="Columna524" dataDxfId="32475" totalsRowDxfId="15851"/>
    <tableColumn id="539" name="Columna525" dataDxfId="32474" totalsRowDxfId="15850"/>
    <tableColumn id="540" name="Columna526" dataDxfId="32473" totalsRowDxfId="15849"/>
    <tableColumn id="541" name="Columna527" dataDxfId="32472" totalsRowDxfId="15848"/>
    <tableColumn id="542" name="Columna528" dataDxfId="32471" totalsRowDxfId="15847"/>
    <tableColumn id="543" name="Columna529" dataDxfId="32470" totalsRowDxfId="15846"/>
    <tableColumn id="544" name="Columna530" dataDxfId="32469" totalsRowDxfId="15845"/>
    <tableColumn id="545" name="Columna531" dataDxfId="32468" totalsRowDxfId="15844"/>
    <tableColumn id="546" name="Columna532" dataDxfId="32467" totalsRowDxfId="15843"/>
    <tableColumn id="547" name="Columna533" dataDxfId="32466" totalsRowDxfId="15842"/>
    <tableColumn id="548" name="Columna534" dataDxfId="32465" totalsRowDxfId="15841"/>
    <tableColumn id="549" name="Columna535" dataDxfId="32464" totalsRowDxfId="15840"/>
    <tableColumn id="550" name="Columna536" dataDxfId="32463" totalsRowDxfId="15839"/>
    <tableColumn id="551" name="Columna537" dataDxfId="32462" totalsRowDxfId="15838"/>
    <tableColumn id="552" name="Columna538" dataDxfId="32461" totalsRowDxfId="15837"/>
    <tableColumn id="553" name="Columna539" dataDxfId="32460" totalsRowDxfId="15836"/>
    <tableColumn id="554" name="Columna540" dataDxfId="32459" totalsRowDxfId="15835"/>
    <tableColumn id="555" name="Columna541" dataDxfId="32458" totalsRowDxfId="15834"/>
    <tableColumn id="556" name="Columna542" dataDxfId="32457" totalsRowDxfId="15833"/>
    <tableColumn id="557" name="Columna543" dataDxfId="32456" totalsRowDxfId="15832"/>
    <tableColumn id="558" name="Columna544" dataDxfId="32455" totalsRowDxfId="15831"/>
    <tableColumn id="559" name="Columna545" dataDxfId="32454" totalsRowDxfId="15830"/>
    <tableColumn id="560" name="Columna546" dataDxfId="32453" totalsRowDxfId="15829"/>
    <tableColumn id="561" name="Columna547" dataDxfId="32452" totalsRowDxfId="15828"/>
    <tableColumn id="562" name="Columna548" dataDxfId="32451" totalsRowDxfId="15827"/>
    <tableColumn id="563" name="Columna549" dataDxfId="32450" totalsRowDxfId="15826"/>
    <tableColumn id="564" name="Columna550" dataDxfId="32449" totalsRowDxfId="15825"/>
    <tableColumn id="565" name="Columna551" dataDxfId="32448" totalsRowDxfId="15824"/>
    <tableColumn id="566" name="Columna552" dataDxfId="32447" totalsRowDxfId="15823"/>
    <tableColumn id="567" name="Columna553" dataDxfId="32446" totalsRowDxfId="15822"/>
    <tableColumn id="568" name="Columna554" dataDxfId="32445" totalsRowDxfId="15821"/>
    <tableColumn id="569" name="Columna555" dataDxfId="32444" totalsRowDxfId="15820"/>
    <tableColumn id="570" name="Columna556" dataDxfId="32443" totalsRowDxfId="15819"/>
    <tableColumn id="571" name="Columna557" dataDxfId="32442" totalsRowDxfId="15818"/>
    <tableColumn id="572" name="Columna558" dataDxfId="32441" totalsRowDxfId="15817"/>
    <tableColumn id="573" name="Columna559" dataDxfId="32440" totalsRowDxfId="15816"/>
    <tableColumn id="574" name="Columna560" dataDxfId="32439" totalsRowDxfId="15815"/>
    <tableColumn id="575" name="Columna561" dataDxfId="32438" totalsRowDxfId="15814"/>
    <tableColumn id="576" name="Columna562" dataDxfId="32437" totalsRowDxfId="15813"/>
    <tableColumn id="577" name="Columna563" dataDxfId="32436" totalsRowDxfId="15812"/>
    <tableColumn id="578" name="Columna564" dataDxfId="32435" totalsRowDxfId="15811"/>
    <tableColumn id="579" name="Columna565" dataDxfId="32434" totalsRowDxfId="15810"/>
    <tableColumn id="580" name="Columna566" dataDxfId="32433" totalsRowDxfId="15809"/>
    <tableColumn id="581" name="Columna567" dataDxfId="32432" totalsRowDxfId="15808"/>
    <tableColumn id="582" name="Columna568" dataDxfId="32431" totalsRowDxfId="15807"/>
    <tableColumn id="583" name="Columna569" dataDxfId="32430" totalsRowDxfId="15806"/>
    <tableColumn id="584" name="Columna570" dataDxfId="32429" totalsRowDxfId="15805"/>
    <tableColumn id="585" name="Columna571" dataDxfId="32428" totalsRowDxfId="15804"/>
    <tableColumn id="586" name="Columna572" dataDxfId="32427" totalsRowDxfId="15803"/>
    <tableColumn id="587" name="Columna573" dataDxfId="32426" totalsRowDxfId="15802"/>
    <tableColumn id="588" name="Columna574" dataDxfId="32425" totalsRowDxfId="15801"/>
    <tableColumn id="589" name="Columna575" dataDxfId="32424" totalsRowDxfId="15800"/>
    <tableColumn id="590" name="Columna576" dataDxfId="32423" totalsRowDxfId="15799"/>
    <tableColumn id="591" name="Columna577" dataDxfId="32422" totalsRowDxfId="15798"/>
    <tableColumn id="592" name="Columna578" dataDxfId="32421" totalsRowDxfId="15797"/>
    <tableColumn id="593" name="Columna579" dataDxfId="32420" totalsRowDxfId="15796"/>
    <tableColumn id="594" name="Columna580" dataDxfId="32419" totalsRowDxfId="15795"/>
    <tableColumn id="595" name="Columna581" dataDxfId="32418" totalsRowDxfId="15794"/>
    <tableColumn id="596" name="Columna582" dataDxfId="32417" totalsRowDxfId="15793"/>
    <tableColumn id="597" name="Columna583" dataDxfId="32416" totalsRowDxfId="15792"/>
    <tableColumn id="598" name="Columna584" dataDxfId="32415" totalsRowDxfId="15791"/>
    <tableColumn id="599" name="Columna585" dataDxfId="32414" totalsRowDxfId="15790"/>
    <tableColumn id="600" name="Columna586" dataDxfId="32413" totalsRowDxfId="15789"/>
    <tableColumn id="601" name="Columna587" dataDxfId="32412" totalsRowDxfId="15788"/>
    <tableColumn id="602" name="Columna588" dataDxfId="32411" totalsRowDxfId="15787"/>
    <tableColumn id="603" name="Columna589" dataDxfId="32410" totalsRowDxfId="15786"/>
    <tableColumn id="604" name="Columna590" dataDxfId="32409" totalsRowDxfId="15785"/>
    <tableColumn id="605" name="Columna591" dataDxfId="32408" totalsRowDxfId="15784"/>
    <tableColumn id="606" name="Columna592" dataDxfId="32407" totalsRowDxfId="15783"/>
    <tableColumn id="607" name="Columna593" dataDxfId="32406" totalsRowDxfId="15782"/>
    <tableColumn id="608" name="Columna594" dataDxfId="32405" totalsRowDxfId="15781"/>
    <tableColumn id="609" name="Columna595" dataDxfId="32404" totalsRowDxfId="15780"/>
    <tableColumn id="610" name="Columna596" dataDxfId="32403" totalsRowDxfId="15779"/>
    <tableColumn id="611" name="Columna597" dataDxfId="32402" totalsRowDxfId="15778"/>
    <tableColumn id="612" name="Columna598" dataDxfId="32401" totalsRowDxfId="15777"/>
    <tableColumn id="613" name="Columna599" dataDxfId="32400" totalsRowDxfId="15776"/>
    <tableColumn id="614" name="Columna600" dataDxfId="32399" totalsRowDxfId="15775"/>
    <tableColumn id="615" name="Columna601" dataDxfId="32398" totalsRowDxfId="15774"/>
    <tableColumn id="616" name="Columna602" dataDxfId="32397" totalsRowDxfId="15773"/>
    <tableColumn id="617" name="Columna603" dataDxfId="32396" totalsRowDxfId="15772"/>
    <tableColumn id="618" name="Columna604" dataDxfId="32395" totalsRowDxfId="15771"/>
    <tableColumn id="619" name="Columna605" dataDxfId="32394" totalsRowDxfId="15770"/>
    <tableColumn id="620" name="Columna606" dataDxfId="32393" totalsRowDxfId="15769"/>
    <tableColumn id="621" name="Columna607" dataDxfId="32392" totalsRowDxfId="15768"/>
    <tableColumn id="622" name="Columna608" dataDxfId="32391" totalsRowDxfId="15767"/>
    <tableColumn id="623" name="Columna609" dataDxfId="32390" totalsRowDxfId="15766"/>
    <tableColumn id="624" name="Columna610" dataDxfId="32389" totalsRowDxfId="15765"/>
    <tableColumn id="625" name="Columna611" dataDxfId="32388" totalsRowDxfId="15764"/>
    <tableColumn id="626" name="Columna612" dataDxfId="32387" totalsRowDxfId="15763"/>
    <tableColumn id="627" name="Columna613" dataDxfId="32386" totalsRowDxfId="15762"/>
    <tableColumn id="628" name="Columna614" dataDxfId="32385" totalsRowDxfId="15761"/>
    <tableColumn id="629" name="Columna615" dataDxfId="32384" totalsRowDxfId="15760"/>
    <tableColumn id="630" name="Columna616" dataDxfId="32383" totalsRowDxfId="15759"/>
    <tableColumn id="631" name="Columna617" dataDxfId="32382" totalsRowDxfId="15758"/>
    <tableColumn id="632" name="Columna618" dataDxfId="32381" totalsRowDxfId="15757"/>
    <tableColumn id="633" name="Columna619" dataDxfId="32380" totalsRowDxfId="15756"/>
    <tableColumn id="634" name="Columna620" dataDxfId="32379" totalsRowDxfId="15755"/>
    <tableColumn id="635" name="Columna621" dataDxfId="32378" totalsRowDxfId="15754"/>
    <tableColumn id="636" name="Columna622" dataDxfId="32377" totalsRowDxfId="15753"/>
    <tableColumn id="637" name="Columna623" dataDxfId="32376" totalsRowDxfId="15752"/>
    <tableColumn id="638" name="Columna624" dataDxfId="32375" totalsRowDxfId="15751"/>
    <tableColumn id="639" name="Columna625" dataDxfId="32374" totalsRowDxfId="15750"/>
    <tableColumn id="640" name="Columna626" dataDxfId="32373" totalsRowDxfId="15749"/>
    <tableColumn id="641" name="Columna627" dataDxfId="32372" totalsRowDxfId="15748"/>
    <tableColumn id="642" name="Columna628" dataDxfId="32371" totalsRowDxfId="15747"/>
    <tableColumn id="643" name="Columna629" dataDxfId="32370" totalsRowDxfId="15746"/>
    <tableColumn id="644" name="Columna630" dataDxfId="32369" totalsRowDxfId="15745"/>
    <tableColumn id="645" name="Columna631" dataDxfId="32368" totalsRowDxfId="15744"/>
    <tableColumn id="646" name="Columna632" dataDxfId="32367" totalsRowDxfId="15743"/>
    <tableColumn id="647" name="Columna633" dataDxfId="32366" totalsRowDxfId="15742"/>
    <tableColumn id="648" name="Columna634" dataDxfId="32365" totalsRowDxfId="15741"/>
    <tableColumn id="649" name="Columna635" dataDxfId="32364" totalsRowDxfId="15740"/>
    <tableColumn id="650" name="Columna636" dataDxfId="32363" totalsRowDxfId="15739"/>
    <tableColumn id="651" name="Columna637" dataDxfId="32362" totalsRowDxfId="15738"/>
    <tableColumn id="652" name="Columna638" dataDxfId="32361" totalsRowDxfId="15737"/>
    <tableColumn id="653" name="Columna639" dataDxfId="32360" totalsRowDxfId="15736"/>
    <tableColumn id="654" name="Columna640" dataDxfId="32359" totalsRowDxfId="15735"/>
    <tableColumn id="655" name="Columna641" dataDxfId="32358" totalsRowDxfId="15734"/>
    <tableColumn id="656" name="Columna642" dataDxfId="32357" totalsRowDxfId="15733"/>
    <tableColumn id="657" name="Columna643" dataDxfId="32356" totalsRowDxfId="15732"/>
    <tableColumn id="658" name="Columna644" dataDxfId="32355" totalsRowDxfId="15731"/>
    <tableColumn id="659" name="Columna645" dataDxfId="32354" totalsRowDxfId="15730"/>
    <tableColumn id="660" name="Columna646" dataDxfId="32353" totalsRowDxfId="15729"/>
    <tableColumn id="661" name="Columna647" dataDxfId="32352" totalsRowDxfId="15728"/>
    <tableColumn id="662" name="Columna648" dataDxfId="32351" totalsRowDxfId="15727"/>
    <tableColumn id="663" name="Columna649" dataDxfId="32350" totalsRowDxfId="15726"/>
    <tableColumn id="664" name="Columna650" dataDxfId="32349" totalsRowDxfId="15725"/>
    <tableColumn id="665" name="Columna651" dataDxfId="32348" totalsRowDxfId="15724"/>
    <tableColumn id="666" name="Columna652" dataDxfId="32347" totalsRowDxfId="15723"/>
    <tableColumn id="667" name="Columna653" dataDxfId="32346" totalsRowDxfId="15722"/>
    <tableColumn id="668" name="Columna654" dataDxfId="32345" totalsRowDxfId="15721"/>
    <tableColumn id="669" name="Columna655" dataDxfId="32344" totalsRowDxfId="15720"/>
    <tableColumn id="670" name="Columna656" dataDxfId="32343" totalsRowDxfId="15719"/>
    <tableColumn id="671" name="Columna657" dataDxfId="32342" totalsRowDxfId="15718"/>
    <tableColumn id="672" name="Columna658" dataDxfId="32341" totalsRowDxfId="15717"/>
    <tableColumn id="673" name="Columna659" dataDxfId="32340" totalsRowDxfId="15716"/>
    <tableColumn id="674" name="Columna660" dataDxfId="32339" totalsRowDxfId="15715"/>
    <tableColumn id="675" name="Columna661" dataDxfId="32338" totalsRowDxfId="15714"/>
    <tableColumn id="676" name="Columna662" dataDxfId="32337" totalsRowDxfId="15713"/>
    <tableColumn id="677" name="Columna663" dataDxfId="32336" totalsRowDxfId="15712"/>
    <tableColumn id="678" name="Columna664" dataDxfId="32335" totalsRowDxfId="15711"/>
    <tableColumn id="679" name="Columna665" dataDxfId="32334" totalsRowDxfId="15710"/>
    <tableColumn id="680" name="Columna666" dataDxfId="32333" totalsRowDxfId="15709"/>
    <tableColumn id="681" name="Columna667" dataDxfId="32332" totalsRowDxfId="15708"/>
    <tableColumn id="682" name="Columna668" dataDxfId="32331" totalsRowDxfId="15707"/>
    <tableColumn id="683" name="Columna669" dataDxfId="32330" totalsRowDxfId="15706"/>
    <tableColumn id="684" name="Columna670" dataDxfId="32329" totalsRowDxfId="15705"/>
    <tableColumn id="685" name="Columna671" dataDxfId="32328" totalsRowDxfId="15704"/>
    <tableColumn id="686" name="Columna672" dataDxfId="32327" totalsRowDxfId="15703"/>
    <tableColumn id="687" name="Columna673" dataDxfId="32326" totalsRowDxfId="15702"/>
    <tableColumn id="688" name="Columna674" dataDxfId="32325" totalsRowDxfId="15701"/>
    <tableColumn id="689" name="Columna675" dataDxfId="32324" totalsRowDxfId="15700"/>
    <tableColumn id="690" name="Columna676" dataDxfId="32323" totalsRowDxfId="15699"/>
    <tableColumn id="691" name="Columna677" dataDxfId="32322" totalsRowDxfId="15698"/>
    <tableColumn id="692" name="Columna678" dataDxfId="32321" totalsRowDxfId="15697"/>
    <tableColumn id="693" name="Columna679" dataDxfId="32320" totalsRowDxfId="15696"/>
    <tableColumn id="694" name="Columna680" dataDxfId="32319" totalsRowDxfId="15695"/>
    <tableColumn id="695" name="Columna681" dataDxfId="32318" totalsRowDxfId="15694"/>
    <tableColumn id="696" name="Columna682" dataDxfId="32317" totalsRowDxfId="15693"/>
    <tableColumn id="697" name="Columna683" dataDxfId="32316" totalsRowDxfId="15692"/>
    <tableColumn id="698" name="Columna684" dataDxfId="32315" totalsRowDxfId="15691"/>
    <tableColumn id="699" name="Columna685" dataDxfId="32314" totalsRowDxfId="15690"/>
    <tableColumn id="700" name="Columna686" dataDxfId="32313" totalsRowDxfId="15689"/>
    <tableColumn id="701" name="Columna687" dataDxfId="32312" totalsRowDxfId="15688"/>
    <tableColumn id="702" name="Columna688" dataDxfId="32311" totalsRowDxfId="15687"/>
    <tableColumn id="703" name="Columna689" dataDxfId="32310" totalsRowDxfId="15686"/>
    <tableColumn id="704" name="Columna690" dataDxfId="32309" totalsRowDxfId="15685"/>
    <tableColumn id="705" name="Columna691" dataDxfId="32308" totalsRowDxfId="15684"/>
    <tableColumn id="706" name="Columna692" dataDxfId="32307" totalsRowDxfId="15683"/>
    <tableColumn id="707" name="Columna693" dataDxfId="32306" totalsRowDxfId="15682"/>
    <tableColumn id="708" name="Columna694" dataDxfId="32305" totalsRowDxfId="15681"/>
    <tableColumn id="709" name="Columna695" dataDxfId="32304" totalsRowDxfId="15680"/>
    <tableColumn id="710" name="Columna696" dataDxfId="32303" totalsRowDxfId="15679"/>
    <tableColumn id="711" name="Columna697" dataDxfId="32302" totalsRowDxfId="15678"/>
    <tableColumn id="712" name="Columna698" dataDxfId="32301" totalsRowDxfId="15677"/>
    <tableColumn id="713" name="Columna699" dataDxfId="32300" totalsRowDxfId="15676"/>
    <tableColumn id="714" name="Columna700" dataDxfId="32299" totalsRowDxfId="15675"/>
    <tableColumn id="715" name="Columna701" dataDxfId="32298" totalsRowDxfId="15674"/>
    <tableColumn id="716" name="Columna702" dataDxfId="32297" totalsRowDxfId="15673"/>
    <tableColumn id="717" name="Columna703" dataDxfId="32296" totalsRowDxfId="15672"/>
    <tableColumn id="718" name="Columna704" dataDxfId="32295" totalsRowDxfId="15671"/>
    <tableColumn id="719" name="Columna705" dataDxfId="32294" totalsRowDxfId="15670"/>
    <tableColumn id="720" name="Columna706" dataDxfId="32293" totalsRowDxfId="15669"/>
    <tableColumn id="721" name="Columna707" dataDxfId="32292" totalsRowDxfId="15668"/>
    <tableColumn id="722" name="Columna708" dataDxfId="32291" totalsRowDxfId="15667"/>
    <tableColumn id="723" name="Columna709" dataDxfId="32290" totalsRowDxfId="15666"/>
    <tableColumn id="724" name="Columna710" dataDxfId="32289" totalsRowDxfId="15665"/>
    <tableColumn id="725" name="Columna711" dataDxfId="32288" totalsRowDxfId="15664"/>
    <tableColumn id="726" name="Columna712" dataDxfId="32287" totalsRowDxfId="15663"/>
    <tableColumn id="727" name="Columna713" dataDxfId="32286" totalsRowDxfId="15662"/>
    <tableColumn id="728" name="Columna714" dataDxfId="32285" totalsRowDxfId="15661"/>
    <tableColumn id="729" name="Columna715" dataDxfId="32284" totalsRowDxfId="15660"/>
    <tableColumn id="730" name="Columna716" dataDxfId="32283" totalsRowDxfId="15659"/>
    <tableColumn id="731" name="Columna717" dataDxfId="32282" totalsRowDxfId="15658"/>
    <tableColumn id="732" name="Columna718" dataDxfId="32281" totalsRowDxfId="15657"/>
    <tableColumn id="733" name="Columna719" dataDxfId="32280" totalsRowDxfId="15656"/>
    <tableColumn id="734" name="Columna720" dataDxfId="32279" totalsRowDxfId="15655"/>
    <tableColumn id="735" name="Columna721" dataDxfId="32278" totalsRowDxfId="15654"/>
    <tableColumn id="736" name="Columna722" dataDxfId="32277" totalsRowDxfId="15653"/>
    <tableColumn id="737" name="Columna723" dataDxfId="32276" totalsRowDxfId="15652"/>
    <tableColumn id="738" name="Columna724" dataDxfId="32275" totalsRowDxfId="15651"/>
    <tableColumn id="739" name="Columna725" dataDxfId="32274" totalsRowDxfId="15650"/>
    <tableColumn id="740" name="Columna726" dataDxfId="32273" totalsRowDxfId="15649"/>
    <tableColumn id="741" name="Columna727" dataDxfId="32272" totalsRowDxfId="15648"/>
    <tableColumn id="742" name="Columna728" dataDxfId="32271" totalsRowDxfId="15647"/>
    <tableColumn id="743" name="Columna729" dataDxfId="32270" totalsRowDxfId="15646"/>
    <tableColumn id="744" name="Columna730" dataDxfId="32269" totalsRowDxfId="15645"/>
    <tableColumn id="745" name="Columna731" dataDxfId="32268" totalsRowDxfId="15644"/>
    <tableColumn id="746" name="Columna732" dataDxfId="32267" totalsRowDxfId="15643"/>
    <tableColumn id="747" name="Columna733" dataDxfId="32266" totalsRowDxfId="15642"/>
    <tableColumn id="748" name="Columna734" dataDxfId="32265" totalsRowDxfId="15641"/>
    <tableColumn id="749" name="Columna735" dataDxfId="32264" totalsRowDxfId="15640"/>
    <tableColumn id="750" name="Columna736" dataDxfId="32263" totalsRowDxfId="15639"/>
    <tableColumn id="751" name="Columna737" dataDxfId="32262" totalsRowDxfId="15638"/>
    <tableColumn id="752" name="Columna738" dataDxfId="32261" totalsRowDxfId="15637"/>
    <tableColumn id="753" name="Columna739" dataDxfId="32260" totalsRowDxfId="15636"/>
    <tableColumn id="754" name="Columna740" dataDxfId="32259" totalsRowDxfId="15635"/>
    <tableColumn id="755" name="Columna741" dataDxfId="32258" totalsRowDxfId="15634"/>
    <tableColumn id="756" name="Columna742" dataDxfId="32257" totalsRowDxfId="15633"/>
    <tableColumn id="757" name="Columna743" dataDxfId="32256" totalsRowDxfId="15632"/>
    <tableColumn id="758" name="Columna744" dataDxfId="32255" totalsRowDxfId="15631"/>
    <tableColumn id="759" name="Columna745" dataDxfId="32254" totalsRowDxfId="15630"/>
    <tableColumn id="760" name="Columna746" dataDxfId="32253" totalsRowDxfId="15629"/>
    <tableColumn id="761" name="Columna747" dataDxfId="32252" totalsRowDxfId="15628"/>
    <tableColumn id="762" name="Columna748" dataDxfId="32251" totalsRowDxfId="15627"/>
    <tableColumn id="763" name="Columna749" dataDxfId="32250" totalsRowDxfId="15626"/>
    <tableColumn id="764" name="Columna750" dataDxfId="32249" totalsRowDxfId="15625"/>
    <tableColumn id="765" name="Columna751" dataDxfId="32248" totalsRowDxfId="15624"/>
    <tableColumn id="766" name="Columna752" dataDxfId="32247" totalsRowDxfId="15623"/>
    <tableColumn id="767" name="Columna753" dataDxfId="32246" totalsRowDxfId="15622"/>
    <tableColumn id="768" name="Columna754" dataDxfId="32245" totalsRowDxfId="15621"/>
    <tableColumn id="769" name="Columna755" dataDxfId="32244" totalsRowDxfId="15620"/>
    <tableColumn id="770" name="Columna756" dataDxfId="32243" totalsRowDxfId="15619"/>
    <tableColumn id="771" name="Columna757" dataDxfId="32242" totalsRowDxfId="15618"/>
    <tableColumn id="772" name="Columna758" dataDxfId="32241" totalsRowDxfId="15617"/>
    <tableColumn id="773" name="Columna759" dataDxfId="32240" totalsRowDxfId="15616"/>
    <tableColumn id="774" name="Columna760" dataDxfId="32239" totalsRowDxfId="15615"/>
    <tableColumn id="775" name="Columna761" dataDxfId="32238" totalsRowDxfId="15614"/>
    <tableColumn id="776" name="Columna762" dataDxfId="32237" totalsRowDxfId="15613"/>
    <tableColumn id="777" name="Columna763" dataDxfId="32236" totalsRowDxfId="15612"/>
    <tableColumn id="778" name="Columna764" dataDxfId="32235" totalsRowDxfId="15611"/>
    <tableColumn id="779" name="Columna765" dataDxfId="32234" totalsRowDxfId="15610"/>
    <tableColumn id="780" name="Columna766" dataDxfId="32233" totalsRowDxfId="15609"/>
    <tableColumn id="781" name="Columna767" dataDxfId="32232" totalsRowDxfId="15608"/>
    <tableColumn id="782" name="Columna768" dataDxfId="32231" totalsRowDxfId="15607"/>
    <tableColumn id="783" name="Columna769" dataDxfId="32230" totalsRowDxfId="15606"/>
    <tableColumn id="784" name="Columna770" dataDxfId="32229" totalsRowDxfId="15605"/>
    <tableColumn id="785" name="Columna771" dataDxfId="32228" totalsRowDxfId="15604"/>
    <tableColumn id="786" name="Columna772" dataDxfId="32227" totalsRowDxfId="15603"/>
    <tableColumn id="787" name="Columna773" dataDxfId="32226" totalsRowDxfId="15602"/>
    <tableColumn id="788" name="Columna774" dataDxfId="32225" totalsRowDxfId="15601"/>
    <tableColumn id="789" name="Columna775" dataDxfId="32224" totalsRowDxfId="15600"/>
    <tableColumn id="790" name="Columna776" dataDxfId="32223" totalsRowDxfId="15599"/>
    <tableColumn id="791" name="Columna777" dataDxfId="32222" totalsRowDxfId="15598"/>
    <tableColumn id="792" name="Columna778" dataDxfId="32221" totalsRowDxfId="15597"/>
    <tableColumn id="793" name="Columna779" dataDxfId="32220" totalsRowDxfId="15596"/>
    <tableColumn id="794" name="Columna780" dataDxfId="32219" totalsRowDxfId="15595"/>
    <tableColumn id="795" name="Columna781" dataDxfId="32218" totalsRowDxfId="15594"/>
    <tableColumn id="796" name="Columna782" dataDxfId="32217" totalsRowDxfId="15593"/>
    <tableColumn id="797" name="Columna783" dataDxfId="32216" totalsRowDxfId="15592"/>
    <tableColumn id="798" name="Columna784" dataDxfId="32215" totalsRowDxfId="15591"/>
    <tableColumn id="799" name="Columna785" dataDxfId="32214" totalsRowDxfId="15590"/>
    <tableColumn id="800" name="Columna786" dataDxfId="32213" totalsRowDxfId="15589"/>
    <tableColumn id="801" name="Columna787" dataDxfId="32212" totalsRowDxfId="15588"/>
    <tableColumn id="802" name="Columna788" dataDxfId="32211" totalsRowDxfId="15587"/>
    <tableColumn id="803" name="Columna789" dataDxfId="32210" totalsRowDxfId="15586"/>
    <tableColumn id="804" name="Columna790" dataDxfId="32209" totalsRowDxfId="15585"/>
    <tableColumn id="805" name="Columna791" dataDxfId="32208" totalsRowDxfId="15584"/>
    <tableColumn id="806" name="Columna792" dataDxfId="32207" totalsRowDxfId="15583"/>
    <tableColumn id="807" name="Columna793" dataDxfId="32206" totalsRowDxfId="15582"/>
    <tableColumn id="808" name="Columna794" dataDxfId="32205" totalsRowDxfId="15581"/>
    <tableColumn id="809" name="Columna795" dataDxfId="32204" totalsRowDxfId="15580"/>
    <tableColumn id="810" name="Columna796" dataDxfId="32203" totalsRowDxfId="15579"/>
    <tableColumn id="811" name="Columna797" dataDxfId="32202" totalsRowDxfId="15578"/>
    <tableColumn id="812" name="Columna798" dataDxfId="32201" totalsRowDxfId="15577"/>
    <tableColumn id="813" name="Columna799" dataDxfId="32200" totalsRowDxfId="15576"/>
    <tableColumn id="814" name="Columna800" dataDxfId="32199" totalsRowDxfId="15575"/>
    <tableColumn id="815" name="Columna801" dataDxfId="32198" totalsRowDxfId="15574"/>
    <tableColumn id="816" name="Columna802" dataDxfId="32197" totalsRowDxfId="15573"/>
    <tableColumn id="817" name="Columna803" dataDxfId="32196" totalsRowDxfId="15572"/>
    <tableColumn id="818" name="Columna804" dataDxfId="32195" totalsRowDxfId="15571"/>
    <tableColumn id="819" name="Columna805" dataDxfId="32194" totalsRowDxfId="15570"/>
    <tableColumn id="820" name="Columna806" dataDxfId="32193" totalsRowDxfId="15569"/>
    <tableColumn id="821" name="Columna807" dataDxfId="32192" totalsRowDxfId="15568"/>
    <tableColumn id="822" name="Columna808" dataDxfId="32191" totalsRowDxfId="15567"/>
    <tableColumn id="823" name="Columna809" dataDxfId="32190" totalsRowDxfId="15566"/>
    <tableColumn id="824" name="Columna810" dataDxfId="32189" totalsRowDxfId="15565"/>
    <tableColumn id="825" name="Columna811" dataDxfId="32188" totalsRowDxfId="15564"/>
    <tableColumn id="826" name="Columna812" dataDxfId="32187" totalsRowDxfId="15563"/>
    <tableColumn id="827" name="Columna813" dataDxfId="32186" totalsRowDxfId="15562"/>
    <tableColumn id="828" name="Columna814" dataDxfId="32185" totalsRowDxfId="15561"/>
    <tableColumn id="829" name="Columna815" dataDxfId="32184" totalsRowDxfId="15560"/>
    <tableColumn id="830" name="Columna816" dataDxfId="32183" totalsRowDxfId="15559"/>
    <tableColumn id="831" name="Columna817" dataDxfId="32182" totalsRowDxfId="15558"/>
    <tableColumn id="832" name="Columna818" dataDxfId="32181" totalsRowDxfId="15557"/>
    <tableColumn id="833" name="Columna819" dataDxfId="32180" totalsRowDxfId="15556"/>
    <tableColumn id="834" name="Columna820" dataDxfId="32179" totalsRowDxfId="15555"/>
    <tableColumn id="835" name="Columna821" dataDxfId="32178" totalsRowDxfId="15554"/>
    <tableColumn id="836" name="Columna822" dataDxfId="32177" totalsRowDxfId="15553"/>
    <tableColumn id="837" name="Columna823" dataDxfId="32176" totalsRowDxfId="15552"/>
    <tableColumn id="838" name="Columna824" dataDxfId="32175" totalsRowDxfId="15551"/>
    <tableColumn id="839" name="Columna825" dataDxfId="32174" totalsRowDxfId="15550"/>
    <tableColumn id="840" name="Columna826" dataDxfId="32173" totalsRowDxfId="15549"/>
    <tableColumn id="841" name="Columna827" dataDxfId="32172" totalsRowDxfId="15548"/>
    <tableColumn id="842" name="Columna828" dataDxfId="32171" totalsRowDxfId="15547"/>
    <tableColumn id="843" name="Columna829" dataDxfId="32170" totalsRowDxfId="15546"/>
    <tableColumn id="844" name="Columna830" dataDxfId="32169" totalsRowDxfId="15545"/>
    <tableColumn id="845" name="Columna831" dataDxfId="32168" totalsRowDxfId="15544"/>
    <tableColumn id="846" name="Columna832" dataDxfId="32167" totalsRowDxfId="15543"/>
    <tableColumn id="847" name="Columna833" dataDxfId="32166" totalsRowDxfId="15542"/>
    <tableColumn id="848" name="Columna834" dataDxfId="32165" totalsRowDxfId="15541"/>
    <tableColumn id="849" name="Columna835" dataDxfId="32164" totalsRowDxfId="15540"/>
    <tableColumn id="850" name="Columna836" dataDxfId="32163" totalsRowDxfId="15539"/>
    <tableColumn id="851" name="Columna837" dataDxfId="32162" totalsRowDxfId="15538"/>
    <tableColumn id="852" name="Columna838" dataDxfId="32161" totalsRowDxfId="15537"/>
    <tableColumn id="853" name="Columna839" dataDxfId="32160" totalsRowDxfId="15536"/>
    <tableColumn id="854" name="Columna840" dataDxfId="32159" totalsRowDxfId="15535"/>
    <tableColumn id="855" name="Columna841" dataDxfId="32158" totalsRowDxfId="15534"/>
    <tableColumn id="856" name="Columna842" dataDxfId="32157" totalsRowDxfId="15533"/>
    <tableColumn id="857" name="Columna843" dataDxfId="32156" totalsRowDxfId="15532"/>
    <tableColumn id="858" name="Columna844" dataDxfId="32155" totalsRowDxfId="15531"/>
    <tableColumn id="859" name="Columna845" dataDxfId="32154" totalsRowDxfId="15530"/>
    <tableColumn id="860" name="Columna846" dataDxfId="32153" totalsRowDxfId="15529"/>
    <tableColumn id="861" name="Columna847" dataDxfId="32152" totalsRowDxfId="15528"/>
    <tableColumn id="862" name="Columna848" dataDxfId="32151" totalsRowDxfId="15527"/>
    <tableColumn id="863" name="Columna849" dataDxfId="32150" totalsRowDxfId="15526"/>
    <tableColumn id="864" name="Columna850" dataDxfId="32149" totalsRowDxfId="15525"/>
    <tableColumn id="865" name="Columna851" dataDxfId="32148" totalsRowDxfId="15524"/>
    <tableColumn id="866" name="Columna852" dataDxfId="32147" totalsRowDxfId="15523"/>
    <tableColumn id="867" name="Columna853" dataDxfId="32146" totalsRowDxfId="15522"/>
    <tableColumn id="868" name="Columna854" dataDxfId="32145" totalsRowDxfId="15521"/>
    <tableColumn id="869" name="Columna855" dataDxfId="32144" totalsRowDxfId="15520"/>
    <tableColumn id="870" name="Columna856" dataDxfId="32143" totalsRowDxfId="15519"/>
    <tableColumn id="871" name="Columna857" dataDxfId="32142" totalsRowDxfId="15518"/>
    <tableColumn id="872" name="Columna858" dataDxfId="32141" totalsRowDxfId="15517"/>
    <tableColumn id="873" name="Columna859" dataDxfId="32140" totalsRowDxfId="15516"/>
    <tableColumn id="874" name="Columna860" dataDxfId="32139" totalsRowDxfId="15515"/>
    <tableColumn id="875" name="Columna861" dataDxfId="32138" totalsRowDxfId="15514"/>
    <tableColumn id="876" name="Columna862" dataDxfId="32137" totalsRowDxfId="15513"/>
    <tableColumn id="877" name="Columna863" dataDxfId="32136" totalsRowDxfId="15512"/>
    <tableColumn id="878" name="Columna864" dataDxfId="32135" totalsRowDxfId="15511"/>
    <tableColumn id="879" name="Columna865" dataDxfId="32134" totalsRowDxfId="15510"/>
    <tableColumn id="880" name="Columna866" dataDxfId="32133" totalsRowDxfId="15509"/>
    <tableColumn id="881" name="Columna867" dataDxfId="32132" totalsRowDxfId="15508"/>
    <tableColumn id="882" name="Columna868" dataDxfId="32131" totalsRowDxfId="15507"/>
    <tableColumn id="883" name="Columna869" dataDxfId="32130" totalsRowDxfId="15506"/>
    <tableColumn id="884" name="Columna870" dataDxfId="32129" totalsRowDxfId="15505"/>
    <tableColumn id="885" name="Columna871" dataDxfId="32128" totalsRowDxfId="15504"/>
    <tableColumn id="886" name="Columna872" dataDxfId="32127" totalsRowDxfId="15503"/>
    <tableColumn id="887" name="Columna873" dataDxfId="32126" totalsRowDxfId="15502"/>
    <tableColumn id="888" name="Columna874" dataDxfId="32125" totalsRowDxfId="15501"/>
    <tableColumn id="889" name="Columna875" dataDxfId="32124" totalsRowDxfId="15500"/>
    <tableColumn id="890" name="Columna876" dataDxfId="32123" totalsRowDxfId="15499"/>
    <tableColumn id="891" name="Columna877" dataDxfId="32122" totalsRowDxfId="15498"/>
    <tableColumn id="892" name="Columna878" dataDxfId="32121" totalsRowDxfId="15497"/>
    <tableColumn id="893" name="Columna879" dataDxfId="32120" totalsRowDxfId="15496"/>
    <tableColumn id="894" name="Columna880" dataDxfId="32119" totalsRowDxfId="15495"/>
    <tableColumn id="895" name="Columna881" dataDxfId="32118" totalsRowDxfId="15494"/>
    <tableColumn id="896" name="Columna882" dataDxfId="32117" totalsRowDxfId="15493"/>
    <tableColumn id="897" name="Columna883" dataDxfId="32116" totalsRowDxfId="15492"/>
    <tableColumn id="898" name="Columna884" dataDxfId="32115" totalsRowDxfId="15491"/>
    <tableColumn id="899" name="Columna885" dataDxfId="32114" totalsRowDxfId="15490"/>
    <tableColumn id="900" name="Columna886" dataDxfId="32113" totalsRowDxfId="15489"/>
    <tableColumn id="901" name="Columna887" dataDxfId="32112" totalsRowDxfId="15488"/>
    <tableColumn id="902" name="Columna888" dataDxfId="32111" totalsRowDxfId="15487"/>
    <tableColumn id="903" name="Columna889" dataDxfId="32110" totalsRowDxfId="15486"/>
    <tableColumn id="904" name="Columna890" dataDxfId="32109" totalsRowDxfId="15485"/>
    <tableColumn id="905" name="Columna891" dataDxfId="32108" totalsRowDxfId="15484"/>
    <tableColumn id="906" name="Columna892" dataDxfId="32107" totalsRowDxfId="15483"/>
    <tableColumn id="907" name="Columna893" dataDxfId="32106" totalsRowDxfId="15482"/>
    <tableColumn id="908" name="Columna894" dataDxfId="32105" totalsRowDxfId="15481"/>
    <tableColumn id="909" name="Columna895" dataDxfId="32104" totalsRowDxfId="15480"/>
    <tableColumn id="910" name="Columna896" dataDxfId="32103" totalsRowDxfId="15479"/>
    <tableColumn id="911" name="Columna897" dataDxfId="32102" totalsRowDxfId="15478"/>
    <tableColumn id="912" name="Columna898" dataDxfId="32101" totalsRowDxfId="15477"/>
    <tableColumn id="913" name="Columna899" dataDxfId="32100" totalsRowDxfId="15476"/>
    <tableColumn id="914" name="Columna900" dataDxfId="32099" totalsRowDxfId="15475"/>
    <tableColumn id="915" name="Columna901" dataDxfId="32098" totalsRowDxfId="15474"/>
    <tableColumn id="916" name="Columna902" dataDxfId="32097" totalsRowDxfId="15473"/>
    <tableColumn id="917" name="Columna903" dataDxfId="32096" totalsRowDxfId="15472"/>
    <tableColumn id="918" name="Columna904" dataDxfId="32095" totalsRowDxfId="15471"/>
    <tableColumn id="919" name="Columna905" dataDxfId="32094" totalsRowDxfId="15470"/>
    <tableColumn id="920" name="Columna906" dataDxfId="32093" totalsRowDxfId="15469"/>
    <tableColumn id="921" name="Columna907" dataDxfId="32092" totalsRowDxfId="15468"/>
    <tableColumn id="922" name="Columna908" dataDxfId="32091" totalsRowDxfId="15467"/>
    <tableColumn id="923" name="Columna909" dataDxfId="32090" totalsRowDxfId="15466"/>
    <tableColumn id="924" name="Columna910" dataDxfId="32089" totalsRowDxfId="15465"/>
    <tableColumn id="925" name="Columna911" dataDxfId="32088" totalsRowDxfId="15464"/>
    <tableColumn id="926" name="Columna912" dataDxfId="32087" totalsRowDxfId="15463"/>
    <tableColumn id="927" name="Columna913" dataDxfId="32086" totalsRowDxfId="15462"/>
    <tableColumn id="928" name="Columna914" dataDxfId="32085" totalsRowDxfId="15461"/>
    <tableColumn id="929" name="Columna915" dataDxfId="32084" totalsRowDxfId="15460"/>
    <tableColumn id="930" name="Columna916" dataDxfId="32083" totalsRowDxfId="15459"/>
    <tableColumn id="931" name="Columna917" dataDxfId="32082" totalsRowDxfId="15458"/>
    <tableColumn id="932" name="Columna918" dataDxfId="32081" totalsRowDxfId="15457"/>
    <tableColumn id="933" name="Columna919" dataDxfId="32080" totalsRowDxfId="15456"/>
    <tableColumn id="934" name="Columna920" dataDxfId="32079" totalsRowDxfId="15455"/>
    <tableColumn id="935" name="Columna921" dataDxfId="32078" totalsRowDxfId="15454"/>
    <tableColumn id="936" name="Columna922" dataDxfId="32077" totalsRowDxfId="15453"/>
    <tableColumn id="937" name="Columna923" dataDxfId="32076" totalsRowDxfId="15452"/>
    <tableColumn id="938" name="Columna924" dataDxfId="32075" totalsRowDxfId="15451"/>
    <tableColumn id="939" name="Columna925" dataDxfId="32074" totalsRowDxfId="15450"/>
    <tableColumn id="940" name="Columna926" dataDxfId="32073" totalsRowDxfId="15449"/>
    <tableColumn id="941" name="Columna927" dataDxfId="32072" totalsRowDxfId="15448"/>
    <tableColumn id="942" name="Columna928" dataDxfId="32071" totalsRowDxfId="15447"/>
    <tableColumn id="943" name="Columna929" dataDxfId="32070" totalsRowDxfId="15446"/>
    <tableColumn id="944" name="Columna930" dataDxfId="32069" totalsRowDxfId="15445"/>
    <tableColumn id="945" name="Columna931" dataDxfId="32068" totalsRowDxfId="15444"/>
    <tableColumn id="946" name="Columna932" dataDxfId="32067" totalsRowDxfId="15443"/>
    <tableColumn id="947" name="Columna933" dataDxfId="32066" totalsRowDxfId="15442"/>
    <tableColumn id="948" name="Columna934" dataDxfId="32065" totalsRowDxfId="15441"/>
    <tableColumn id="949" name="Columna935" dataDxfId="32064" totalsRowDxfId="15440"/>
    <tableColumn id="950" name="Columna936" dataDxfId="32063" totalsRowDxfId="15439"/>
    <tableColumn id="951" name="Columna937" dataDxfId="32062" totalsRowDxfId="15438"/>
    <tableColumn id="952" name="Columna938" dataDxfId="32061" totalsRowDxfId="15437"/>
    <tableColumn id="953" name="Columna939" dataDxfId="32060" totalsRowDxfId="15436"/>
    <tableColumn id="954" name="Columna940" dataDxfId="32059" totalsRowDxfId="15435"/>
    <tableColumn id="955" name="Columna941" dataDxfId="32058" totalsRowDxfId="15434"/>
    <tableColumn id="956" name="Columna942" dataDxfId="32057" totalsRowDxfId="15433"/>
    <tableColumn id="957" name="Columna943" dataDxfId="32056" totalsRowDxfId="15432"/>
    <tableColumn id="958" name="Columna944" dataDxfId="32055" totalsRowDxfId="15431"/>
    <tableColumn id="959" name="Columna945" dataDxfId="32054" totalsRowDxfId="15430"/>
    <tableColumn id="960" name="Columna946" dataDxfId="32053" totalsRowDxfId="15429"/>
    <tableColumn id="961" name="Columna947" dataDxfId="32052" totalsRowDxfId="15428"/>
    <tableColumn id="962" name="Columna948" dataDxfId="32051" totalsRowDxfId="15427"/>
    <tableColumn id="963" name="Columna949" dataDxfId="32050" totalsRowDxfId="15426"/>
    <tableColumn id="964" name="Columna950" dataDxfId="32049" totalsRowDxfId="15425"/>
    <tableColumn id="965" name="Columna951" dataDxfId="32048" totalsRowDxfId="15424"/>
    <tableColumn id="966" name="Columna952" dataDxfId="32047" totalsRowDxfId="15423"/>
    <tableColumn id="967" name="Columna953" dataDxfId="32046" totalsRowDxfId="15422"/>
    <tableColumn id="968" name="Columna954" dataDxfId="32045" totalsRowDxfId="15421"/>
    <tableColumn id="969" name="Columna955" dataDxfId="32044" totalsRowDxfId="15420"/>
    <tableColumn id="970" name="Columna956" dataDxfId="32043" totalsRowDxfId="15419"/>
    <tableColumn id="971" name="Columna957" dataDxfId="32042" totalsRowDxfId="15418"/>
    <tableColumn id="972" name="Columna958" dataDxfId="32041" totalsRowDxfId="15417"/>
    <tableColumn id="973" name="Columna959" dataDxfId="32040" totalsRowDxfId="15416"/>
    <tableColumn id="974" name="Columna960" dataDxfId="32039" totalsRowDxfId="15415"/>
    <tableColumn id="975" name="Columna961" dataDxfId="32038" totalsRowDxfId="15414"/>
    <tableColumn id="976" name="Columna962" dataDxfId="32037" totalsRowDxfId="15413"/>
    <tableColumn id="977" name="Columna963" dataDxfId="32036" totalsRowDxfId="15412"/>
    <tableColumn id="978" name="Columna964" dataDxfId="32035" totalsRowDxfId="15411"/>
    <tableColumn id="979" name="Columna965" dataDxfId="32034" totalsRowDxfId="15410"/>
    <tableColumn id="980" name="Columna966" dataDxfId="32033" totalsRowDxfId="15409"/>
    <tableColumn id="981" name="Columna967" dataDxfId="32032" totalsRowDxfId="15408"/>
    <tableColumn id="982" name="Columna968" dataDxfId="32031" totalsRowDxfId="15407"/>
    <tableColumn id="983" name="Columna969" dataDxfId="32030" totalsRowDxfId="15406"/>
    <tableColumn id="984" name="Columna970" dataDxfId="32029" totalsRowDxfId="15405"/>
    <tableColumn id="985" name="Columna971" dataDxfId="32028" totalsRowDxfId="15404"/>
    <tableColumn id="986" name="Columna972" dataDxfId="32027" totalsRowDxfId="15403"/>
    <tableColumn id="987" name="Columna973" dataDxfId="32026" totalsRowDxfId="15402"/>
    <tableColumn id="988" name="Columna974" dataDxfId="32025" totalsRowDxfId="15401"/>
    <tableColumn id="989" name="Columna975" dataDxfId="32024" totalsRowDxfId="15400"/>
    <tableColumn id="990" name="Columna976" dataDxfId="32023" totalsRowDxfId="15399"/>
    <tableColumn id="991" name="Columna977" dataDxfId="32022" totalsRowDxfId="15398"/>
    <tableColumn id="992" name="Columna978" dataDxfId="32021" totalsRowDxfId="15397"/>
    <tableColumn id="993" name="Columna979" dataDxfId="32020" totalsRowDxfId="15396"/>
    <tableColumn id="994" name="Columna980" dataDxfId="32019" totalsRowDxfId="15395"/>
    <tableColumn id="995" name="Columna981" dataDxfId="32018" totalsRowDxfId="15394"/>
    <tableColumn id="996" name="Columna982" dataDxfId="32017" totalsRowDxfId="15393"/>
    <tableColumn id="997" name="Columna983" dataDxfId="32016" totalsRowDxfId="15392"/>
    <tableColumn id="998" name="Columna984" dataDxfId="32015" totalsRowDxfId="15391"/>
    <tableColumn id="999" name="Columna985" dataDxfId="32014" totalsRowDxfId="15390"/>
    <tableColumn id="1000" name="Columna986" dataDxfId="32013" totalsRowDxfId="15389"/>
    <tableColumn id="1001" name="Columna987" dataDxfId="32012" totalsRowDxfId="15388"/>
    <tableColumn id="1002" name="Columna988" dataDxfId="32011" totalsRowDxfId="15387"/>
    <tableColumn id="1003" name="Columna989" dataDxfId="32010" totalsRowDxfId="15386"/>
    <tableColumn id="1004" name="Columna990" dataDxfId="32009" totalsRowDxfId="15385"/>
    <tableColumn id="1005" name="Columna991" dataDxfId="32008" totalsRowDxfId="15384"/>
    <tableColumn id="1006" name="Columna992" dataDxfId="32007" totalsRowDxfId="15383"/>
    <tableColumn id="1007" name="Columna993" dataDxfId="32006" totalsRowDxfId="15382"/>
    <tableColumn id="1008" name="Columna994" dataDxfId="32005" totalsRowDxfId="15381"/>
    <tableColumn id="1009" name="Columna995" dataDxfId="32004" totalsRowDxfId="15380"/>
    <tableColumn id="1010" name="Columna996" dataDxfId="32003" totalsRowDxfId="15379"/>
    <tableColumn id="1011" name="Columna997" dataDxfId="32002" totalsRowDxfId="15378"/>
    <tableColumn id="1012" name="Columna998" dataDxfId="32001" totalsRowDxfId="15377"/>
    <tableColumn id="1013" name="Columna999" dataDxfId="32000" totalsRowDxfId="15376"/>
    <tableColumn id="1014" name="Columna1000" dataDxfId="31999" totalsRowDxfId="15375"/>
    <tableColumn id="1015" name="Columna1001" dataDxfId="31998" totalsRowDxfId="15374"/>
    <tableColumn id="1016" name="Columna1002" dataDxfId="31997" totalsRowDxfId="15373"/>
    <tableColumn id="1017" name="Columna1003" dataDxfId="31996" totalsRowDxfId="15372"/>
    <tableColumn id="1018" name="Columna1004" dataDxfId="31995" totalsRowDxfId="15371"/>
    <tableColumn id="1019" name="Columna1005" dataDxfId="31994" totalsRowDxfId="15370"/>
    <tableColumn id="1020" name="Columna1006" dataDxfId="31993" totalsRowDxfId="15369"/>
    <tableColumn id="1021" name="Columna1007" dataDxfId="31992" totalsRowDxfId="15368"/>
    <tableColumn id="1022" name="Columna1008" dataDxfId="31991" totalsRowDxfId="15367"/>
    <tableColumn id="1023" name="Columna1009" dataDxfId="31990" totalsRowDxfId="15366"/>
    <tableColumn id="1024" name="Columna1010" dataDxfId="31989" totalsRowDxfId="15365"/>
    <tableColumn id="1025" name="Columna1011" dataDxfId="31988" totalsRowDxfId="15364"/>
    <tableColumn id="1026" name="Columna1012" dataDxfId="31987" totalsRowDxfId="15363"/>
    <tableColumn id="1027" name="Columna1013" dataDxfId="31986" totalsRowDxfId="15362"/>
    <tableColumn id="1028" name="Columna1014" dataDxfId="31985" totalsRowDxfId="15361"/>
    <tableColumn id="1029" name="Columna1015" dataDxfId="31984" totalsRowDxfId="15360"/>
    <tableColumn id="1030" name="Columna1016" dataDxfId="31983" totalsRowDxfId="15359"/>
    <tableColumn id="1031" name="Columna1017" dataDxfId="31982" totalsRowDxfId="15358"/>
    <tableColumn id="1032" name="Columna1018" dataDxfId="31981" totalsRowDxfId="15357"/>
    <tableColumn id="1033" name="Columna1019" dataDxfId="31980" totalsRowDxfId="15356"/>
    <tableColumn id="1034" name="Columna1020" dataDxfId="31979" totalsRowDxfId="15355"/>
    <tableColumn id="1035" name="Columna1021" dataDxfId="31978" totalsRowDxfId="15354"/>
    <tableColumn id="1036" name="Columna1022" dataDxfId="31977" totalsRowDxfId="15353"/>
    <tableColumn id="1037" name="Columna1023" dataDxfId="31976" totalsRowDxfId="15352"/>
    <tableColumn id="1038" name="Columna1024" dataDxfId="31975" totalsRowDxfId="15351"/>
    <tableColumn id="1039" name="Columna1025" dataDxfId="31974" totalsRowDxfId="15350"/>
    <tableColumn id="1040" name="Columna1026" dataDxfId="31973" totalsRowDxfId="15349"/>
    <tableColumn id="1041" name="Columna1027" dataDxfId="31972" totalsRowDxfId="15348"/>
    <tableColumn id="1042" name="Columna1028" dataDxfId="31971" totalsRowDxfId="15347"/>
    <tableColumn id="1043" name="Columna1029" dataDxfId="31970" totalsRowDxfId="15346"/>
    <tableColumn id="1044" name="Columna1030" dataDxfId="31969" totalsRowDxfId="15345"/>
    <tableColumn id="1045" name="Columna1031" dataDxfId="31968" totalsRowDxfId="15344"/>
    <tableColumn id="1046" name="Columna1032" dataDxfId="31967" totalsRowDxfId="15343"/>
    <tableColumn id="1047" name="Columna1033" dataDxfId="31966" totalsRowDxfId="15342"/>
    <tableColumn id="1048" name="Columna1034" dataDxfId="31965" totalsRowDxfId="15341"/>
    <tableColumn id="1049" name="Columna1035" dataDxfId="31964" totalsRowDxfId="15340"/>
    <tableColumn id="1050" name="Columna1036" dataDxfId="31963" totalsRowDxfId="15339"/>
    <tableColumn id="1051" name="Columna1037" dataDxfId="31962" totalsRowDxfId="15338"/>
    <tableColumn id="1052" name="Columna1038" dataDxfId="31961" totalsRowDxfId="15337"/>
    <tableColumn id="1053" name="Columna1039" dataDxfId="31960" totalsRowDxfId="15336"/>
    <tableColumn id="1054" name="Columna1040" dataDxfId="31959" totalsRowDxfId="15335"/>
    <tableColumn id="1055" name="Columna1041" dataDxfId="31958" totalsRowDxfId="15334"/>
    <tableColumn id="1056" name="Columna1042" dataDxfId="31957" totalsRowDxfId="15333"/>
    <tableColumn id="1057" name="Columna1043" dataDxfId="31956" totalsRowDxfId="15332"/>
    <tableColumn id="1058" name="Columna1044" dataDxfId="31955" totalsRowDxfId="15331"/>
    <tableColumn id="1059" name="Columna1045" dataDxfId="31954" totalsRowDxfId="15330"/>
    <tableColumn id="1060" name="Columna1046" dataDxfId="31953" totalsRowDxfId="15329"/>
    <tableColumn id="1061" name="Columna1047" dataDxfId="31952" totalsRowDxfId="15328"/>
    <tableColumn id="1062" name="Columna1048" dataDxfId="31951" totalsRowDxfId="15327"/>
    <tableColumn id="1063" name="Columna1049" dataDxfId="31950" totalsRowDxfId="15326"/>
    <tableColumn id="1064" name="Columna1050" dataDxfId="31949" totalsRowDxfId="15325"/>
    <tableColumn id="1065" name="Columna1051" dataDxfId="31948" totalsRowDxfId="15324"/>
    <tableColumn id="1066" name="Columna1052" dataDxfId="31947" totalsRowDxfId="15323"/>
    <tableColumn id="1067" name="Columna1053" dataDxfId="31946" totalsRowDxfId="15322"/>
    <tableColumn id="1068" name="Columna1054" dataDxfId="31945" totalsRowDxfId="15321"/>
    <tableColumn id="1069" name="Columna1055" dataDxfId="31944" totalsRowDxfId="15320"/>
    <tableColumn id="1070" name="Columna1056" dataDxfId="31943" totalsRowDxfId="15319"/>
    <tableColumn id="1071" name="Columna1057" dataDxfId="31942" totalsRowDxfId="15318"/>
    <tableColumn id="1072" name="Columna1058" dataDxfId="31941" totalsRowDxfId="15317"/>
    <tableColumn id="1073" name="Columna1059" dataDxfId="31940" totalsRowDxfId="15316"/>
    <tableColumn id="1074" name="Columna1060" dataDxfId="31939" totalsRowDxfId="15315"/>
    <tableColumn id="1075" name="Columna1061" dataDxfId="31938" totalsRowDxfId="15314"/>
    <tableColumn id="1076" name="Columna1062" dataDxfId="31937" totalsRowDxfId="15313"/>
    <tableColumn id="1077" name="Columna1063" dataDxfId="31936" totalsRowDxfId="15312"/>
    <tableColumn id="1078" name="Columna1064" dataDxfId="31935" totalsRowDxfId="15311"/>
    <tableColumn id="1079" name="Columna1065" dataDxfId="31934" totalsRowDxfId="15310"/>
    <tableColumn id="1080" name="Columna1066" dataDxfId="31933" totalsRowDxfId="15309"/>
    <tableColumn id="1081" name="Columna1067" dataDxfId="31932" totalsRowDxfId="15308"/>
    <tableColumn id="1082" name="Columna1068" dataDxfId="31931" totalsRowDxfId="15307"/>
    <tableColumn id="1083" name="Columna1069" dataDxfId="31930" totalsRowDxfId="15306"/>
    <tableColumn id="1084" name="Columna1070" dataDxfId="31929" totalsRowDxfId="15305"/>
    <tableColumn id="1085" name="Columna1071" dataDxfId="31928" totalsRowDxfId="15304"/>
    <tableColumn id="1086" name="Columna1072" dataDxfId="31927" totalsRowDxfId="15303"/>
    <tableColumn id="1087" name="Columna1073" dataDxfId="31926" totalsRowDxfId="15302"/>
    <tableColumn id="1088" name="Columna1074" dataDxfId="31925" totalsRowDxfId="15301"/>
    <tableColumn id="1089" name="Columna1075" dataDxfId="31924" totalsRowDxfId="15300"/>
    <tableColumn id="1090" name="Columna1076" dataDxfId="31923" totalsRowDxfId="15299"/>
    <tableColumn id="1091" name="Columna1077" dataDxfId="31922" totalsRowDxfId="15298"/>
    <tableColumn id="1092" name="Columna1078" dataDxfId="31921" totalsRowDxfId="15297"/>
    <tableColumn id="1093" name="Columna1079" dataDxfId="31920" totalsRowDxfId="15296"/>
    <tableColumn id="1094" name="Columna1080" dataDxfId="31919" totalsRowDxfId="15295"/>
    <tableColumn id="1095" name="Columna1081" dataDxfId="31918" totalsRowDxfId="15294"/>
    <tableColumn id="1096" name="Columna1082" dataDxfId="31917" totalsRowDxfId="15293"/>
    <tableColumn id="1097" name="Columna1083" dataDxfId="31916" totalsRowDxfId="15292"/>
    <tableColumn id="1098" name="Columna1084" dataDxfId="31915" totalsRowDxfId="15291"/>
    <tableColumn id="1099" name="Columna1085" dataDxfId="31914" totalsRowDxfId="15290"/>
    <tableColumn id="1100" name="Columna1086" dataDxfId="31913" totalsRowDxfId="15289"/>
    <tableColumn id="1101" name="Columna1087" dataDxfId="31912" totalsRowDxfId="15288"/>
    <tableColumn id="1102" name="Columna1088" dataDxfId="31911" totalsRowDxfId="15287"/>
    <tableColumn id="1103" name="Columna1089" dataDxfId="31910" totalsRowDxfId="15286"/>
    <tableColumn id="1104" name="Columna1090" dataDxfId="31909" totalsRowDxfId="15285"/>
    <tableColumn id="1105" name="Columna1091" dataDxfId="31908" totalsRowDxfId="15284"/>
    <tableColumn id="1106" name="Columna1092" dataDxfId="31907" totalsRowDxfId="15283"/>
    <tableColumn id="1107" name="Columna1093" dataDxfId="31906" totalsRowDxfId="15282"/>
    <tableColumn id="1108" name="Columna1094" dataDxfId="31905" totalsRowDxfId="15281"/>
    <tableColumn id="1109" name="Columna1095" dataDxfId="31904" totalsRowDxfId="15280"/>
    <tableColumn id="1110" name="Columna1096" dataDxfId="31903" totalsRowDxfId="15279"/>
    <tableColumn id="1111" name="Columna1097" dataDxfId="31902" totalsRowDxfId="15278"/>
    <tableColumn id="1112" name="Columna1098" dataDxfId="31901" totalsRowDxfId="15277"/>
    <tableColumn id="1113" name="Columna1099" dataDxfId="31900" totalsRowDxfId="15276"/>
    <tableColumn id="1114" name="Columna1100" dataDxfId="31899" totalsRowDxfId="15275"/>
    <tableColumn id="1115" name="Columna1101" dataDxfId="31898" totalsRowDxfId="15274"/>
    <tableColumn id="1116" name="Columna1102" dataDxfId="31897" totalsRowDxfId="15273"/>
    <tableColumn id="1117" name="Columna1103" dataDxfId="31896" totalsRowDxfId="15272"/>
    <tableColumn id="1118" name="Columna1104" dataDxfId="31895" totalsRowDxfId="15271"/>
    <tableColumn id="1119" name="Columna1105" dataDxfId="31894" totalsRowDxfId="15270"/>
    <tableColumn id="1120" name="Columna1106" dataDxfId="31893" totalsRowDxfId="15269"/>
    <tableColumn id="1121" name="Columna1107" dataDxfId="31892" totalsRowDxfId="15268"/>
    <tableColumn id="1122" name="Columna1108" dataDxfId="31891" totalsRowDxfId="15267"/>
    <tableColumn id="1123" name="Columna1109" dataDxfId="31890" totalsRowDxfId="15266"/>
    <tableColumn id="1124" name="Columna1110" dataDxfId="31889" totalsRowDxfId="15265"/>
    <tableColumn id="1125" name="Columna1111" dataDxfId="31888" totalsRowDxfId="15264"/>
    <tableColumn id="1126" name="Columna1112" dataDxfId="31887" totalsRowDxfId="15263"/>
    <tableColumn id="1127" name="Columna1113" dataDxfId="31886" totalsRowDxfId="15262"/>
    <tableColumn id="1128" name="Columna1114" dataDxfId="31885" totalsRowDxfId="15261"/>
    <tableColumn id="1129" name="Columna1115" dataDxfId="31884" totalsRowDxfId="15260"/>
    <tableColumn id="1130" name="Columna1116" dataDxfId="31883" totalsRowDxfId="15259"/>
    <tableColumn id="1131" name="Columna1117" dataDxfId="31882" totalsRowDxfId="15258"/>
    <tableColumn id="1132" name="Columna1118" dataDxfId="31881" totalsRowDxfId="15257"/>
    <tableColumn id="1133" name="Columna1119" dataDxfId="31880" totalsRowDxfId="15256"/>
    <tableColumn id="1134" name="Columna1120" dataDxfId="31879" totalsRowDxfId="15255"/>
    <tableColumn id="1135" name="Columna1121" dataDxfId="31878" totalsRowDxfId="15254"/>
    <tableColumn id="1136" name="Columna1122" dataDxfId="31877" totalsRowDxfId="15253"/>
    <tableColumn id="1137" name="Columna1123" dataDxfId="31876" totalsRowDxfId="15252"/>
    <tableColumn id="1138" name="Columna1124" dataDxfId="31875" totalsRowDxfId="15251"/>
    <tableColumn id="1139" name="Columna1125" dataDxfId="31874" totalsRowDxfId="15250"/>
    <tableColumn id="1140" name="Columna1126" dataDxfId="31873" totalsRowDxfId="15249"/>
    <tableColumn id="1141" name="Columna1127" dataDxfId="31872" totalsRowDxfId="15248"/>
    <tableColumn id="1142" name="Columna1128" dataDxfId="31871" totalsRowDxfId="15247"/>
    <tableColumn id="1143" name="Columna1129" dataDxfId="31870" totalsRowDxfId="15246"/>
    <tableColumn id="1144" name="Columna1130" dataDxfId="31869" totalsRowDxfId="15245"/>
    <tableColumn id="1145" name="Columna1131" dataDxfId="31868" totalsRowDxfId="15244"/>
    <tableColumn id="1146" name="Columna1132" dataDxfId="31867" totalsRowDxfId="15243"/>
    <tableColumn id="1147" name="Columna1133" dataDxfId="31866" totalsRowDxfId="15242"/>
    <tableColumn id="1148" name="Columna1134" dataDxfId="31865" totalsRowDxfId="15241"/>
    <tableColumn id="1149" name="Columna1135" dataDxfId="31864" totalsRowDxfId="15240"/>
    <tableColumn id="1150" name="Columna1136" dataDxfId="31863" totalsRowDxfId="15239"/>
    <tableColumn id="1151" name="Columna1137" dataDxfId="31862" totalsRowDxfId="15238"/>
    <tableColumn id="1152" name="Columna1138" dataDxfId="31861" totalsRowDxfId="15237"/>
    <tableColumn id="1153" name="Columna1139" dataDxfId="31860" totalsRowDxfId="15236"/>
    <tableColumn id="1154" name="Columna1140" dataDxfId="31859" totalsRowDxfId="15235"/>
    <tableColumn id="1155" name="Columna1141" dataDxfId="31858" totalsRowDxfId="15234"/>
    <tableColumn id="1156" name="Columna1142" dataDxfId="31857" totalsRowDxfId="15233"/>
    <tableColumn id="1157" name="Columna1143" dataDxfId="31856" totalsRowDxfId="15232"/>
    <tableColumn id="1158" name="Columna1144" dataDxfId="31855" totalsRowDxfId="15231"/>
    <tableColumn id="1159" name="Columna1145" dataDxfId="31854" totalsRowDxfId="15230"/>
    <tableColumn id="1160" name="Columna1146" dataDxfId="31853" totalsRowDxfId="15229"/>
    <tableColumn id="1161" name="Columna1147" dataDxfId="31852" totalsRowDxfId="15228"/>
    <tableColumn id="1162" name="Columna1148" dataDxfId="31851" totalsRowDxfId="15227"/>
    <tableColumn id="1163" name="Columna1149" dataDxfId="31850" totalsRowDxfId="15226"/>
    <tableColumn id="1164" name="Columna1150" dataDxfId="31849" totalsRowDxfId="15225"/>
    <tableColumn id="1165" name="Columna1151" dataDxfId="31848" totalsRowDxfId="15224"/>
    <tableColumn id="1166" name="Columna1152" dataDxfId="31847" totalsRowDxfId="15223"/>
    <tableColumn id="1167" name="Columna1153" dataDxfId="31846" totalsRowDxfId="15222"/>
    <tableColumn id="1168" name="Columna1154" dataDxfId="31845" totalsRowDxfId="15221"/>
    <tableColumn id="1169" name="Columna1155" dataDxfId="31844" totalsRowDxfId="15220"/>
    <tableColumn id="1170" name="Columna1156" dataDxfId="31843" totalsRowDxfId="15219"/>
    <tableColumn id="1171" name="Columna1157" dataDxfId="31842" totalsRowDxfId="15218"/>
    <tableColumn id="1172" name="Columna1158" dataDxfId="31841" totalsRowDxfId="15217"/>
    <tableColumn id="1173" name="Columna1159" dataDxfId="31840" totalsRowDxfId="15216"/>
    <tableColumn id="1174" name="Columna1160" dataDxfId="31839" totalsRowDxfId="15215"/>
    <tableColumn id="1175" name="Columna1161" dataDxfId="31838" totalsRowDxfId="15214"/>
    <tableColumn id="1176" name="Columna1162" dataDxfId="31837" totalsRowDxfId="15213"/>
    <tableColumn id="1177" name="Columna1163" dataDxfId="31836" totalsRowDxfId="15212"/>
    <tableColumn id="1178" name="Columna1164" dataDxfId="31835" totalsRowDxfId="15211"/>
    <tableColumn id="1179" name="Columna1165" dataDxfId="31834" totalsRowDxfId="15210"/>
    <tableColumn id="1180" name="Columna1166" dataDxfId="31833" totalsRowDxfId="15209"/>
    <tableColumn id="1181" name="Columna1167" dataDxfId="31832" totalsRowDxfId="15208"/>
    <tableColumn id="1182" name="Columna1168" dataDxfId="31831" totalsRowDxfId="15207"/>
    <tableColumn id="1183" name="Columna1169" dataDxfId="31830" totalsRowDxfId="15206"/>
    <tableColumn id="1184" name="Columna1170" dataDxfId="31829" totalsRowDxfId="15205"/>
    <tableColumn id="1185" name="Columna1171" dataDxfId="31828" totalsRowDxfId="15204"/>
    <tableColumn id="1186" name="Columna1172" dataDxfId="31827" totalsRowDxfId="15203"/>
    <tableColumn id="1187" name="Columna1173" dataDxfId="31826" totalsRowDxfId="15202"/>
    <tableColumn id="1188" name="Columna1174" dataDxfId="31825" totalsRowDxfId="15201"/>
    <tableColumn id="1189" name="Columna1175" dataDxfId="31824" totalsRowDxfId="15200"/>
    <tableColumn id="1190" name="Columna1176" dataDxfId="31823" totalsRowDxfId="15199"/>
    <tableColumn id="1191" name="Columna1177" dataDxfId="31822" totalsRowDxfId="15198"/>
    <tableColumn id="1192" name="Columna1178" dataDxfId="31821" totalsRowDxfId="15197"/>
    <tableColumn id="1193" name="Columna1179" dataDxfId="31820" totalsRowDxfId="15196"/>
    <tableColumn id="1194" name="Columna1180" dataDxfId="31819" totalsRowDxfId="15195"/>
    <tableColumn id="1195" name="Columna1181" dataDxfId="31818" totalsRowDxfId="15194"/>
    <tableColumn id="1196" name="Columna1182" dataDxfId="31817" totalsRowDxfId="15193"/>
    <tableColumn id="1197" name="Columna1183" dataDxfId="31816" totalsRowDxfId="15192"/>
    <tableColumn id="1198" name="Columna1184" dataDxfId="31815" totalsRowDxfId="15191"/>
    <tableColumn id="1199" name="Columna1185" dataDxfId="31814" totalsRowDxfId="15190"/>
    <tableColumn id="1200" name="Columna1186" dataDxfId="31813" totalsRowDxfId="15189"/>
    <tableColumn id="1201" name="Columna1187" dataDxfId="31812" totalsRowDxfId="15188"/>
    <tableColumn id="1202" name="Columna1188" dataDxfId="31811" totalsRowDxfId="15187"/>
    <tableColumn id="1203" name="Columna1189" dataDxfId="31810" totalsRowDxfId="15186"/>
    <tableColumn id="1204" name="Columna1190" dataDxfId="31809" totalsRowDxfId="15185"/>
    <tableColumn id="1205" name="Columna1191" dataDxfId="31808" totalsRowDxfId="15184"/>
    <tableColumn id="1206" name="Columna1192" dataDxfId="31807" totalsRowDxfId="15183"/>
    <tableColumn id="1207" name="Columna1193" dataDxfId="31806" totalsRowDxfId="15182"/>
    <tableColumn id="1208" name="Columna1194" dataDxfId="31805" totalsRowDxfId="15181"/>
    <tableColumn id="1209" name="Columna1195" dataDxfId="31804" totalsRowDxfId="15180"/>
    <tableColumn id="1210" name="Columna1196" dataDxfId="31803" totalsRowDxfId="15179"/>
    <tableColumn id="1211" name="Columna1197" dataDxfId="31802" totalsRowDxfId="15178"/>
    <tableColumn id="1212" name="Columna1198" dataDxfId="31801" totalsRowDxfId="15177"/>
    <tableColumn id="1213" name="Columna1199" dataDxfId="31800" totalsRowDxfId="15176"/>
    <tableColumn id="1214" name="Columna1200" dataDxfId="31799" totalsRowDxfId="15175"/>
    <tableColumn id="1215" name="Columna1201" dataDxfId="31798" totalsRowDxfId="15174"/>
    <tableColumn id="1216" name="Columna1202" dataDxfId="31797" totalsRowDxfId="15173"/>
    <tableColumn id="1217" name="Columna1203" dataDxfId="31796" totalsRowDxfId="15172"/>
    <tableColumn id="1218" name="Columna1204" dataDxfId="31795" totalsRowDxfId="15171"/>
    <tableColumn id="1219" name="Columna1205" dataDxfId="31794" totalsRowDxfId="15170"/>
    <tableColumn id="1220" name="Columna1206" dataDxfId="31793" totalsRowDxfId="15169"/>
    <tableColumn id="1221" name="Columna1207" dataDxfId="31792" totalsRowDxfId="15168"/>
    <tableColumn id="1222" name="Columna1208" dataDxfId="31791" totalsRowDxfId="15167"/>
    <tableColumn id="1223" name="Columna1209" dataDxfId="31790" totalsRowDxfId="15166"/>
    <tableColumn id="1224" name="Columna1210" dataDxfId="31789" totalsRowDxfId="15165"/>
    <tableColumn id="1225" name="Columna1211" dataDxfId="31788" totalsRowDxfId="15164"/>
    <tableColumn id="1226" name="Columna1212" dataDxfId="31787" totalsRowDxfId="15163"/>
    <tableColumn id="1227" name="Columna1213" dataDxfId="31786" totalsRowDxfId="15162"/>
    <tableColumn id="1228" name="Columna1214" dataDxfId="31785" totalsRowDxfId="15161"/>
    <tableColumn id="1229" name="Columna1215" dataDxfId="31784" totalsRowDxfId="15160"/>
    <tableColumn id="1230" name="Columna1216" dataDxfId="31783" totalsRowDxfId="15159"/>
    <tableColumn id="1231" name="Columna1217" dataDxfId="31782" totalsRowDxfId="15158"/>
    <tableColumn id="1232" name="Columna1218" dataDxfId="31781" totalsRowDxfId="15157"/>
    <tableColumn id="1233" name="Columna1219" dataDxfId="31780" totalsRowDxfId="15156"/>
    <tableColumn id="1234" name="Columna1220" dataDxfId="31779" totalsRowDxfId="15155"/>
    <tableColumn id="1235" name="Columna1221" dataDxfId="31778" totalsRowDxfId="15154"/>
    <tableColumn id="1236" name="Columna1222" dataDxfId="31777" totalsRowDxfId="15153"/>
    <tableColumn id="1237" name="Columna1223" dataDxfId="31776" totalsRowDxfId="15152"/>
    <tableColumn id="1238" name="Columna1224" dataDxfId="31775" totalsRowDxfId="15151"/>
    <tableColumn id="1239" name="Columna1225" dataDxfId="31774" totalsRowDxfId="15150"/>
    <tableColumn id="1240" name="Columna1226" dataDxfId="31773" totalsRowDxfId="15149"/>
    <tableColumn id="1241" name="Columna1227" dataDxfId="31772" totalsRowDxfId="15148"/>
    <tableColumn id="1242" name="Columna1228" dataDxfId="31771" totalsRowDxfId="15147"/>
    <tableColumn id="1243" name="Columna1229" dataDxfId="31770" totalsRowDxfId="15146"/>
    <tableColumn id="1244" name="Columna1230" dataDxfId="31769" totalsRowDxfId="15145"/>
    <tableColumn id="1245" name="Columna1231" dataDxfId="31768" totalsRowDxfId="15144"/>
    <tableColumn id="1246" name="Columna1232" dataDxfId="31767" totalsRowDxfId="15143"/>
    <tableColumn id="1247" name="Columna1233" dataDxfId="31766" totalsRowDxfId="15142"/>
    <tableColumn id="1248" name="Columna1234" dataDxfId="31765" totalsRowDxfId="15141"/>
    <tableColumn id="1249" name="Columna1235" dataDxfId="31764" totalsRowDxfId="15140"/>
    <tableColumn id="1250" name="Columna1236" dataDxfId="31763" totalsRowDxfId="15139"/>
    <tableColumn id="1251" name="Columna1237" dataDxfId="31762" totalsRowDxfId="15138"/>
    <tableColumn id="1252" name="Columna1238" dataDxfId="31761" totalsRowDxfId="15137"/>
    <tableColumn id="1253" name="Columna1239" dataDxfId="31760" totalsRowDxfId="15136"/>
    <tableColumn id="1254" name="Columna1240" dataDxfId="31759" totalsRowDxfId="15135"/>
    <tableColumn id="1255" name="Columna1241" dataDxfId="31758" totalsRowDxfId="15134"/>
    <tableColumn id="1256" name="Columna1242" dataDxfId="31757" totalsRowDxfId="15133"/>
    <tableColumn id="1257" name="Columna1243" dataDxfId="31756" totalsRowDxfId="15132"/>
    <tableColumn id="1258" name="Columna1244" dataDxfId="31755" totalsRowDxfId="15131"/>
    <tableColumn id="1259" name="Columna1245" dataDxfId="31754" totalsRowDxfId="15130"/>
    <tableColumn id="1260" name="Columna1246" dataDxfId="31753" totalsRowDxfId="15129"/>
    <tableColumn id="1261" name="Columna1247" dataDxfId="31752" totalsRowDxfId="15128"/>
    <tableColumn id="1262" name="Columna1248" dataDxfId="31751" totalsRowDxfId="15127"/>
    <tableColumn id="1263" name="Columna1249" dataDxfId="31750" totalsRowDxfId="15126"/>
    <tableColumn id="1264" name="Columna1250" dataDxfId="31749" totalsRowDxfId="15125"/>
    <tableColumn id="1265" name="Columna1251" dataDxfId="31748" totalsRowDxfId="15124"/>
    <tableColumn id="1266" name="Columna1252" dataDxfId="31747" totalsRowDxfId="15123"/>
    <tableColumn id="1267" name="Columna1253" dataDxfId="31746" totalsRowDxfId="15122"/>
    <tableColumn id="1268" name="Columna1254" dataDxfId="31745" totalsRowDxfId="15121"/>
    <tableColumn id="1269" name="Columna1255" dataDxfId="31744" totalsRowDxfId="15120"/>
    <tableColumn id="1270" name="Columna1256" dataDxfId="31743" totalsRowDxfId="15119"/>
    <tableColumn id="1271" name="Columna1257" dataDxfId="31742" totalsRowDxfId="15118"/>
    <tableColumn id="1272" name="Columna1258" dataDxfId="31741" totalsRowDxfId="15117"/>
    <tableColumn id="1273" name="Columna1259" dataDxfId="31740" totalsRowDxfId="15116"/>
    <tableColumn id="1274" name="Columna1260" dataDxfId="31739" totalsRowDxfId="15115"/>
    <tableColumn id="1275" name="Columna1261" dataDxfId="31738" totalsRowDxfId="15114"/>
    <tableColumn id="1276" name="Columna1262" dataDxfId="31737" totalsRowDxfId="15113"/>
    <tableColumn id="1277" name="Columna1263" dataDxfId="31736" totalsRowDxfId="15112"/>
    <tableColumn id="1278" name="Columna1264" dataDxfId="31735" totalsRowDxfId="15111"/>
    <tableColumn id="1279" name="Columna1265" dataDxfId="31734" totalsRowDxfId="15110"/>
    <tableColumn id="1280" name="Columna1266" dataDxfId="31733" totalsRowDxfId="15109"/>
    <tableColumn id="1281" name="Columna1267" dataDxfId="31732" totalsRowDxfId="15108"/>
    <tableColumn id="1282" name="Columna1268" dataDxfId="31731" totalsRowDxfId="15107"/>
    <tableColumn id="1283" name="Columna1269" dataDxfId="31730" totalsRowDxfId="15106"/>
    <tableColumn id="1284" name="Columna1270" dataDxfId="31729" totalsRowDxfId="15105"/>
    <tableColumn id="1285" name="Columna1271" dataDxfId="31728" totalsRowDxfId="15104"/>
    <tableColumn id="1286" name="Columna1272" dataDxfId="31727" totalsRowDxfId="15103"/>
    <tableColumn id="1287" name="Columna1273" dataDxfId="31726" totalsRowDxfId="15102"/>
    <tableColumn id="1288" name="Columna1274" dataDxfId="31725" totalsRowDxfId="15101"/>
    <tableColumn id="1289" name="Columna1275" dataDxfId="31724" totalsRowDxfId="15100"/>
    <tableColumn id="1290" name="Columna1276" dataDxfId="31723" totalsRowDxfId="15099"/>
    <tableColumn id="1291" name="Columna1277" dataDxfId="31722" totalsRowDxfId="15098"/>
    <tableColumn id="1292" name="Columna1278" dataDxfId="31721" totalsRowDxfId="15097"/>
    <tableColumn id="1293" name="Columna1279" dataDxfId="31720" totalsRowDxfId="15096"/>
    <tableColumn id="1294" name="Columna1280" dataDxfId="31719" totalsRowDxfId="15095"/>
    <tableColumn id="1295" name="Columna1281" dataDxfId="31718" totalsRowDxfId="15094"/>
    <tableColumn id="1296" name="Columna1282" dataDxfId="31717" totalsRowDxfId="15093"/>
    <tableColumn id="1297" name="Columna1283" dataDxfId="31716" totalsRowDxfId="15092"/>
    <tableColumn id="1298" name="Columna1284" dataDxfId="31715" totalsRowDxfId="15091"/>
    <tableColumn id="1299" name="Columna1285" dataDxfId="31714" totalsRowDxfId="15090"/>
    <tableColumn id="1300" name="Columna1286" dataDxfId="31713" totalsRowDxfId="15089"/>
    <tableColumn id="1301" name="Columna1287" dataDxfId="31712" totalsRowDxfId="15088"/>
    <tableColumn id="1302" name="Columna1288" dataDxfId="31711" totalsRowDxfId="15087"/>
    <tableColumn id="1303" name="Columna1289" dataDxfId="31710" totalsRowDxfId="15086"/>
    <tableColumn id="1304" name="Columna1290" dataDxfId="31709" totalsRowDxfId="15085"/>
    <tableColumn id="1305" name="Columna1291" dataDxfId="31708" totalsRowDxfId="15084"/>
    <tableColumn id="1306" name="Columna1292" dataDxfId="31707" totalsRowDxfId="15083"/>
    <tableColumn id="1307" name="Columna1293" dataDxfId="31706" totalsRowDxfId="15082"/>
    <tableColumn id="1308" name="Columna1294" dataDxfId="31705" totalsRowDxfId="15081"/>
    <tableColumn id="1309" name="Columna1295" dataDxfId="31704" totalsRowDxfId="15080"/>
    <tableColumn id="1310" name="Columna1296" dataDxfId="31703" totalsRowDxfId="15079"/>
    <tableColumn id="1311" name="Columna1297" dataDxfId="31702" totalsRowDxfId="15078"/>
    <tableColumn id="1312" name="Columna1298" dataDxfId="31701" totalsRowDxfId="15077"/>
    <tableColumn id="1313" name="Columna1299" dataDxfId="31700" totalsRowDxfId="15076"/>
    <tableColumn id="1314" name="Columna1300" dataDxfId="31699" totalsRowDxfId="15075"/>
    <tableColumn id="1315" name="Columna1301" dataDxfId="31698" totalsRowDxfId="15074"/>
    <tableColumn id="1316" name="Columna1302" dataDxfId="31697" totalsRowDxfId="15073"/>
    <tableColumn id="1317" name="Columna1303" dataDxfId="31696" totalsRowDxfId="15072"/>
    <tableColumn id="1318" name="Columna1304" dataDxfId="31695" totalsRowDxfId="15071"/>
    <tableColumn id="1319" name="Columna1305" dataDxfId="31694" totalsRowDxfId="15070"/>
    <tableColumn id="1320" name="Columna1306" dataDxfId="31693" totalsRowDxfId="15069"/>
    <tableColumn id="1321" name="Columna1307" dataDxfId="31692" totalsRowDxfId="15068"/>
    <tableColumn id="1322" name="Columna1308" dataDxfId="31691" totalsRowDxfId="15067"/>
    <tableColumn id="1323" name="Columna1309" dataDxfId="31690" totalsRowDxfId="15066"/>
    <tableColumn id="1324" name="Columna1310" dataDxfId="31689" totalsRowDxfId="15065"/>
    <tableColumn id="1325" name="Columna1311" dataDxfId="31688" totalsRowDxfId="15064"/>
    <tableColumn id="1326" name="Columna1312" dataDxfId="31687" totalsRowDxfId="15063"/>
    <tableColumn id="1327" name="Columna1313" dataDxfId="31686" totalsRowDxfId="15062"/>
    <tableColumn id="1328" name="Columna1314" dataDxfId="31685" totalsRowDxfId="15061"/>
    <tableColumn id="1329" name="Columna1315" dataDxfId="31684" totalsRowDxfId="15060"/>
    <tableColumn id="1330" name="Columna1316" dataDxfId="31683" totalsRowDxfId="15059"/>
    <tableColumn id="1331" name="Columna1317" dataDxfId="31682" totalsRowDxfId="15058"/>
    <tableColumn id="1332" name="Columna1318" dataDxfId="31681" totalsRowDxfId="15057"/>
    <tableColumn id="1333" name="Columna1319" dataDxfId="31680" totalsRowDxfId="15056"/>
    <tableColumn id="1334" name="Columna1320" dataDxfId="31679" totalsRowDxfId="15055"/>
    <tableColumn id="1335" name="Columna1321" dataDxfId="31678" totalsRowDxfId="15054"/>
    <tableColumn id="1336" name="Columna1322" dataDxfId="31677" totalsRowDxfId="15053"/>
    <tableColumn id="1337" name="Columna1323" dataDxfId="31676" totalsRowDxfId="15052"/>
    <tableColumn id="1338" name="Columna1324" dataDxfId="31675" totalsRowDxfId="15051"/>
    <tableColumn id="1339" name="Columna1325" dataDxfId="31674" totalsRowDxfId="15050"/>
    <tableColumn id="1340" name="Columna1326" dataDxfId="31673" totalsRowDxfId="15049"/>
    <tableColumn id="1341" name="Columna1327" dataDxfId="31672" totalsRowDxfId="15048"/>
    <tableColumn id="1342" name="Columna1328" dataDxfId="31671" totalsRowDxfId="15047"/>
    <tableColumn id="1343" name="Columna1329" dataDxfId="31670" totalsRowDxfId="15046"/>
    <tableColumn id="1344" name="Columna1330" dataDxfId="31669" totalsRowDxfId="15045"/>
    <tableColumn id="1345" name="Columna1331" dataDxfId="31668" totalsRowDxfId="15044"/>
    <tableColumn id="1346" name="Columna1332" dataDxfId="31667" totalsRowDxfId="15043"/>
    <tableColumn id="1347" name="Columna1333" dataDxfId="31666" totalsRowDxfId="15042"/>
    <tableColumn id="1348" name="Columna1334" dataDxfId="31665" totalsRowDxfId="15041"/>
    <tableColumn id="1349" name="Columna1335" dataDxfId="31664" totalsRowDxfId="15040"/>
    <tableColumn id="1350" name="Columna1336" dataDxfId="31663" totalsRowDxfId="15039"/>
    <tableColumn id="1351" name="Columna1337" dataDxfId="31662" totalsRowDxfId="15038"/>
    <tableColumn id="1352" name="Columna1338" dataDxfId="31661" totalsRowDxfId="15037"/>
    <tableColumn id="1353" name="Columna1339" dataDxfId="31660" totalsRowDxfId="15036"/>
    <tableColumn id="1354" name="Columna1340" dataDxfId="31659" totalsRowDxfId="15035"/>
    <tableColumn id="1355" name="Columna1341" dataDxfId="31658" totalsRowDxfId="15034"/>
    <tableColumn id="1356" name="Columna1342" dataDxfId="31657" totalsRowDxfId="15033"/>
    <tableColumn id="1357" name="Columna1343" dataDxfId="31656" totalsRowDxfId="15032"/>
    <tableColumn id="1358" name="Columna1344" dataDxfId="31655" totalsRowDxfId="15031"/>
    <tableColumn id="1359" name="Columna1345" dataDxfId="31654" totalsRowDxfId="15030"/>
    <tableColumn id="1360" name="Columna1346" dataDxfId="31653" totalsRowDxfId="15029"/>
    <tableColumn id="1361" name="Columna1347" dataDxfId="31652" totalsRowDxfId="15028"/>
    <tableColumn id="1362" name="Columna1348" dataDxfId="31651" totalsRowDxfId="15027"/>
    <tableColumn id="1363" name="Columna1349" dataDxfId="31650" totalsRowDxfId="15026"/>
    <tableColumn id="1364" name="Columna1350" dataDxfId="31649" totalsRowDxfId="15025"/>
    <tableColumn id="1365" name="Columna1351" dataDxfId="31648" totalsRowDxfId="15024"/>
    <tableColumn id="1366" name="Columna1352" dataDxfId="31647" totalsRowDxfId="15023"/>
    <tableColumn id="1367" name="Columna1353" dataDxfId="31646" totalsRowDxfId="15022"/>
    <tableColumn id="1368" name="Columna1354" dataDxfId="31645" totalsRowDxfId="15021"/>
    <tableColumn id="1369" name="Columna1355" dataDxfId="31644" totalsRowDxfId="15020"/>
    <tableColumn id="1370" name="Columna1356" dataDxfId="31643" totalsRowDxfId="15019"/>
    <tableColumn id="1371" name="Columna1357" dataDxfId="31642" totalsRowDxfId="15018"/>
    <tableColumn id="1372" name="Columna1358" dataDxfId="31641" totalsRowDxfId="15017"/>
    <tableColumn id="1373" name="Columna1359" dataDxfId="31640" totalsRowDxfId="15016"/>
    <tableColumn id="1374" name="Columna1360" dataDxfId="31639" totalsRowDxfId="15015"/>
    <tableColumn id="1375" name="Columna1361" dataDxfId="31638" totalsRowDxfId="15014"/>
    <tableColumn id="1376" name="Columna1362" dataDxfId="31637" totalsRowDxfId="15013"/>
    <tableColumn id="1377" name="Columna1363" dataDxfId="31636" totalsRowDxfId="15012"/>
    <tableColumn id="1378" name="Columna1364" dataDxfId="31635" totalsRowDxfId="15011"/>
    <tableColumn id="1379" name="Columna1365" dataDxfId="31634" totalsRowDxfId="15010"/>
    <tableColumn id="1380" name="Columna1366" dataDxfId="31633" totalsRowDxfId="15009"/>
    <tableColumn id="1381" name="Columna1367" dataDxfId="31632" totalsRowDxfId="15008"/>
    <tableColumn id="1382" name="Columna1368" dataDxfId="31631" totalsRowDxfId="15007"/>
    <tableColumn id="1383" name="Columna1369" dataDxfId="31630" totalsRowDxfId="15006"/>
    <tableColumn id="1384" name="Columna1370" dataDxfId="31629" totalsRowDxfId="15005"/>
    <tableColumn id="1385" name="Columna1371" dataDxfId="31628" totalsRowDxfId="15004"/>
    <tableColumn id="1386" name="Columna1372" dataDxfId="31627" totalsRowDxfId="15003"/>
    <tableColumn id="1387" name="Columna1373" dataDxfId="31626" totalsRowDxfId="15002"/>
    <tableColumn id="1388" name="Columna1374" dataDxfId="31625" totalsRowDxfId="15001"/>
    <tableColumn id="1389" name="Columna1375" dataDxfId="31624" totalsRowDxfId="15000"/>
    <tableColumn id="1390" name="Columna1376" dataDxfId="31623" totalsRowDxfId="14999"/>
    <tableColumn id="1391" name="Columna1377" dataDxfId="31622" totalsRowDxfId="14998"/>
    <tableColumn id="1392" name="Columna1378" dataDxfId="31621" totalsRowDxfId="14997"/>
    <tableColumn id="1393" name="Columna1379" dataDxfId="31620" totalsRowDxfId="14996"/>
    <tableColumn id="1394" name="Columna1380" dataDxfId="31619" totalsRowDxfId="14995"/>
    <tableColumn id="1395" name="Columna1381" dataDxfId="31618" totalsRowDxfId="14994"/>
    <tableColumn id="1396" name="Columna1382" dataDxfId="31617" totalsRowDxfId="14993"/>
    <tableColumn id="1397" name="Columna1383" dataDxfId="31616" totalsRowDxfId="14992"/>
    <tableColumn id="1398" name="Columna1384" dataDxfId="31615" totalsRowDxfId="14991"/>
    <tableColumn id="1399" name="Columna1385" dataDxfId="31614" totalsRowDxfId="14990"/>
    <tableColumn id="1400" name="Columna1386" dataDxfId="31613" totalsRowDxfId="14989"/>
    <tableColumn id="1401" name="Columna1387" dataDxfId="31612" totalsRowDxfId="14988"/>
    <tableColumn id="1402" name="Columna1388" dataDxfId="31611" totalsRowDxfId="14987"/>
    <tableColumn id="1403" name="Columna1389" dataDxfId="31610" totalsRowDxfId="14986"/>
    <tableColumn id="1404" name="Columna1390" dataDxfId="31609" totalsRowDxfId="14985"/>
    <tableColumn id="1405" name="Columna1391" dataDxfId="31608" totalsRowDxfId="14984"/>
    <tableColumn id="1406" name="Columna1392" dataDxfId="31607" totalsRowDxfId="14983"/>
    <tableColumn id="1407" name="Columna1393" dataDxfId="31606" totalsRowDxfId="14982"/>
    <tableColumn id="1408" name="Columna1394" dataDxfId="31605" totalsRowDxfId="14981"/>
    <tableColumn id="1409" name="Columna1395" dataDxfId="31604" totalsRowDxfId="14980"/>
    <tableColumn id="1410" name="Columna1396" dataDxfId="31603" totalsRowDxfId="14979"/>
    <tableColumn id="1411" name="Columna1397" dataDxfId="31602" totalsRowDxfId="14978"/>
    <tableColumn id="1412" name="Columna1398" dataDxfId="31601" totalsRowDxfId="14977"/>
    <tableColumn id="1413" name="Columna1399" dataDxfId="31600" totalsRowDxfId="14976"/>
    <tableColumn id="1414" name="Columna1400" dataDxfId="31599" totalsRowDxfId="14975"/>
    <tableColumn id="1415" name="Columna1401" dataDxfId="31598" totalsRowDxfId="14974"/>
    <tableColumn id="1416" name="Columna1402" dataDxfId="31597" totalsRowDxfId="14973"/>
    <tableColumn id="1417" name="Columna1403" dataDxfId="31596" totalsRowDxfId="14972"/>
    <tableColumn id="1418" name="Columna1404" dataDxfId="31595" totalsRowDxfId="14971"/>
    <tableColumn id="1419" name="Columna1405" dataDxfId="31594" totalsRowDxfId="14970"/>
    <tableColumn id="1420" name="Columna1406" dataDxfId="31593" totalsRowDxfId="14969"/>
    <tableColumn id="1421" name="Columna1407" dataDxfId="31592" totalsRowDxfId="14968"/>
    <tableColumn id="1422" name="Columna1408" dataDxfId="31591" totalsRowDxfId="14967"/>
    <tableColumn id="1423" name="Columna1409" dataDxfId="31590" totalsRowDxfId="14966"/>
    <tableColumn id="1424" name="Columna1410" dataDxfId="31589" totalsRowDxfId="14965"/>
    <tableColumn id="1425" name="Columna1411" dataDxfId="31588" totalsRowDxfId="14964"/>
    <tableColumn id="1426" name="Columna1412" dataDxfId="31587" totalsRowDxfId="14963"/>
    <tableColumn id="1427" name="Columna1413" dataDxfId="31586" totalsRowDxfId="14962"/>
    <tableColumn id="1428" name="Columna1414" dataDxfId="31585" totalsRowDxfId="14961"/>
    <tableColumn id="1429" name="Columna1415" dataDxfId="31584" totalsRowDxfId="14960"/>
    <tableColumn id="1430" name="Columna1416" dataDxfId="31583" totalsRowDxfId="14959"/>
    <tableColumn id="1431" name="Columna1417" dataDxfId="31582" totalsRowDxfId="14958"/>
    <tableColumn id="1432" name="Columna1418" dataDxfId="31581" totalsRowDxfId="14957"/>
    <tableColumn id="1433" name="Columna1419" dataDxfId="31580" totalsRowDxfId="14956"/>
    <tableColumn id="1434" name="Columna1420" dataDxfId="31579" totalsRowDxfId="14955"/>
    <tableColumn id="1435" name="Columna1421" dataDxfId="31578" totalsRowDxfId="14954"/>
    <tableColumn id="1436" name="Columna1422" dataDxfId="31577" totalsRowDxfId="14953"/>
    <tableColumn id="1437" name="Columna1423" dataDxfId="31576" totalsRowDxfId="14952"/>
    <tableColumn id="1438" name="Columna1424" dataDxfId="31575" totalsRowDxfId="14951"/>
    <tableColumn id="1439" name="Columna1425" dataDxfId="31574" totalsRowDxfId="14950"/>
    <tableColumn id="1440" name="Columna1426" dataDxfId="31573" totalsRowDxfId="14949"/>
    <tableColumn id="1441" name="Columna1427" dataDxfId="31572" totalsRowDxfId="14948"/>
    <tableColumn id="1442" name="Columna1428" dataDxfId="31571" totalsRowDxfId="14947"/>
    <tableColumn id="1443" name="Columna1429" dataDxfId="31570" totalsRowDxfId="14946"/>
    <tableColumn id="1444" name="Columna1430" dataDxfId="31569" totalsRowDxfId="14945"/>
    <tableColumn id="1445" name="Columna1431" dataDxfId="31568" totalsRowDxfId="14944"/>
    <tableColumn id="1446" name="Columna1432" dataDxfId="31567" totalsRowDxfId="14943"/>
    <tableColumn id="1447" name="Columna1433" dataDxfId="31566" totalsRowDxfId="14942"/>
    <tableColumn id="1448" name="Columna1434" dataDxfId="31565" totalsRowDxfId="14941"/>
    <tableColumn id="1449" name="Columna1435" dataDxfId="31564" totalsRowDxfId="14940"/>
    <tableColumn id="1450" name="Columna1436" dataDxfId="31563" totalsRowDxfId="14939"/>
    <tableColumn id="1451" name="Columna1437" dataDxfId="31562" totalsRowDxfId="14938"/>
    <tableColumn id="1452" name="Columna1438" dataDxfId="31561" totalsRowDxfId="14937"/>
    <tableColumn id="1453" name="Columna1439" dataDxfId="31560" totalsRowDxfId="14936"/>
    <tableColumn id="1454" name="Columna1440" dataDxfId="31559" totalsRowDxfId="14935"/>
    <tableColumn id="1455" name="Columna1441" dataDxfId="31558" totalsRowDxfId="14934"/>
    <tableColumn id="1456" name="Columna1442" dataDxfId="31557" totalsRowDxfId="14933"/>
    <tableColumn id="1457" name="Columna1443" dataDxfId="31556" totalsRowDxfId="14932"/>
    <tableColumn id="1458" name="Columna1444" dataDxfId="31555" totalsRowDxfId="14931"/>
    <tableColumn id="1459" name="Columna1445" dataDxfId="31554" totalsRowDxfId="14930"/>
    <tableColumn id="1460" name="Columna1446" dataDxfId="31553" totalsRowDxfId="14929"/>
    <tableColumn id="1461" name="Columna1447" dataDxfId="31552" totalsRowDxfId="14928"/>
    <tableColumn id="1462" name="Columna1448" dataDxfId="31551" totalsRowDxfId="14927"/>
    <tableColumn id="1463" name="Columna1449" dataDxfId="31550" totalsRowDxfId="14926"/>
    <tableColumn id="1464" name="Columna1450" dataDxfId="31549" totalsRowDxfId="14925"/>
    <tableColumn id="1465" name="Columna1451" dataDxfId="31548" totalsRowDxfId="14924"/>
    <tableColumn id="1466" name="Columna1452" dataDxfId="31547" totalsRowDxfId="14923"/>
    <tableColumn id="1467" name="Columna1453" dataDxfId="31546" totalsRowDxfId="14922"/>
    <tableColumn id="1468" name="Columna1454" dataDxfId="31545" totalsRowDxfId="14921"/>
    <tableColumn id="1469" name="Columna1455" dataDxfId="31544" totalsRowDxfId="14920"/>
    <tableColumn id="1470" name="Columna1456" dataDxfId="31543" totalsRowDxfId="14919"/>
    <tableColumn id="1471" name="Columna1457" dataDxfId="31542" totalsRowDxfId="14918"/>
    <tableColumn id="1472" name="Columna1458" dataDxfId="31541" totalsRowDxfId="14917"/>
    <tableColumn id="1473" name="Columna1459" dataDxfId="31540" totalsRowDxfId="14916"/>
    <tableColumn id="1474" name="Columna1460" dataDxfId="31539" totalsRowDxfId="14915"/>
    <tableColumn id="1475" name="Columna1461" dataDxfId="31538" totalsRowDxfId="14914"/>
    <tableColumn id="1476" name="Columna1462" dataDxfId="31537" totalsRowDxfId="14913"/>
    <tableColumn id="1477" name="Columna1463" dataDxfId="31536" totalsRowDxfId="14912"/>
    <tableColumn id="1478" name="Columna1464" dataDxfId="31535" totalsRowDxfId="14911"/>
    <tableColumn id="1479" name="Columna1465" dataDxfId="31534" totalsRowDxfId="14910"/>
    <tableColumn id="1480" name="Columna1466" dataDxfId="31533" totalsRowDxfId="14909"/>
    <tableColumn id="1481" name="Columna1467" dataDxfId="31532" totalsRowDxfId="14908"/>
    <tableColumn id="1482" name="Columna1468" dataDxfId="31531" totalsRowDxfId="14907"/>
    <tableColumn id="1483" name="Columna1469" dataDxfId="31530" totalsRowDxfId="14906"/>
    <tableColumn id="1484" name="Columna1470" dataDxfId="31529" totalsRowDxfId="14905"/>
    <tableColumn id="1485" name="Columna1471" dataDxfId="31528" totalsRowDxfId="14904"/>
    <tableColumn id="1486" name="Columna1472" dataDxfId="31527" totalsRowDxfId="14903"/>
    <tableColumn id="1487" name="Columna1473" dataDxfId="31526" totalsRowDxfId="14902"/>
    <tableColumn id="1488" name="Columna1474" dataDxfId="31525" totalsRowDxfId="14901"/>
    <tableColumn id="1489" name="Columna1475" dataDxfId="31524" totalsRowDxfId="14900"/>
    <tableColumn id="1490" name="Columna1476" dataDxfId="31523" totalsRowDxfId="14899"/>
    <tableColumn id="1491" name="Columna1477" dataDxfId="31522" totalsRowDxfId="14898"/>
    <tableColumn id="1492" name="Columna1478" dataDxfId="31521" totalsRowDxfId="14897"/>
    <tableColumn id="1493" name="Columna1479" dataDxfId="31520" totalsRowDxfId="14896"/>
    <tableColumn id="1494" name="Columna1480" dataDxfId="31519" totalsRowDxfId="14895"/>
    <tableColumn id="1495" name="Columna1481" dataDxfId="31518" totalsRowDxfId="14894"/>
    <tableColumn id="1496" name="Columna1482" dataDxfId="31517" totalsRowDxfId="14893"/>
    <tableColumn id="1497" name="Columna1483" dataDxfId="31516" totalsRowDxfId="14892"/>
    <tableColumn id="1498" name="Columna1484" dataDxfId="31515" totalsRowDxfId="14891"/>
    <tableColumn id="1499" name="Columna1485" dataDxfId="31514" totalsRowDxfId="14890"/>
    <tableColumn id="1500" name="Columna1486" dataDxfId="31513" totalsRowDxfId="14889"/>
    <tableColumn id="1501" name="Columna1487" dataDxfId="31512" totalsRowDxfId="14888"/>
    <tableColumn id="1502" name="Columna1488" dataDxfId="31511" totalsRowDxfId="14887"/>
    <tableColumn id="1503" name="Columna1489" dataDxfId="31510" totalsRowDxfId="14886"/>
    <tableColumn id="1504" name="Columna1490" dataDxfId="31509" totalsRowDxfId="14885"/>
    <tableColumn id="1505" name="Columna1491" dataDxfId="31508" totalsRowDxfId="14884"/>
    <tableColumn id="1506" name="Columna1492" dataDxfId="31507" totalsRowDxfId="14883"/>
    <tableColumn id="1507" name="Columna1493" dataDxfId="31506" totalsRowDxfId="14882"/>
    <tableColumn id="1508" name="Columna1494" dataDxfId="31505" totalsRowDxfId="14881"/>
    <tableColumn id="1509" name="Columna1495" dataDxfId="31504" totalsRowDxfId="14880"/>
    <tableColumn id="1510" name="Columna1496" dataDxfId="31503" totalsRowDxfId="14879"/>
    <tableColumn id="1511" name="Columna1497" dataDxfId="31502" totalsRowDxfId="14878"/>
    <tableColumn id="1512" name="Columna1498" dataDxfId="31501" totalsRowDxfId="14877"/>
    <tableColumn id="1513" name="Columna1499" dataDxfId="31500" totalsRowDxfId="14876"/>
    <tableColumn id="1514" name="Columna1500" dataDxfId="31499" totalsRowDxfId="14875"/>
    <tableColumn id="1515" name="Columna1501" dataDxfId="31498" totalsRowDxfId="14874"/>
    <tableColumn id="1516" name="Columna1502" dataDxfId="31497" totalsRowDxfId="14873"/>
    <tableColumn id="1517" name="Columna1503" dataDxfId="31496" totalsRowDxfId="14872"/>
    <tableColumn id="1518" name="Columna1504" dataDxfId="31495" totalsRowDxfId="14871"/>
    <tableColumn id="1519" name="Columna1505" dataDxfId="31494" totalsRowDxfId="14870"/>
    <tableColumn id="1520" name="Columna1506" dataDxfId="31493" totalsRowDxfId="14869"/>
    <tableColumn id="1521" name="Columna1507" dataDxfId="31492" totalsRowDxfId="14868"/>
    <tableColumn id="1522" name="Columna1508" dataDxfId="31491" totalsRowDxfId="14867"/>
    <tableColumn id="1523" name="Columna1509" dataDxfId="31490" totalsRowDxfId="14866"/>
    <tableColumn id="1524" name="Columna1510" dataDxfId="31489" totalsRowDxfId="14865"/>
    <tableColumn id="1525" name="Columna1511" dataDxfId="31488" totalsRowDxfId="14864"/>
    <tableColumn id="1526" name="Columna1512" dataDxfId="31487" totalsRowDxfId="14863"/>
    <tableColumn id="1527" name="Columna1513" dataDxfId="31486" totalsRowDxfId="14862"/>
    <tableColumn id="1528" name="Columna1514" dataDxfId="31485" totalsRowDxfId="14861"/>
    <tableColumn id="1529" name="Columna1515" dataDxfId="31484" totalsRowDxfId="14860"/>
    <tableColumn id="1530" name="Columna1516" dataDxfId="31483" totalsRowDxfId="14859"/>
    <tableColumn id="1531" name="Columna1517" dataDxfId="31482" totalsRowDxfId="14858"/>
    <tableColumn id="1532" name="Columna1518" dataDxfId="31481" totalsRowDxfId="14857"/>
    <tableColumn id="1533" name="Columna1519" dataDxfId="31480" totalsRowDxfId="14856"/>
    <tableColumn id="1534" name="Columna1520" dataDxfId="31479" totalsRowDxfId="14855"/>
    <tableColumn id="1535" name="Columna1521" dataDxfId="31478" totalsRowDxfId="14854"/>
    <tableColumn id="1536" name="Columna1522" dataDxfId="31477" totalsRowDxfId="14853"/>
    <tableColumn id="1537" name="Columna1523" dataDxfId="31476" totalsRowDxfId="14852"/>
    <tableColumn id="1538" name="Columna1524" dataDxfId="31475" totalsRowDxfId="14851"/>
    <tableColumn id="1539" name="Columna1525" dataDxfId="31474" totalsRowDxfId="14850"/>
    <tableColumn id="1540" name="Columna1526" dataDxfId="31473" totalsRowDxfId="14849"/>
    <tableColumn id="1541" name="Columna1527" dataDxfId="31472" totalsRowDxfId="14848"/>
    <tableColumn id="1542" name="Columna1528" dataDxfId="31471" totalsRowDxfId="14847"/>
    <tableColumn id="1543" name="Columna1529" dataDxfId="31470" totalsRowDxfId="14846"/>
    <tableColumn id="1544" name="Columna1530" dataDxfId="31469" totalsRowDxfId="14845"/>
    <tableColumn id="1545" name="Columna1531" dataDxfId="31468" totalsRowDxfId="14844"/>
    <tableColumn id="1546" name="Columna1532" dataDxfId="31467" totalsRowDxfId="14843"/>
    <tableColumn id="1547" name="Columna1533" dataDxfId="31466" totalsRowDxfId="14842"/>
    <tableColumn id="1548" name="Columna1534" dataDxfId="31465" totalsRowDxfId="14841"/>
    <tableColumn id="1549" name="Columna1535" dataDxfId="31464" totalsRowDxfId="14840"/>
    <tableColumn id="1550" name="Columna1536" dataDxfId="31463" totalsRowDxfId="14839"/>
    <tableColumn id="1551" name="Columna1537" dataDxfId="31462" totalsRowDxfId="14838"/>
    <tableColumn id="1552" name="Columna1538" dataDxfId="31461" totalsRowDxfId="14837"/>
    <tableColumn id="1553" name="Columna1539" dataDxfId="31460" totalsRowDxfId="14836"/>
    <tableColumn id="1554" name="Columna1540" dataDxfId="31459" totalsRowDxfId="14835"/>
    <tableColumn id="1555" name="Columna1541" dataDxfId="31458" totalsRowDxfId="14834"/>
    <tableColumn id="1556" name="Columna1542" dataDxfId="31457" totalsRowDxfId="14833"/>
    <tableColumn id="1557" name="Columna1543" dataDxfId="31456" totalsRowDxfId="14832"/>
    <tableColumn id="1558" name="Columna1544" dataDxfId="31455" totalsRowDxfId="14831"/>
    <tableColumn id="1559" name="Columna1545" dataDxfId="31454" totalsRowDxfId="14830"/>
    <tableColumn id="1560" name="Columna1546" dataDxfId="31453" totalsRowDxfId="14829"/>
    <tableColumn id="1561" name="Columna1547" dataDxfId="31452" totalsRowDxfId="14828"/>
    <tableColumn id="1562" name="Columna1548" dataDxfId="31451" totalsRowDxfId="14827"/>
    <tableColumn id="1563" name="Columna1549" dataDxfId="31450" totalsRowDxfId="14826"/>
    <tableColumn id="1564" name="Columna1550" dataDxfId="31449" totalsRowDxfId="14825"/>
    <tableColumn id="1565" name="Columna1551" dataDxfId="31448" totalsRowDxfId="14824"/>
    <tableColumn id="1566" name="Columna1552" dataDxfId="31447" totalsRowDxfId="14823"/>
    <tableColumn id="1567" name="Columna1553" dataDxfId="31446" totalsRowDxfId="14822"/>
    <tableColumn id="1568" name="Columna1554" dataDxfId="31445" totalsRowDxfId="14821"/>
    <tableColumn id="1569" name="Columna1555" dataDxfId="31444" totalsRowDxfId="14820"/>
    <tableColumn id="1570" name="Columna1556" dataDxfId="31443" totalsRowDxfId="14819"/>
    <tableColumn id="1571" name="Columna1557" dataDxfId="31442" totalsRowDxfId="14818"/>
    <tableColumn id="1572" name="Columna1558" dataDxfId="31441" totalsRowDxfId="14817"/>
    <tableColumn id="1573" name="Columna1559" dataDxfId="31440" totalsRowDxfId="14816"/>
    <tableColumn id="1574" name="Columna1560" dataDxfId="31439" totalsRowDxfId="14815"/>
    <tableColumn id="1575" name="Columna1561" dataDxfId="31438" totalsRowDxfId="14814"/>
    <tableColumn id="1576" name="Columna1562" dataDxfId="31437" totalsRowDxfId="14813"/>
    <tableColumn id="1577" name="Columna1563" dataDxfId="31436" totalsRowDxfId="14812"/>
    <tableColumn id="1578" name="Columna1564" dataDxfId="31435" totalsRowDxfId="14811"/>
    <tableColumn id="1579" name="Columna1565" dataDxfId="31434" totalsRowDxfId="14810"/>
    <tableColumn id="1580" name="Columna1566" dataDxfId="31433" totalsRowDxfId="14809"/>
    <tableColumn id="1581" name="Columna1567" dataDxfId="31432" totalsRowDxfId="14808"/>
    <tableColumn id="1582" name="Columna1568" dataDxfId="31431" totalsRowDxfId="14807"/>
    <tableColumn id="1583" name="Columna1569" dataDxfId="31430" totalsRowDxfId="14806"/>
    <tableColumn id="1584" name="Columna1570" dataDxfId="31429" totalsRowDxfId="14805"/>
    <tableColumn id="1585" name="Columna1571" dataDxfId="31428" totalsRowDxfId="14804"/>
    <tableColumn id="1586" name="Columna1572" dataDxfId="31427" totalsRowDxfId="14803"/>
    <tableColumn id="1587" name="Columna1573" dataDxfId="31426" totalsRowDxfId="14802"/>
    <tableColumn id="1588" name="Columna1574" dataDxfId="31425" totalsRowDxfId="14801"/>
    <tableColumn id="1589" name="Columna1575" dataDxfId="31424" totalsRowDxfId="14800"/>
    <tableColumn id="1590" name="Columna1576" dataDxfId="31423" totalsRowDxfId="14799"/>
    <tableColumn id="1591" name="Columna1577" dataDxfId="31422" totalsRowDxfId="14798"/>
    <tableColumn id="1592" name="Columna1578" dataDxfId="31421" totalsRowDxfId="14797"/>
    <tableColumn id="1593" name="Columna1579" dataDxfId="31420" totalsRowDxfId="14796"/>
    <tableColumn id="1594" name="Columna1580" dataDxfId="31419" totalsRowDxfId="14795"/>
    <tableColumn id="1595" name="Columna1581" dataDxfId="31418" totalsRowDxfId="14794"/>
    <tableColumn id="1596" name="Columna1582" dataDxfId="31417" totalsRowDxfId="14793"/>
    <tableColumn id="1597" name="Columna1583" dataDxfId="31416" totalsRowDxfId="14792"/>
    <tableColumn id="1598" name="Columna1584" dataDxfId="31415" totalsRowDxfId="14791"/>
    <tableColumn id="1599" name="Columna1585" dataDxfId="31414" totalsRowDxfId="14790"/>
    <tableColumn id="1600" name="Columna1586" dataDxfId="31413" totalsRowDxfId="14789"/>
    <tableColumn id="1601" name="Columna1587" dataDxfId="31412" totalsRowDxfId="14788"/>
    <tableColumn id="1602" name="Columna1588" dataDxfId="31411" totalsRowDxfId="14787"/>
    <tableColumn id="1603" name="Columna1589" dataDxfId="31410" totalsRowDxfId="14786"/>
    <tableColumn id="1604" name="Columna1590" dataDxfId="31409" totalsRowDxfId="14785"/>
    <tableColumn id="1605" name="Columna1591" dataDxfId="31408" totalsRowDxfId="14784"/>
    <tableColumn id="1606" name="Columna1592" dataDxfId="31407" totalsRowDxfId="14783"/>
    <tableColumn id="1607" name="Columna1593" dataDxfId="31406" totalsRowDxfId="14782"/>
    <tableColumn id="1608" name="Columna1594" dataDxfId="31405" totalsRowDxfId="14781"/>
    <tableColumn id="1609" name="Columna1595" dataDxfId="31404" totalsRowDxfId="14780"/>
    <tableColumn id="1610" name="Columna1596" dataDxfId="31403" totalsRowDxfId="14779"/>
    <tableColumn id="1611" name="Columna1597" dataDxfId="31402" totalsRowDxfId="14778"/>
    <tableColumn id="1612" name="Columna1598" dataDxfId="31401" totalsRowDxfId="14777"/>
    <tableColumn id="1613" name="Columna1599" dataDxfId="31400" totalsRowDxfId="14776"/>
    <tableColumn id="1614" name="Columna1600" dataDxfId="31399" totalsRowDxfId="14775"/>
    <tableColumn id="1615" name="Columna1601" dataDxfId="31398" totalsRowDxfId="14774"/>
    <tableColumn id="1616" name="Columna1602" dataDxfId="31397" totalsRowDxfId="14773"/>
    <tableColumn id="1617" name="Columna1603" dataDxfId="31396" totalsRowDxfId="14772"/>
    <tableColumn id="1618" name="Columna1604" dataDxfId="31395" totalsRowDxfId="14771"/>
    <tableColumn id="1619" name="Columna1605" dataDxfId="31394" totalsRowDxfId="14770"/>
    <tableColumn id="1620" name="Columna1606" dataDxfId="31393" totalsRowDxfId="14769"/>
    <tableColumn id="1621" name="Columna1607" dataDxfId="31392" totalsRowDxfId="14768"/>
    <tableColumn id="1622" name="Columna1608" dataDxfId="31391" totalsRowDxfId="14767"/>
    <tableColumn id="1623" name="Columna1609" dataDxfId="31390" totalsRowDxfId="14766"/>
    <tableColumn id="1624" name="Columna1610" dataDxfId="31389" totalsRowDxfId="14765"/>
    <tableColumn id="1625" name="Columna1611" dataDxfId="31388" totalsRowDxfId="14764"/>
    <tableColumn id="1626" name="Columna1612" dataDxfId="31387" totalsRowDxfId="14763"/>
    <tableColumn id="1627" name="Columna1613" dataDxfId="31386" totalsRowDxfId="14762"/>
    <tableColumn id="1628" name="Columna1614" dataDxfId="31385" totalsRowDxfId="14761"/>
    <tableColumn id="1629" name="Columna1615" dataDxfId="31384" totalsRowDxfId="14760"/>
    <tableColumn id="1630" name="Columna1616" dataDxfId="31383" totalsRowDxfId="14759"/>
    <tableColumn id="1631" name="Columna1617" dataDxfId="31382" totalsRowDxfId="14758"/>
    <tableColumn id="1632" name="Columna1618" dataDxfId="31381" totalsRowDxfId="14757"/>
    <tableColumn id="1633" name="Columna1619" dataDxfId="31380" totalsRowDxfId="14756"/>
    <tableColumn id="1634" name="Columna1620" dataDxfId="31379" totalsRowDxfId="14755"/>
    <tableColumn id="1635" name="Columna1621" dataDxfId="31378" totalsRowDxfId="14754"/>
    <tableColumn id="1636" name="Columna1622" dataDxfId="31377" totalsRowDxfId="14753"/>
    <tableColumn id="1637" name="Columna1623" dataDxfId="31376" totalsRowDxfId="14752"/>
    <tableColumn id="1638" name="Columna1624" dataDxfId="31375" totalsRowDxfId="14751"/>
    <tableColumn id="1639" name="Columna1625" dataDxfId="31374" totalsRowDxfId="14750"/>
    <tableColumn id="1640" name="Columna1626" dataDxfId="31373" totalsRowDxfId="14749"/>
    <tableColumn id="1641" name="Columna1627" dataDxfId="31372" totalsRowDxfId="14748"/>
    <tableColumn id="1642" name="Columna1628" dataDxfId="31371" totalsRowDxfId="14747"/>
    <tableColumn id="1643" name="Columna1629" dataDxfId="31370" totalsRowDxfId="14746"/>
    <tableColumn id="1644" name="Columna1630" dataDxfId="31369" totalsRowDxfId="14745"/>
    <tableColumn id="1645" name="Columna1631" dataDxfId="31368" totalsRowDxfId="14744"/>
    <tableColumn id="1646" name="Columna1632" dataDxfId="31367" totalsRowDxfId="14743"/>
    <tableColumn id="1647" name="Columna1633" dataDxfId="31366" totalsRowDxfId="14742"/>
    <tableColumn id="1648" name="Columna1634" dataDxfId="31365" totalsRowDxfId="14741"/>
    <tableColumn id="1649" name="Columna1635" dataDxfId="31364" totalsRowDxfId="14740"/>
    <tableColumn id="1650" name="Columna1636" dataDxfId="31363" totalsRowDxfId="14739"/>
    <tableColumn id="1651" name="Columna1637" dataDxfId="31362" totalsRowDxfId="14738"/>
    <tableColumn id="1652" name="Columna1638" dataDxfId="31361" totalsRowDxfId="14737"/>
    <tableColumn id="1653" name="Columna1639" dataDxfId="31360" totalsRowDxfId="14736"/>
    <tableColumn id="1654" name="Columna1640" dataDxfId="31359" totalsRowDxfId="14735"/>
    <tableColumn id="1655" name="Columna1641" dataDxfId="31358" totalsRowDxfId="14734"/>
    <tableColumn id="1656" name="Columna1642" dataDxfId="31357" totalsRowDxfId="14733"/>
    <tableColumn id="1657" name="Columna1643" dataDxfId="31356" totalsRowDxfId="14732"/>
    <tableColumn id="1658" name="Columna1644" dataDxfId="31355" totalsRowDxfId="14731"/>
    <tableColumn id="1659" name="Columna1645" dataDxfId="31354" totalsRowDxfId="14730"/>
    <tableColumn id="1660" name="Columna1646" dataDxfId="31353" totalsRowDxfId="14729"/>
    <tableColumn id="1661" name="Columna1647" dataDxfId="31352" totalsRowDxfId="14728"/>
    <tableColumn id="1662" name="Columna1648" dataDxfId="31351" totalsRowDxfId="14727"/>
    <tableColumn id="1663" name="Columna1649" dataDxfId="31350" totalsRowDxfId="14726"/>
    <tableColumn id="1664" name="Columna1650" dataDxfId="31349" totalsRowDxfId="14725"/>
    <tableColumn id="1665" name="Columna1651" dataDxfId="31348" totalsRowDxfId="14724"/>
    <tableColumn id="1666" name="Columna1652" dataDxfId="31347" totalsRowDxfId="14723"/>
    <tableColumn id="1667" name="Columna1653" dataDxfId="31346" totalsRowDxfId="14722"/>
    <tableColumn id="1668" name="Columna1654" dataDxfId="31345" totalsRowDxfId="14721"/>
    <tableColumn id="1669" name="Columna1655" dataDxfId="31344" totalsRowDxfId="14720"/>
    <tableColumn id="1670" name="Columna1656" dataDxfId="31343" totalsRowDxfId="14719"/>
    <tableColumn id="1671" name="Columna1657" dataDxfId="31342" totalsRowDxfId="14718"/>
    <tableColumn id="1672" name="Columna1658" dataDxfId="31341" totalsRowDxfId="14717"/>
    <tableColumn id="1673" name="Columna1659" dataDxfId="31340" totalsRowDxfId="14716"/>
    <tableColumn id="1674" name="Columna1660" dataDxfId="31339" totalsRowDxfId="14715"/>
    <tableColumn id="1675" name="Columna1661" dataDxfId="31338" totalsRowDxfId="14714"/>
    <tableColumn id="1676" name="Columna1662" dataDxfId="31337" totalsRowDxfId="14713"/>
    <tableColumn id="1677" name="Columna1663" dataDxfId="31336" totalsRowDxfId="14712"/>
    <tableColumn id="1678" name="Columna1664" dataDxfId="31335" totalsRowDxfId="14711"/>
    <tableColumn id="1679" name="Columna1665" dataDxfId="31334" totalsRowDxfId="14710"/>
    <tableColumn id="1680" name="Columna1666" dataDxfId="31333" totalsRowDxfId="14709"/>
    <tableColumn id="1681" name="Columna1667" dataDxfId="31332" totalsRowDxfId="14708"/>
    <tableColumn id="1682" name="Columna1668" dataDxfId="31331" totalsRowDxfId="14707"/>
    <tableColumn id="1683" name="Columna1669" dataDxfId="31330" totalsRowDxfId="14706"/>
    <tableColumn id="1684" name="Columna1670" dataDxfId="31329" totalsRowDxfId="14705"/>
    <tableColumn id="1685" name="Columna1671" dataDxfId="31328" totalsRowDxfId="14704"/>
    <tableColumn id="1686" name="Columna1672" dataDxfId="31327" totalsRowDxfId="14703"/>
    <tableColumn id="1687" name="Columna1673" dataDxfId="31326" totalsRowDxfId="14702"/>
    <tableColumn id="1688" name="Columna1674" dataDxfId="31325" totalsRowDxfId="14701"/>
    <tableColumn id="1689" name="Columna1675" dataDxfId="31324" totalsRowDxfId="14700"/>
    <tableColumn id="1690" name="Columna1676" dataDxfId="31323" totalsRowDxfId="14699"/>
    <tableColumn id="1691" name="Columna1677" dataDxfId="31322" totalsRowDxfId="14698"/>
    <tableColumn id="1692" name="Columna1678" dataDxfId="31321" totalsRowDxfId="14697"/>
    <tableColumn id="1693" name="Columna1679" dataDxfId="31320" totalsRowDxfId="14696"/>
    <tableColumn id="1694" name="Columna1680" dataDxfId="31319" totalsRowDxfId="14695"/>
    <tableColumn id="1695" name="Columna1681" dataDxfId="31318" totalsRowDxfId="14694"/>
    <tableColumn id="1696" name="Columna1682" dataDxfId="31317" totalsRowDxfId="14693"/>
    <tableColumn id="1697" name="Columna1683" dataDxfId="31316" totalsRowDxfId="14692"/>
    <tableColumn id="1698" name="Columna1684" dataDxfId="31315" totalsRowDxfId="14691"/>
    <tableColumn id="1699" name="Columna1685" dataDxfId="31314" totalsRowDxfId="14690"/>
    <tableColumn id="1700" name="Columna1686" dataDxfId="31313" totalsRowDxfId="14689"/>
    <tableColumn id="1701" name="Columna1687" dataDxfId="31312" totalsRowDxfId="14688"/>
    <tableColumn id="1702" name="Columna1688" dataDxfId="31311" totalsRowDxfId="14687"/>
    <tableColumn id="1703" name="Columna1689" dataDxfId="31310" totalsRowDxfId="14686"/>
    <tableColumn id="1704" name="Columna1690" dataDxfId="31309" totalsRowDxfId="14685"/>
    <tableColumn id="1705" name="Columna1691" dataDxfId="31308" totalsRowDxfId="14684"/>
    <tableColumn id="1706" name="Columna1692" dataDxfId="31307" totalsRowDxfId="14683"/>
    <tableColumn id="1707" name="Columna1693" dataDxfId="31306" totalsRowDxfId="14682"/>
    <tableColumn id="1708" name="Columna1694" dataDxfId="31305" totalsRowDxfId="14681"/>
    <tableColumn id="1709" name="Columna1695" dataDxfId="31304" totalsRowDxfId="14680"/>
    <tableColumn id="1710" name="Columna1696" dataDxfId="31303" totalsRowDxfId="14679"/>
    <tableColumn id="1711" name="Columna1697" dataDxfId="31302" totalsRowDxfId="14678"/>
    <tableColumn id="1712" name="Columna1698" dataDxfId="31301" totalsRowDxfId="14677"/>
    <tableColumn id="1713" name="Columna1699" dataDxfId="31300" totalsRowDxfId="14676"/>
    <tableColumn id="1714" name="Columna1700" dataDxfId="31299" totalsRowDxfId="14675"/>
    <tableColumn id="1715" name="Columna1701" dataDxfId="31298" totalsRowDxfId="14674"/>
    <tableColumn id="1716" name="Columna1702" dataDxfId="31297" totalsRowDxfId="14673"/>
    <tableColumn id="1717" name="Columna1703" dataDxfId="31296" totalsRowDxfId="14672"/>
    <tableColumn id="1718" name="Columna1704" dataDxfId="31295" totalsRowDxfId="14671"/>
    <tableColumn id="1719" name="Columna1705" dataDxfId="31294" totalsRowDxfId="14670"/>
    <tableColumn id="1720" name="Columna1706" dataDxfId="31293" totalsRowDxfId="14669"/>
    <tableColumn id="1721" name="Columna1707" dataDxfId="31292" totalsRowDxfId="14668"/>
    <tableColumn id="1722" name="Columna1708" dataDxfId="31291" totalsRowDxfId="14667"/>
    <tableColumn id="1723" name="Columna1709" dataDxfId="31290" totalsRowDxfId="14666"/>
    <tableColumn id="1724" name="Columna1710" dataDxfId="31289" totalsRowDxfId="14665"/>
    <tableColumn id="1725" name="Columna1711" dataDxfId="31288" totalsRowDxfId="14664"/>
    <tableColumn id="1726" name="Columna1712" dataDxfId="31287" totalsRowDxfId="14663"/>
    <tableColumn id="1727" name="Columna1713" dataDxfId="31286" totalsRowDxfId="14662"/>
    <tableColumn id="1728" name="Columna1714" dataDxfId="31285" totalsRowDxfId="14661"/>
    <tableColumn id="1729" name="Columna1715" dataDxfId="31284" totalsRowDxfId="14660"/>
    <tableColumn id="1730" name="Columna1716" dataDxfId="31283" totalsRowDxfId="14659"/>
    <tableColumn id="1731" name="Columna1717" dataDxfId="31282" totalsRowDxfId="14658"/>
    <tableColumn id="1732" name="Columna1718" dataDxfId="31281" totalsRowDxfId="14657"/>
    <tableColumn id="1733" name="Columna1719" dataDxfId="31280" totalsRowDxfId="14656"/>
    <tableColumn id="1734" name="Columna1720" dataDxfId="31279" totalsRowDxfId="14655"/>
    <tableColumn id="1735" name="Columna1721" dataDxfId="31278" totalsRowDxfId="14654"/>
    <tableColumn id="1736" name="Columna1722" dataDxfId="31277" totalsRowDxfId="14653"/>
    <tableColumn id="1737" name="Columna1723" dataDxfId="31276" totalsRowDxfId="14652"/>
    <tableColumn id="1738" name="Columna1724" dataDxfId="31275" totalsRowDxfId="14651"/>
    <tableColumn id="1739" name="Columna1725" dataDxfId="31274" totalsRowDxfId="14650"/>
    <tableColumn id="1740" name="Columna1726" dataDxfId="31273" totalsRowDxfId="14649"/>
    <tableColumn id="1741" name="Columna1727" dataDxfId="31272" totalsRowDxfId="14648"/>
    <tableColumn id="1742" name="Columna1728" dataDxfId="31271" totalsRowDxfId="14647"/>
    <tableColumn id="1743" name="Columna1729" dataDxfId="31270" totalsRowDxfId="14646"/>
    <tableColumn id="1744" name="Columna1730" dataDxfId="31269" totalsRowDxfId="14645"/>
    <tableColumn id="1745" name="Columna1731" dataDxfId="31268" totalsRowDxfId="14644"/>
    <tableColumn id="1746" name="Columna1732" dataDxfId="31267" totalsRowDxfId="14643"/>
    <tableColumn id="1747" name="Columna1733" dataDxfId="31266" totalsRowDxfId="14642"/>
    <tableColumn id="1748" name="Columna1734" dataDxfId="31265" totalsRowDxfId="14641"/>
    <tableColumn id="1749" name="Columna1735" dataDxfId="31264" totalsRowDxfId="14640"/>
    <tableColumn id="1750" name="Columna1736" dataDxfId="31263" totalsRowDxfId="14639"/>
    <tableColumn id="1751" name="Columna1737" dataDxfId="31262" totalsRowDxfId="14638"/>
    <tableColumn id="1752" name="Columna1738" dataDxfId="31261" totalsRowDxfId="14637"/>
    <tableColumn id="1753" name="Columna1739" dataDxfId="31260" totalsRowDxfId="14636"/>
    <tableColumn id="1754" name="Columna1740" dataDxfId="31259" totalsRowDxfId="14635"/>
    <tableColumn id="1755" name="Columna1741" dataDxfId="31258" totalsRowDxfId="14634"/>
    <tableColumn id="1756" name="Columna1742" dataDxfId="31257" totalsRowDxfId="14633"/>
    <tableColumn id="1757" name="Columna1743" dataDxfId="31256" totalsRowDxfId="14632"/>
    <tableColumn id="1758" name="Columna1744" dataDxfId="31255" totalsRowDxfId="14631"/>
    <tableColumn id="1759" name="Columna1745" dataDxfId="31254" totalsRowDxfId="14630"/>
    <tableColumn id="1760" name="Columna1746" dataDxfId="31253" totalsRowDxfId="14629"/>
    <tableColumn id="1761" name="Columna1747" dataDxfId="31252" totalsRowDxfId="14628"/>
    <tableColumn id="1762" name="Columna1748" dataDxfId="31251" totalsRowDxfId="14627"/>
    <tableColumn id="1763" name="Columna1749" dataDxfId="31250" totalsRowDxfId="14626"/>
    <tableColumn id="1764" name="Columna1750" dataDxfId="31249" totalsRowDxfId="14625"/>
    <tableColumn id="1765" name="Columna1751" dataDxfId="31248" totalsRowDxfId="14624"/>
    <tableColumn id="1766" name="Columna1752" dataDxfId="31247" totalsRowDxfId="14623"/>
    <tableColumn id="1767" name="Columna1753" dataDxfId="31246" totalsRowDxfId="14622"/>
    <tableColumn id="1768" name="Columna1754" dataDxfId="31245" totalsRowDxfId="14621"/>
    <tableColumn id="1769" name="Columna1755" dataDxfId="31244" totalsRowDxfId="14620"/>
    <tableColumn id="1770" name="Columna1756" dataDxfId="31243" totalsRowDxfId="14619"/>
    <tableColumn id="1771" name="Columna1757" dataDxfId="31242" totalsRowDxfId="14618"/>
    <tableColumn id="1772" name="Columna1758" dataDxfId="31241" totalsRowDxfId="14617"/>
    <tableColumn id="1773" name="Columna1759" dataDxfId="31240" totalsRowDxfId="14616"/>
    <tableColumn id="1774" name="Columna1760" dataDxfId="31239" totalsRowDxfId="14615"/>
    <tableColumn id="1775" name="Columna1761" dataDxfId="31238" totalsRowDxfId="14614"/>
    <tableColumn id="1776" name="Columna1762" dataDxfId="31237" totalsRowDxfId="14613"/>
    <tableColumn id="1777" name="Columna1763" dataDxfId="31236" totalsRowDxfId="14612"/>
    <tableColumn id="1778" name="Columna1764" dataDxfId="31235" totalsRowDxfId="14611"/>
    <tableColumn id="1779" name="Columna1765" dataDxfId="31234" totalsRowDxfId="14610"/>
    <tableColumn id="1780" name="Columna1766" dataDxfId="31233" totalsRowDxfId="14609"/>
    <tableColumn id="1781" name="Columna1767" dataDxfId="31232" totalsRowDxfId="14608"/>
    <tableColumn id="1782" name="Columna1768" dataDxfId="31231" totalsRowDxfId="14607"/>
    <tableColumn id="1783" name="Columna1769" dataDxfId="31230" totalsRowDxfId="14606"/>
    <tableColumn id="1784" name="Columna1770" dataDxfId="31229" totalsRowDxfId="14605"/>
    <tableColumn id="1785" name="Columna1771" dataDxfId="31228" totalsRowDxfId="14604"/>
    <tableColumn id="1786" name="Columna1772" dataDxfId="31227" totalsRowDxfId="14603"/>
    <tableColumn id="1787" name="Columna1773" dataDxfId="31226" totalsRowDxfId="14602"/>
    <tableColumn id="1788" name="Columna1774" dataDxfId="31225" totalsRowDxfId="14601"/>
    <tableColumn id="1789" name="Columna1775" dataDxfId="31224" totalsRowDxfId="14600"/>
    <tableColumn id="1790" name="Columna1776" dataDxfId="31223" totalsRowDxfId="14599"/>
    <tableColumn id="1791" name="Columna1777" dataDxfId="31222" totalsRowDxfId="14598"/>
    <tableColumn id="1792" name="Columna1778" dataDxfId="31221" totalsRowDxfId="14597"/>
    <tableColumn id="1793" name="Columna1779" dataDxfId="31220" totalsRowDxfId="14596"/>
    <tableColumn id="1794" name="Columna1780" dataDxfId="31219" totalsRowDxfId="14595"/>
    <tableColumn id="1795" name="Columna1781" dataDxfId="31218" totalsRowDxfId="14594"/>
    <tableColumn id="1796" name="Columna1782" dataDxfId="31217" totalsRowDxfId="14593"/>
    <tableColumn id="1797" name="Columna1783" dataDxfId="31216" totalsRowDxfId="14592"/>
    <tableColumn id="1798" name="Columna1784" dataDxfId="31215" totalsRowDxfId="14591"/>
    <tableColumn id="1799" name="Columna1785" dataDxfId="31214" totalsRowDxfId="14590"/>
    <tableColumn id="1800" name="Columna1786" dataDxfId="31213" totalsRowDxfId="14589"/>
    <tableColumn id="1801" name="Columna1787" dataDxfId="31212" totalsRowDxfId="14588"/>
    <tableColumn id="1802" name="Columna1788" dataDxfId="31211" totalsRowDxfId="14587"/>
    <tableColumn id="1803" name="Columna1789" dataDxfId="31210" totalsRowDxfId="14586"/>
    <tableColumn id="1804" name="Columna1790" dataDxfId="31209" totalsRowDxfId="14585"/>
    <tableColumn id="1805" name="Columna1791" dataDxfId="31208" totalsRowDxfId="14584"/>
    <tableColumn id="1806" name="Columna1792" dataDxfId="31207" totalsRowDxfId="14583"/>
    <tableColumn id="1807" name="Columna1793" dataDxfId="31206" totalsRowDxfId="14582"/>
    <tableColumn id="1808" name="Columna1794" dataDxfId="31205" totalsRowDxfId="14581"/>
    <tableColumn id="1809" name="Columna1795" dataDxfId="31204" totalsRowDxfId="14580"/>
    <tableColumn id="1810" name="Columna1796" dataDxfId="31203" totalsRowDxfId="14579"/>
    <tableColumn id="1811" name="Columna1797" dataDxfId="31202" totalsRowDxfId="14578"/>
    <tableColumn id="1812" name="Columna1798" dataDxfId="31201" totalsRowDxfId="14577"/>
    <tableColumn id="1813" name="Columna1799" dataDxfId="31200" totalsRowDxfId="14576"/>
    <tableColumn id="1814" name="Columna1800" dataDxfId="31199" totalsRowDxfId="14575"/>
    <tableColumn id="1815" name="Columna1801" dataDxfId="31198" totalsRowDxfId="14574"/>
    <tableColumn id="1816" name="Columna1802" dataDxfId="31197" totalsRowDxfId="14573"/>
    <tableColumn id="1817" name="Columna1803" dataDxfId="31196" totalsRowDxfId="14572"/>
    <tableColumn id="1818" name="Columna1804" dataDxfId="31195" totalsRowDxfId="14571"/>
    <tableColumn id="1819" name="Columna1805" dataDxfId="31194" totalsRowDxfId="14570"/>
    <tableColumn id="1820" name="Columna1806" dataDxfId="31193" totalsRowDxfId="14569"/>
    <tableColumn id="1821" name="Columna1807" dataDxfId="31192" totalsRowDxfId="14568"/>
    <tableColumn id="1822" name="Columna1808" dataDxfId="31191" totalsRowDxfId="14567"/>
    <tableColumn id="1823" name="Columna1809" dataDxfId="31190" totalsRowDxfId="14566"/>
    <tableColumn id="1824" name="Columna1810" dataDxfId="31189" totalsRowDxfId="14565"/>
    <tableColumn id="1825" name="Columna1811" dataDxfId="31188" totalsRowDxfId="14564"/>
    <tableColumn id="1826" name="Columna1812" dataDxfId="31187" totalsRowDxfId="14563"/>
    <tableColumn id="1827" name="Columna1813" dataDxfId="31186" totalsRowDxfId="14562"/>
    <tableColumn id="1828" name="Columna1814" dataDxfId="31185" totalsRowDxfId="14561"/>
    <tableColumn id="1829" name="Columna1815" dataDxfId="31184" totalsRowDxfId="14560"/>
    <tableColumn id="1830" name="Columna1816" dataDxfId="31183" totalsRowDxfId="14559"/>
    <tableColumn id="1831" name="Columna1817" dataDxfId="31182" totalsRowDxfId="14558"/>
    <tableColumn id="1832" name="Columna1818" dataDxfId="31181" totalsRowDxfId="14557"/>
    <tableColumn id="1833" name="Columna1819" dataDxfId="31180" totalsRowDxfId="14556"/>
    <tableColumn id="1834" name="Columna1820" dataDxfId="31179" totalsRowDxfId="14555"/>
    <tableColumn id="1835" name="Columna1821" dataDxfId="31178" totalsRowDxfId="14554"/>
    <tableColumn id="1836" name="Columna1822" dataDxfId="31177" totalsRowDxfId="14553"/>
    <tableColumn id="1837" name="Columna1823" dataDxfId="31176" totalsRowDxfId="14552"/>
    <tableColumn id="1838" name="Columna1824" dataDxfId="31175" totalsRowDxfId="14551"/>
    <tableColumn id="1839" name="Columna1825" dataDxfId="31174" totalsRowDxfId="14550"/>
    <tableColumn id="1840" name="Columna1826" dataDxfId="31173" totalsRowDxfId="14549"/>
    <tableColumn id="1841" name="Columna1827" dataDxfId="31172" totalsRowDxfId="14548"/>
    <tableColumn id="1842" name="Columna1828" dataDxfId="31171" totalsRowDxfId="14547"/>
    <tableColumn id="1843" name="Columna1829" dataDxfId="31170" totalsRowDxfId="14546"/>
    <tableColumn id="1844" name="Columna1830" dataDxfId="31169" totalsRowDxfId="14545"/>
    <tableColumn id="1845" name="Columna1831" dataDxfId="31168" totalsRowDxfId="14544"/>
    <tableColumn id="1846" name="Columna1832" dataDxfId="31167" totalsRowDxfId="14543"/>
    <tableColumn id="1847" name="Columna1833" dataDxfId="31166" totalsRowDxfId="14542"/>
    <tableColumn id="1848" name="Columna1834" dataDxfId="31165" totalsRowDxfId="14541"/>
    <tableColumn id="1849" name="Columna1835" dataDxfId="31164" totalsRowDxfId="14540"/>
    <tableColumn id="1850" name="Columna1836" dataDxfId="31163" totalsRowDxfId="14539"/>
    <tableColumn id="1851" name="Columna1837" dataDxfId="31162" totalsRowDxfId="14538"/>
    <tableColumn id="1852" name="Columna1838" dataDxfId="31161" totalsRowDxfId="14537"/>
    <tableColumn id="1853" name="Columna1839" dataDxfId="31160" totalsRowDxfId="14536"/>
    <tableColumn id="1854" name="Columna1840" dataDxfId="31159" totalsRowDxfId="14535"/>
    <tableColumn id="1855" name="Columna1841" dataDxfId="31158" totalsRowDxfId="14534"/>
    <tableColumn id="1856" name="Columna1842" dataDxfId="31157" totalsRowDxfId="14533"/>
    <tableColumn id="1857" name="Columna1843" dataDxfId="31156" totalsRowDxfId="14532"/>
    <tableColumn id="1858" name="Columna1844" dataDxfId="31155" totalsRowDxfId="14531"/>
    <tableColumn id="1859" name="Columna1845" dataDxfId="31154" totalsRowDxfId="14530"/>
    <tableColumn id="1860" name="Columna1846" dataDxfId="31153" totalsRowDxfId="14529"/>
    <tableColumn id="1861" name="Columna1847" dataDxfId="31152" totalsRowDxfId="14528"/>
    <tableColumn id="1862" name="Columna1848" dataDxfId="31151" totalsRowDxfId="14527"/>
    <tableColumn id="1863" name="Columna1849" dataDxfId="31150" totalsRowDxfId="14526"/>
    <tableColumn id="1864" name="Columna1850" dataDxfId="31149" totalsRowDxfId="14525"/>
    <tableColumn id="1865" name="Columna1851" dataDxfId="31148" totalsRowDxfId="14524"/>
    <tableColumn id="1866" name="Columna1852" dataDxfId="31147" totalsRowDxfId="14523"/>
    <tableColumn id="1867" name="Columna1853" dataDxfId="31146" totalsRowDxfId="14522"/>
    <tableColumn id="1868" name="Columna1854" dataDxfId="31145" totalsRowDxfId="14521"/>
    <tableColumn id="1869" name="Columna1855" dataDxfId="31144" totalsRowDxfId="14520"/>
    <tableColumn id="1870" name="Columna1856" dataDxfId="31143" totalsRowDxfId="14519"/>
    <tableColumn id="1871" name="Columna1857" dataDxfId="31142" totalsRowDxfId="14518"/>
    <tableColumn id="1872" name="Columna1858" dataDxfId="31141" totalsRowDxfId="14517"/>
    <tableColumn id="1873" name="Columna1859" dataDxfId="31140" totalsRowDxfId="14516"/>
    <tableColumn id="1874" name="Columna1860" dataDxfId="31139" totalsRowDxfId="14515"/>
    <tableColumn id="1875" name="Columna1861" dataDxfId="31138" totalsRowDxfId="14514"/>
    <tableColumn id="1876" name="Columna1862" dataDxfId="31137" totalsRowDxfId="14513"/>
    <tableColumn id="1877" name="Columna1863" dataDxfId="31136" totalsRowDxfId="14512"/>
    <tableColumn id="1878" name="Columna1864" dataDxfId="31135" totalsRowDxfId="14511"/>
    <tableColumn id="1879" name="Columna1865" dataDxfId="31134" totalsRowDxfId="14510"/>
    <tableColumn id="1880" name="Columna1866" dataDxfId="31133" totalsRowDxfId="14509"/>
    <tableColumn id="1881" name="Columna1867" dataDxfId="31132" totalsRowDxfId="14508"/>
    <tableColumn id="1882" name="Columna1868" dataDxfId="31131" totalsRowDxfId="14507"/>
    <tableColumn id="1883" name="Columna1869" dataDxfId="31130" totalsRowDxfId="14506"/>
    <tableColumn id="1884" name="Columna1870" dataDxfId="31129" totalsRowDxfId="14505"/>
    <tableColumn id="1885" name="Columna1871" dataDxfId="31128" totalsRowDxfId="14504"/>
    <tableColumn id="1886" name="Columna1872" dataDxfId="31127" totalsRowDxfId="14503"/>
    <tableColumn id="1887" name="Columna1873" dataDxfId="31126" totalsRowDxfId="14502"/>
    <tableColumn id="1888" name="Columna1874" dataDxfId="31125" totalsRowDxfId="14501"/>
    <tableColumn id="1889" name="Columna1875" dataDxfId="31124" totalsRowDxfId="14500"/>
    <tableColumn id="1890" name="Columna1876" dataDxfId="31123" totalsRowDxfId="14499"/>
    <tableColumn id="1891" name="Columna1877" dataDxfId="31122" totalsRowDxfId="14498"/>
    <tableColumn id="1892" name="Columna1878" dataDxfId="31121" totalsRowDxfId="14497"/>
    <tableColumn id="1893" name="Columna1879" dataDxfId="31120" totalsRowDxfId="14496"/>
    <tableColumn id="1894" name="Columna1880" dataDxfId="31119" totalsRowDxfId="14495"/>
    <tableColumn id="1895" name="Columna1881" dataDxfId="31118" totalsRowDxfId="14494"/>
    <tableColumn id="1896" name="Columna1882" dataDxfId="31117" totalsRowDxfId="14493"/>
    <tableColumn id="1897" name="Columna1883" dataDxfId="31116" totalsRowDxfId="14492"/>
    <tableColumn id="1898" name="Columna1884" dataDxfId="31115" totalsRowDxfId="14491"/>
    <tableColumn id="1899" name="Columna1885" dataDxfId="31114" totalsRowDxfId="14490"/>
    <tableColumn id="1900" name="Columna1886" dataDxfId="31113" totalsRowDxfId="14489"/>
    <tableColumn id="1901" name="Columna1887" dataDxfId="31112" totalsRowDxfId="14488"/>
    <tableColumn id="1902" name="Columna1888" dataDxfId="31111" totalsRowDxfId="14487"/>
    <tableColumn id="1903" name="Columna1889" dataDxfId="31110" totalsRowDxfId="14486"/>
    <tableColumn id="1904" name="Columna1890" dataDxfId="31109" totalsRowDxfId="14485"/>
    <tableColumn id="1905" name="Columna1891" dataDxfId="31108" totalsRowDxfId="14484"/>
    <tableColumn id="1906" name="Columna1892" dataDxfId="31107" totalsRowDxfId="14483"/>
    <tableColumn id="1907" name="Columna1893" dataDxfId="31106" totalsRowDxfId="14482"/>
    <tableColumn id="1908" name="Columna1894" dataDxfId="31105" totalsRowDxfId="14481"/>
    <tableColumn id="1909" name="Columna1895" dataDxfId="31104" totalsRowDxfId="14480"/>
    <tableColumn id="1910" name="Columna1896" dataDxfId="31103" totalsRowDxfId="14479"/>
    <tableColumn id="1911" name="Columna1897" dataDxfId="31102" totalsRowDxfId="14478"/>
    <tableColumn id="1912" name="Columna1898" dataDxfId="31101" totalsRowDxfId="14477"/>
    <tableColumn id="1913" name="Columna1899" dataDxfId="31100" totalsRowDxfId="14476"/>
    <tableColumn id="1914" name="Columna1900" dataDxfId="31099" totalsRowDxfId="14475"/>
    <tableColumn id="1915" name="Columna1901" dataDxfId="31098" totalsRowDxfId="14474"/>
    <tableColumn id="1916" name="Columna1902" dataDxfId="31097" totalsRowDxfId="14473"/>
    <tableColumn id="1917" name="Columna1903" dataDxfId="31096" totalsRowDxfId="14472"/>
    <tableColumn id="1918" name="Columna1904" dataDxfId="31095" totalsRowDxfId="14471"/>
    <tableColumn id="1919" name="Columna1905" dataDxfId="31094" totalsRowDxfId="14470"/>
    <tableColumn id="1920" name="Columna1906" dataDxfId="31093" totalsRowDxfId="14469"/>
    <tableColumn id="1921" name="Columna1907" dataDxfId="31092" totalsRowDxfId="14468"/>
    <tableColumn id="1922" name="Columna1908" dataDxfId="31091" totalsRowDxfId="14467"/>
    <tableColumn id="1923" name="Columna1909" dataDxfId="31090" totalsRowDxfId="14466"/>
    <tableColumn id="1924" name="Columna1910" dataDxfId="31089" totalsRowDxfId="14465"/>
    <tableColumn id="1925" name="Columna1911" dataDxfId="31088" totalsRowDxfId="14464"/>
    <tableColumn id="1926" name="Columna1912" dataDxfId="31087" totalsRowDxfId="14463"/>
    <tableColumn id="1927" name="Columna1913" dataDxfId="31086" totalsRowDxfId="14462"/>
    <tableColumn id="1928" name="Columna1914" dataDxfId="31085" totalsRowDxfId="14461"/>
    <tableColumn id="1929" name="Columna1915" dataDxfId="31084" totalsRowDxfId="14460"/>
    <tableColumn id="1930" name="Columna1916" dataDxfId="31083" totalsRowDxfId="14459"/>
    <tableColumn id="1931" name="Columna1917" dataDxfId="31082" totalsRowDxfId="14458"/>
    <tableColumn id="1932" name="Columna1918" dataDxfId="31081" totalsRowDxfId="14457"/>
    <tableColumn id="1933" name="Columna1919" dataDxfId="31080" totalsRowDxfId="14456"/>
    <tableColumn id="1934" name="Columna1920" dataDxfId="31079" totalsRowDxfId="14455"/>
    <tableColumn id="1935" name="Columna1921" dataDxfId="31078" totalsRowDxfId="14454"/>
    <tableColumn id="1936" name="Columna1922" dataDxfId="31077" totalsRowDxfId="14453"/>
    <tableColumn id="1937" name="Columna1923" dataDxfId="31076" totalsRowDxfId="14452"/>
    <tableColumn id="1938" name="Columna1924" dataDxfId="31075" totalsRowDxfId="14451"/>
    <tableColumn id="1939" name="Columna1925" dataDxfId="31074" totalsRowDxfId="14450"/>
    <tableColumn id="1940" name="Columna1926" dataDxfId="31073" totalsRowDxfId="14449"/>
    <tableColumn id="1941" name="Columna1927" dataDxfId="31072" totalsRowDxfId="14448"/>
    <tableColumn id="1942" name="Columna1928" dataDxfId="31071" totalsRowDxfId="14447"/>
    <tableColumn id="1943" name="Columna1929" dataDxfId="31070" totalsRowDxfId="14446"/>
    <tableColumn id="1944" name="Columna1930" dataDxfId="31069" totalsRowDxfId="14445"/>
    <tableColumn id="1945" name="Columna1931" dataDxfId="31068" totalsRowDxfId="14444"/>
    <tableColumn id="1946" name="Columna1932" dataDxfId="31067" totalsRowDxfId="14443"/>
    <tableColumn id="1947" name="Columna1933" dataDxfId="31066" totalsRowDxfId="14442"/>
    <tableColumn id="1948" name="Columna1934" dataDxfId="31065" totalsRowDxfId="14441"/>
    <tableColumn id="1949" name="Columna1935" dataDxfId="31064" totalsRowDxfId="14440"/>
    <tableColumn id="1950" name="Columna1936" dataDxfId="31063" totalsRowDxfId="14439"/>
    <tableColumn id="1951" name="Columna1937" dataDxfId="31062" totalsRowDxfId="14438"/>
    <tableColumn id="1952" name="Columna1938" dataDxfId="31061" totalsRowDxfId="14437"/>
    <tableColumn id="1953" name="Columna1939" dataDxfId="31060" totalsRowDxfId="14436"/>
    <tableColumn id="1954" name="Columna1940" dataDxfId="31059" totalsRowDxfId="14435"/>
    <tableColumn id="1955" name="Columna1941" dataDxfId="31058" totalsRowDxfId="14434"/>
    <tableColumn id="1956" name="Columna1942" dataDxfId="31057" totalsRowDxfId="14433"/>
    <tableColumn id="1957" name="Columna1943" dataDxfId="31056" totalsRowDxfId="14432"/>
    <tableColumn id="1958" name="Columna1944" dataDxfId="31055" totalsRowDxfId="14431"/>
    <tableColumn id="1959" name="Columna1945" dataDxfId="31054" totalsRowDxfId="14430"/>
    <tableColumn id="1960" name="Columna1946" dataDxfId="31053" totalsRowDxfId="14429"/>
    <tableColumn id="1961" name="Columna1947" dataDxfId="31052" totalsRowDxfId="14428"/>
    <tableColumn id="1962" name="Columna1948" dataDxfId="31051" totalsRowDxfId="14427"/>
    <tableColumn id="1963" name="Columna1949" dataDxfId="31050" totalsRowDxfId="14426"/>
    <tableColumn id="1964" name="Columna1950" dataDxfId="31049" totalsRowDxfId="14425"/>
    <tableColumn id="1965" name="Columna1951" dataDxfId="31048" totalsRowDxfId="14424"/>
    <tableColumn id="1966" name="Columna1952" dataDxfId="31047" totalsRowDxfId="14423"/>
    <tableColumn id="1967" name="Columna1953" dataDxfId="31046" totalsRowDxfId="14422"/>
    <tableColumn id="1968" name="Columna1954" dataDxfId="31045" totalsRowDxfId="14421"/>
    <tableColumn id="1969" name="Columna1955" dataDxfId="31044" totalsRowDxfId="14420"/>
    <tableColumn id="1970" name="Columna1956" dataDxfId="31043" totalsRowDxfId="14419"/>
    <tableColumn id="1971" name="Columna1957" dataDxfId="31042" totalsRowDxfId="14418"/>
    <tableColumn id="1972" name="Columna1958" dataDxfId="31041" totalsRowDxfId="14417"/>
    <tableColumn id="1973" name="Columna1959" dataDxfId="31040" totalsRowDxfId="14416"/>
    <tableColumn id="1974" name="Columna1960" dataDxfId="31039" totalsRowDxfId="14415"/>
    <tableColumn id="1975" name="Columna1961" dataDxfId="31038" totalsRowDxfId="14414"/>
    <tableColumn id="1976" name="Columna1962" dataDxfId="31037" totalsRowDxfId="14413"/>
    <tableColumn id="1977" name="Columna1963" dataDxfId="31036" totalsRowDxfId="14412"/>
    <tableColumn id="1978" name="Columna1964" dataDxfId="31035" totalsRowDxfId="14411"/>
    <tableColumn id="1979" name="Columna1965" dataDxfId="31034" totalsRowDxfId="14410"/>
    <tableColumn id="1980" name="Columna1966" dataDxfId="31033" totalsRowDxfId="14409"/>
    <tableColumn id="1981" name="Columna1967" dataDxfId="31032" totalsRowDxfId="14408"/>
    <tableColumn id="1982" name="Columna1968" dataDxfId="31031" totalsRowDxfId="14407"/>
    <tableColumn id="1983" name="Columna1969" dataDxfId="31030" totalsRowDxfId="14406"/>
    <tableColumn id="1984" name="Columna1970" dataDxfId="31029" totalsRowDxfId="14405"/>
    <tableColumn id="1985" name="Columna1971" dataDxfId="31028" totalsRowDxfId="14404"/>
    <tableColumn id="1986" name="Columna1972" dataDxfId="31027" totalsRowDxfId="14403"/>
    <tableColumn id="1987" name="Columna1973" dataDxfId="31026" totalsRowDxfId="14402"/>
    <tableColumn id="1988" name="Columna1974" dataDxfId="31025" totalsRowDxfId="14401"/>
    <tableColumn id="1989" name="Columna1975" dataDxfId="31024" totalsRowDxfId="14400"/>
    <tableColumn id="1990" name="Columna1976" dataDxfId="31023" totalsRowDxfId="14399"/>
    <tableColumn id="1991" name="Columna1977" dataDxfId="31022" totalsRowDxfId="14398"/>
    <tableColumn id="1992" name="Columna1978" dataDxfId="31021" totalsRowDxfId="14397"/>
    <tableColumn id="1993" name="Columna1979" dataDxfId="31020" totalsRowDxfId="14396"/>
    <tableColumn id="1994" name="Columna1980" dataDxfId="31019" totalsRowDxfId="14395"/>
    <tableColumn id="1995" name="Columna1981" dataDxfId="31018" totalsRowDxfId="14394"/>
    <tableColumn id="1996" name="Columna1982" dataDxfId="31017" totalsRowDxfId="14393"/>
    <tableColumn id="1997" name="Columna1983" dataDxfId="31016" totalsRowDxfId="14392"/>
    <tableColumn id="1998" name="Columna1984" dataDxfId="31015" totalsRowDxfId="14391"/>
    <tableColumn id="1999" name="Columna1985" dataDxfId="31014" totalsRowDxfId="14390"/>
    <tableColumn id="2000" name="Columna1986" dataDxfId="31013" totalsRowDxfId="14389"/>
    <tableColumn id="2001" name="Columna1987" dataDxfId="31012" totalsRowDxfId="14388"/>
    <tableColumn id="2002" name="Columna1988" dataDxfId="31011" totalsRowDxfId="14387"/>
    <tableColumn id="2003" name="Columna1989" dataDxfId="31010" totalsRowDxfId="14386"/>
    <tableColumn id="2004" name="Columna1990" dataDxfId="31009" totalsRowDxfId="14385"/>
    <tableColumn id="2005" name="Columna1991" dataDxfId="31008" totalsRowDxfId="14384"/>
    <tableColumn id="2006" name="Columna1992" dataDxfId="31007" totalsRowDxfId="14383"/>
    <tableColumn id="2007" name="Columna1993" dataDxfId="31006" totalsRowDxfId="14382"/>
    <tableColumn id="2008" name="Columna1994" dataDxfId="31005" totalsRowDxfId="14381"/>
    <tableColumn id="2009" name="Columna1995" dataDxfId="31004" totalsRowDxfId="14380"/>
    <tableColumn id="2010" name="Columna1996" dataDxfId="31003" totalsRowDxfId="14379"/>
    <tableColumn id="2011" name="Columna1997" dataDxfId="31002" totalsRowDxfId="14378"/>
    <tableColumn id="2012" name="Columna1998" dataDxfId="31001" totalsRowDxfId="14377"/>
    <tableColumn id="2013" name="Columna1999" dataDxfId="31000" totalsRowDxfId="14376"/>
    <tableColumn id="2014" name="Columna2000" dataDxfId="30999" totalsRowDxfId="14375"/>
    <tableColumn id="2015" name="Columna2001" dataDxfId="30998" totalsRowDxfId="14374"/>
    <tableColumn id="2016" name="Columna2002" dataDxfId="30997" totalsRowDxfId="14373"/>
    <tableColumn id="2017" name="Columna2003" dataDxfId="30996" totalsRowDxfId="14372"/>
    <tableColumn id="2018" name="Columna2004" dataDxfId="30995" totalsRowDxfId="14371"/>
    <tableColumn id="2019" name="Columna2005" dataDxfId="30994" totalsRowDxfId="14370"/>
    <tableColumn id="2020" name="Columna2006" dataDxfId="30993" totalsRowDxfId="14369"/>
    <tableColumn id="2021" name="Columna2007" dataDxfId="30992" totalsRowDxfId="14368"/>
    <tableColumn id="2022" name="Columna2008" dataDxfId="30991" totalsRowDxfId="14367"/>
    <tableColumn id="2023" name="Columna2009" dataDxfId="30990" totalsRowDxfId="14366"/>
    <tableColumn id="2024" name="Columna2010" dataDxfId="30989" totalsRowDxfId="14365"/>
    <tableColumn id="2025" name="Columna2011" dataDxfId="30988" totalsRowDxfId="14364"/>
    <tableColumn id="2026" name="Columna2012" dataDxfId="30987" totalsRowDxfId="14363"/>
    <tableColumn id="2027" name="Columna2013" dataDxfId="30986" totalsRowDxfId="14362"/>
    <tableColumn id="2028" name="Columna2014" dataDxfId="30985" totalsRowDxfId="14361"/>
    <tableColumn id="2029" name="Columna2015" dataDxfId="30984" totalsRowDxfId="14360"/>
    <tableColumn id="2030" name="Columna2016" dataDxfId="30983" totalsRowDxfId="14359"/>
    <tableColumn id="2031" name="Columna2017" dataDxfId="30982" totalsRowDxfId="14358"/>
    <tableColumn id="2032" name="Columna2018" dataDxfId="30981" totalsRowDxfId="14357"/>
    <tableColumn id="2033" name="Columna2019" dataDxfId="30980" totalsRowDxfId="14356"/>
    <tableColumn id="2034" name="Columna2020" dataDxfId="30979" totalsRowDxfId="14355"/>
    <tableColumn id="2035" name="Columna2021" dataDxfId="30978" totalsRowDxfId="14354"/>
    <tableColumn id="2036" name="Columna2022" dataDxfId="30977" totalsRowDxfId="14353"/>
    <tableColumn id="2037" name="Columna2023" dataDxfId="30976" totalsRowDxfId="14352"/>
    <tableColumn id="2038" name="Columna2024" dataDxfId="30975" totalsRowDxfId="14351"/>
    <tableColumn id="2039" name="Columna2025" dataDxfId="30974" totalsRowDxfId="14350"/>
    <tableColumn id="2040" name="Columna2026" dataDxfId="30973" totalsRowDxfId="14349"/>
    <tableColumn id="2041" name="Columna2027" dataDxfId="30972" totalsRowDxfId="14348"/>
    <tableColumn id="2042" name="Columna2028" dataDxfId="30971" totalsRowDxfId="14347"/>
    <tableColumn id="2043" name="Columna2029" dataDxfId="30970" totalsRowDxfId="14346"/>
    <tableColumn id="2044" name="Columna2030" dataDxfId="30969" totalsRowDxfId="14345"/>
    <tableColumn id="2045" name="Columna2031" dataDxfId="30968" totalsRowDxfId="14344"/>
    <tableColumn id="2046" name="Columna2032" dataDxfId="30967" totalsRowDxfId="14343"/>
    <tableColumn id="2047" name="Columna2033" dataDxfId="30966" totalsRowDxfId="14342"/>
    <tableColumn id="2048" name="Columna2034" dataDxfId="30965" totalsRowDxfId="14341"/>
    <tableColumn id="2049" name="Columna2035" dataDxfId="30964" totalsRowDxfId="14340"/>
    <tableColumn id="2050" name="Columna2036" dataDxfId="30963" totalsRowDxfId="14339"/>
    <tableColumn id="2051" name="Columna2037" dataDxfId="30962" totalsRowDxfId="14338"/>
    <tableColumn id="2052" name="Columna2038" dataDxfId="30961" totalsRowDxfId="14337"/>
    <tableColumn id="2053" name="Columna2039" dataDxfId="30960" totalsRowDxfId="14336"/>
    <tableColumn id="2054" name="Columna2040" dataDxfId="30959" totalsRowDxfId="14335"/>
    <tableColumn id="2055" name="Columna2041" dataDxfId="30958" totalsRowDxfId="14334"/>
    <tableColumn id="2056" name="Columna2042" dataDxfId="30957" totalsRowDxfId="14333"/>
    <tableColumn id="2057" name="Columna2043" dataDxfId="30956" totalsRowDxfId="14332"/>
    <tableColumn id="2058" name="Columna2044" dataDxfId="30955" totalsRowDxfId="14331"/>
    <tableColumn id="2059" name="Columna2045" dataDxfId="30954" totalsRowDxfId="14330"/>
    <tableColumn id="2060" name="Columna2046" dataDxfId="30953" totalsRowDxfId="14329"/>
    <tableColumn id="2061" name="Columna2047" dataDxfId="30952" totalsRowDxfId="14328"/>
    <tableColumn id="2062" name="Columna2048" dataDxfId="30951" totalsRowDxfId="14327"/>
    <tableColumn id="2063" name="Columna2049" dataDxfId="30950" totalsRowDxfId="14326"/>
    <tableColumn id="2064" name="Columna2050" dataDxfId="30949" totalsRowDxfId="14325"/>
    <tableColumn id="2065" name="Columna2051" dataDxfId="30948" totalsRowDxfId="14324"/>
    <tableColumn id="2066" name="Columna2052" dataDxfId="30947" totalsRowDxfId="14323"/>
    <tableColumn id="2067" name="Columna2053" dataDxfId="30946" totalsRowDxfId="14322"/>
    <tableColumn id="2068" name="Columna2054" dataDxfId="30945" totalsRowDxfId="14321"/>
    <tableColumn id="2069" name="Columna2055" dataDxfId="30944" totalsRowDxfId="14320"/>
    <tableColumn id="2070" name="Columna2056" dataDxfId="30943" totalsRowDxfId="14319"/>
    <tableColumn id="2071" name="Columna2057" dataDxfId="30942" totalsRowDxfId="14318"/>
    <tableColumn id="2072" name="Columna2058" dataDxfId="30941" totalsRowDxfId="14317"/>
    <tableColumn id="2073" name="Columna2059" dataDxfId="30940" totalsRowDxfId="14316"/>
    <tableColumn id="2074" name="Columna2060" dataDxfId="30939" totalsRowDxfId="14315"/>
    <tableColumn id="2075" name="Columna2061" dataDxfId="30938" totalsRowDxfId="14314"/>
    <tableColumn id="2076" name="Columna2062" dataDxfId="30937" totalsRowDxfId="14313"/>
    <tableColumn id="2077" name="Columna2063" dataDxfId="30936" totalsRowDxfId="14312"/>
    <tableColumn id="2078" name="Columna2064" dataDxfId="30935" totalsRowDxfId="14311"/>
    <tableColumn id="2079" name="Columna2065" dataDxfId="30934" totalsRowDxfId="14310"/>
    <tableColumn id="2080" name="Columna2066" dataDxfId="30933" totalsRowDxfId="14309"/>
    <tableColumn id="2081" name="Columna2067" dataDxfId="30932" totalsRowDxfId="14308"/>
    <tableColumn id="2082" name="Columna2068" dataDxfId="30931" totalsRowDxfId="14307"/>
    <tableColumn id="2083" name="Columna2069" dataDxfId="30930" totalsRowDxfId="14306"/>
    <tableColumn id="2084" name="Columna2070" dataDxfId="30929" totalsRowDxfId="14305"/>
    <tableColumn id="2085" name="Columna2071" dataDxfId="30928" totalsRowDxfId="14304"/>
    <tableColumn id="2086" name="Columna2072" dataDxfId="30927" totalsRowDxfId="14303"/>
    <tableColumn id="2087" name="Columna2073" dataDxfId="30926" totalsRowDxfId="14302"/>
    <tableColumn id="2088" name="Columna2074" dataDxfId="30925" totalsRowDxfId="14301"/>
    <tableColumn id="2089" name="Columna2075" dataDxfId="30924" totalsRowDxfId="14300"/>
    <tableColumn id="2090" name="Columna2076" dataDxfId="30923" totalsRowDxfId="14299"/>
    <tableColumn id="2091" name="Columna2077" dataDxfId="30922" totalsRowDxfId="14298"/>
    <tableColumn id="2092" name="Columna2078" dataDxfId="30921" totalsRowDxfId="14297"/>
    <tableColumn id="2093" name="Columna2079" dataDxfId="30920" totalsRowDxfId="14296"/>
    <tableColumn id="2094" name="Columna2080" dataDxfId="30919" totalsRowDxfId="14295"/>
    <tableColumn id="2095" name="Columna2081" dataDxfId="30918" totalsRowDxfId="14294"/>
    <tableColumn id="2096" name="Columna2082" dataDxfId="30917" totalsRowDxfId="14293"/>
    <tableColumn id="2097" name="Columna2083" dataDxfId="30916" totalsRowDxfId="14292"/>
    <tableColumn id="2098" name="Columna2084" dataDxfId="30915" totalsRowDxfId="14291"/>
    <tableColumn id="2099" name="Columna2085" dataDxfId="30914" totalsRowDxfId="14290"/>
    <tableColumn id="2100" name="Columna2086" dataDxfId="30913" totalsRowDxfId="14289"/>
    <tableColumn id="2101" name="Columna2087" dataDxfId="30912" totalsRowDxfId="14288"/>
    <tableColumn id="2102" name="Columna2088" dataDxfId="30911" totalsRowDxfId="14287"/>
    <tableColumn id="2103" name="Columna2089" dataDxfId="30910" totalsRowDxfId="14286"/>
    <tableColumn id="2104" name="Columna2090" dataDxfId="30909" totalsRowDxfId="14285"/>
    <tableColumn id="2105" name="Columna2091" dataDxfId="30908" totalsRowDxfId="14284"/>
    <tableColumn id="2106" name="Columna2092" dataDxfId="30907" totalsRowDxfId="14283"/>
    <tableColumn id="2107" name="Columna2093" dataDxfId="30906" totalsRowDxfId="14282"/>
    <tableColumn id="2108" name="Columna2094" dataDxfId="30905" totalsRowDxfId="14281"/>
    <tableColumn id="2109" name="Columna2095" dataDxfId="30904" totalsRowDxfId="14280"/>
    <tableColumn id="2110" name="Columna2096" dataDxfId="30903" totalsRowDxfId="14279"/>
    <tableColumn id="2111" name="Columna2097" dataDxfId="30902" totalsRowDxfId="14278"/>
    <tableColumn id="2112" name="Columna2098" dataDxfId="30901" totalsRowDxfId="14277"/>
    <tableColumn id="2113" name="Columna2099" dataDxfId="30900" totalsRowDxfId="14276"/>
    <tableColumn id="2114" name="Columna2100" dataDxfId="30899" totalsRowDxfId="14275"/>
    <tableColumn id="2115" name="Columna2101" dataDxfId="30898" totalsRowDxfId="14274"/>
    <tableColumn id="2116" name="Columna2102" dataDxfId="30897" totalsRowDxfId="14273"/>
    <tableColumn id="2117" name="Columna2103" dataDxfId="30896" totalsRowDxfId="14272"/>
    <tableColumn id="2118" name="Columna2104" dataDxfId="30895" totalsRowDxfId="14271"/>
    <tableColumn id="2119" name="Columna2105" dataDxfId="30894" totalsRowDxfId="14270"/>
    <tableColumn id="2120" name="Columna2106" dataDxfId="30893" totalsRowDxfId="14269"/>
    <tableColumn id="2121" name="Columna2107" dataDxfId="30892" totalsRowDxfId="14268"/>
    <tableColumn id="2122" name="Columna2108" dataDxfId="30891" totalsRowDxfId="14267"/>
    <tableColumn id="2123" name="Columna2109" dataDxfId="30890" totalsRowDxfId="14266"/>
    <tableColumn id="2124" name="Columna2110" dataDxfId="30889" totalsRowDxfId="14265"/>
    <tableColumn id="2125" name="Columna2111" dataDxfId="30888" totalsRowDxfId="14264"/>
    <tableColumn id="2126" name="Columna2112" dataDxfId="30887" totalsRowDxfId="14263"/>
    <tableColumn id="2127" name="Columna2113" dataDxfId="30886" totalsRowDxfId="14262"/>
    <tableColumn id="2128" name="Columna2114" dataDxfId="30885" totalsRowDxfId="14261"/>
    <tableColumn id="2129" name="Columna2115" dataDxfId="30884" totalsRowDxfId="14260"/>
    <tableColumn id="2130" name="Columna2116" dataDxfId="30883" totalsRowDxfId="14259"/>
    <tableColumn id="2131" name="Columna2117" dataDxfId="30882" totalsRowDxfId="14258"/>
    <tableColumn id="2132" name="Columna2118" dataDxfId="30881" totalsRowDxfId="14257"/>
    <tableColumn id="2133" name="Columna2119" dataDxfId="30880" totalsRowDxfId="14256"/>
    <tableColumn id="2134" name="Columna2120" dataDxfId="30879" totalsRowDxfId="14255"/>
    <tableColumn id="2135" name="Columna2121" dataDxfId="30878" totalsRowDxfId="14254"/>
    <tableColumn id="2136" name="Columna2122" dataDxfId="30877" totalsRowDxfId="14253"/>
    <tableColumn id="2137" name="Columna2123" dataDxfId="30876" totalsRowDxfId="14252"/>
    <tableColumn id="2138" name="Columna2124" dataDxfId="30875" totalsRowDxfId="14251"/>
    <tableColumn id="2139" name="Columna2125" dataDxfId="30874" totalsRowDxfId="14250"/>
    <tableColumn id="2140" name="Columna2126" dataDxfId="30873" totalsRowDxfId="14249"/>
    <tableColumn id="2141" name="Columna2127" dataDxfId="30872" totalsRowDxfId="14248"/>
    <tableColumn id="2142" name="Columna2128" dataDxfId="30871" totalsRowDxfId="14247"/>
    <tableColumn id="2143" name="Columna2129" dataDxfId="30870" totalsRowDxfId="14246"/>
    <tableColumn id="2144" name="Columna2130" dataDxfId="30869" totalsRowDxfId="14245"/>
    <tableColumn id="2145" name="Columna2131" dataDxfId="30868" totalsRowDxfId="14244"/>
    <tableColumn id="2146" name="Columna2132" dataDxfId="30867" totalsRowDxfId="14243"/>
    <tableColumn id="2147" name="Columna2133" dataDxfId="30866" totalsRowDxfId="14242"/>
    <tableColumn id="2148" name="Columna2134" dataDxfId="30865" totalsRowDxfId="14241"/>
    <tableColumn id="2149" name="Columna2135" dataDxfId="30864" totalsRowDxfId="14240"/>
    <tableColumn id="2150" name="Columna2136" dataDxfId="30863" totalsRowDxfId="14239"/>
    <tableColumn id="2151" name="Columna2137" dataDxfId="30862" totalsRowDxfId="14238"/>
    <tableColumn id="2152" name="Columna2138" dataDxfId="30861" totalsRowDxfId="14237"/>
    <tableColumn id="2153" name="Columna2139" dataDxfId="30860" totalsRowDxfId="14236"/>
    <tableColumn id="2154" name="Columna2140" dataDxfId="30859" totalsRowDxfId="14235"/>
    <tableColumn id="2155" name="Columna2141" dataDxfId="30858" totalsRowDxfId="14234"/>
    <tableColumn id="2156" name="Columna2142" dataDxfId="30857" totalsRowDxfId="14233"/>
    <tableColumn id="2157" name="Columna2143" dataDxfId="30856" totalsRowDxfId="14232"/>
    <tableColumn id="2158" name="Columna2144" dataDxfId="30855" totalsRowDxfId="14231"/>
    <tableColumn id="2159" name="Columna2145" dataDxfId="30854" totalsRowDxfId="14230"/>
    <tableColumn id="2160" name="Columna2146" dataDxfId="30853" totalsRowDxfId="14229"/>
    <tableColumn id="2161" name="Columna2147" dataDxfId="30852" totalsRowDxfId="14228"/>
    <tableColumn id="2162" name="Columna2148" dataDxfId="30851" totalsRowDxfId="14227"/>
    <tableColumn id="2163" name="Columna2149" dataDxfId="30850" totalsRowDxfId="14226"/>
    <tableColumn id="2164" name="Columna2150" dataDxfId="30849" totalsRowDxfId="14225"/>
    <tableColumn id="2165" name="Columna2151" dataDxfId="30848" totalsRowDxfId="14224"/>
    <tableColumn id="2166" name="Columna2152" dataDxfId="30847" totalsRowDxfId="14223"/>
    <tableColumn id="2167" name="Columna2153" dataDxfId="30846" totalsRowDxfId="14222"/>
    <tableColumn id="2168" name="Columna2154" dataDxfId="30845" totalsRowDxfId="14221"/>
    <tableColumn id="2169" name="Columna2155" dataDxfId="30844" totalsRowDxfId="14220"/>
    <tableColumn id="2170" name="Columna2156" dataDxfId="30843" totalsRowDxfId="14219"/>
    <tableColumn id="2171" name="Columna2157" dataDxfId="30842" totalsRowDxfId="14218"/>
    <tableColumn id="2172" name="Columna2158" dataDxfId="30841" totalsRowDxfId="14217"/>
    <tableColumn id="2173" name="Columna2159" dataDxfId="30840" totalsRowDxfId="14216"/>
    <tableColumn id="2174" name="Columna2160" dataDxfId="30839" totalsRowDxfId="14215"/>
    <tableColumn id="2175" name="Columna2161" dataDxfId="30838" totalsRowDxfId="14214"/>
    <tableColumn id="2176" name="Columna2162" dataDxfId="30837" totalsRowDxfId="14213"/>
    <tableColumn id="2177" name="Columna2163" dataDxfId="30836" totalsRowDxfId="14212"/>
    <tableColumn id="2178" name="Columna2164" dataDxfId="30835" totalsRowDxfId="14211"/>
    <tableColumn id="2179" name="Columna2165" dataDxfId="30834" totalsRowDxfId="14210"/>
    <tableColumn id="2180" name="Columna2166" dataDxfId="30833" totalsRowDxfId="14209"/>
    <tableColumn id="2181" name="Columna2167" dataDxfId="30832" totalsRowDxfId="14208"/>
    <tableColumn id="2182" name="Columna2168" dataDxfId="30831" totalsRowDxfId="14207"/>
    <tableColumn id="2183" name="Columna2169" dataDxfId="30830" totalsRowDxfId="14206"/>
    <tableColumn id="2184" name="Columna2170" dataDxfId="30829" totalsRowDxfId="14205"/>
    <tableColumn id="2185" name="Columna2171" dataDxfId="30828" totalsRowDxfId="14204"/>
    <tableColumn id="2186" name="Columna2172" dataDxfId="30827" totalsRowDxfId="14203"/>
    <tableColumn id="2187" name="Columna2173" dataDxfId="30826" totalsRowDxfId="14202"/>
    <tableColumn id="2188" name="Columna2174" dataDxfId="30825" totalsRowDxfId="14201"/>
    <tableColumn id="2189" name="Columna2175" dataDxfId="30824" totalsRowDxfId="14200"/>
    <tableColumn id="2190" name="Columna2176" dataDxfId="30823" totalsRowDxfId="14199"/>
    <tableColumn id="2191" name="Columna2177" dataDxfId="30822" totalsRowDxfId="14198"/>
    <tableColumn id="2192" name="Columna2178" dataDxfId="30821" totalsRowDxfId="14197"/>
    <tableColumn id="2193" name="Columna2179" dataDxfId="30820" totalsRowDxfId="14196"/>
    <tableColumn id="2194" name="Columna2180" dataDxfId="30819" totalsRowDxfId="14195"/>
    <tableColumn id="2195" name="Columna2181" dataDxfId="30818" totalsRowDxfId="14194"/>
    <tableColumn id="2196" name="Columna2182" dataDxfId="30817" totalsRowDxfId="14193"/>
    <tableColumn id="2197" name="Columna2183" dataDxfId="30816" totalsRowDxfId="14192"/>
    <tableColumn id="2198" name="Columna2184" dataDxfId="30815" totalsRowDxfId="14191"/>
    <tableColumn id="2199" name="Columna2185" dataDxfId="30814" totalsRowDxfId="14190"/>
    <tableColumn id="2200" name="Columna2186" dataDxfId="30813" totalsRowDxfId="14189"/>
    <tableColumn id="2201" name="Columna2187" dataDxfId="30812" totalsRowDxfId="14188"/>
    <tableColumn id="2202" name="Columna2188" dataDxfId="30811" totalsRowDxfId="14187"/>
    <tableColumn id="2203" name="Columna2189" dataDxfId="30810" totalsRowDxfId="14186"/>
    <tableColumn id="2204" name="Columna2190" dataDxfId="30809" totalsRowDxfId="14185"/>
    <tableColumn id="2205" name="Columna2191" dataDxfId="30808" totalsRowDxfId="14184"/>
    <tableColumn id="2206" name="Columna2192" dataDxfId="30807" totalsRowDxfId="14183"/>
    <tableColumn id="2207" name="Columna2193" dataDxfId="30806" totalsRowDxfId="14182"/>
    <tableColumn id="2208" name="Columna2194" dataDxfId="30805" totalsRowDxfId="14181"/>
    <tableColumn id="2209" name="Columna2195" dataDxfId="30804" totalsRowDxfId="14180"/>
    <tableColumn id="2210" name="Columna2196" dataDxfId="30803" totalsRowDxfId="14179"/>
    <tableColumn id="2211" name="Columna2197" dataDxfId="30802" totalsRowDxfId="14178"/>
    <tableColumn id="2212" name="Columna2198" dataDxfId="30801" totalsRowDxfId="14177"/>
    <tableColumn id="2213" name="Columna2199" dataDxfId="30800" totalsRowDxfId="14176"/>
    <tableColumn id="2214" name="Columna2200" dataDxfId="30799" totalsRowDxfId="14175"/>
    <tableColumn id="2215" name="Columna2201" dataDxfId="30798" totalsRowDxfId="14174"/>
    <tableColumn id="2216" name="Columna2202" dataDxfId="30797" totalsRowDxfId="14173"/>
    <tableColumn id="2217" name="Columna2203" dataDxfId="30796" totalsRowDxfId="14172"/>
    <tableColumn id="2218" name="Columna2204" dataDxfId="30795" totalsRowDxfId="14171"/>
    <tableColumn id="2219" name="Columna2205" dataDxfId="30794" totalsRowDxfId="14170"/>
    <tableColumn id="2220" name="Columna2206" dataDxfId="30793" totalsRowDxfId="14169"/>
    <tableColumn id="2221" name="Columna2207" dataDxfId="30792" totalsRowDxfId="14168"/>
    <tableColumn id="2222" name="Columna2208" dataDxfId="30791" totalsRowDxfId="14167"/>
    <tableColumn id="2223" name="Columna2209" dataDxfId="30790" totalsRowDxfId="14166"/>
    <tableColumn id="2224" name="Columna2210" dataDxfId="30789" totalsRowDxfId="14165"/>
    <tableColumn id="2225" name="Columna2211" dataDxfId="30788" totalsRowDxfId="14164"/>
    <tableColumn id="2226" name="Columna2212" dataDxfId="30787" totalsRowDxfId="14163"/>
    <tableColumn id="2227" name="Columna2213" dataDxfId="30786" totalsRowDxfId="14162"/>
    <tableColumn id="2228" name="Columna2214" dataDxfId="30785" totalsRowDxfId="14161"/>
    <tableColumn id="2229" name="Columna2215" dataDxfId="30784" totalsRowDxfId="14160"/>
    <tableColumn id="2230" name="Columna2216" dataDxfId="30783" totalsRowDxfId="14159"/>
    <tableColumn id="2231" name="Columna2217" dataDxfId="30782" totalsRowDxfId="14158"/>
    <tableColumn id="2232" name="Columna2218" dataDxfId="30781" totalsRowDxfId="14157"/>
    <tableColumn id="2233" name="Columna2219" dataDxfId="30780" totalsRowDxfId="14156"/>
    <tableColumn id="2234" name="Columna2220" dataDxfId="30779" totalsRowDxfId="14155"/>
    <tableColumn id="2235" name="Columna2221" dataDxfId="30778" totalsRowDxfId="14154"/>
    <tableColumn id="2236" name="Columna2222" dataDxfId="30777" totalsRowDxfId="14153"/>
    <tableColumn id="2237" name="Columna2223" dataDxfId="30776" totalsRowDxfId="14152"/>
    <tableColumn id="2238" name="Columna2224" dataDxfId="30775" totalsRowDxfId="14151"/>
    <tableColumn id="2239" name="Columna2225" dataDxfId="30774" totalsRowDxfId="14150"/>
    <tableColumn id="2240" name="Columna2226" dataDxfId="30773" totalsRowDxfId="14149"/>
    <tableColumn id="2241" name="Columna2227" dataDxfId="30772" totalsRowDxfId="14148"/>
    <tableColumn id="2242" name="Columna2228" dataDxfId="30771" totalsRowDxfId="14147"/>
    <tableColumn id="2243" name="Columna2229" dataDxfId="30770" totalsRowDxfId="14146"/>
    <tableColumn id="2244" name="Columna2230" dataDxfId="30769" totalsRowDxfId="14145"/>
    <tableColumn id="2245" name="Columna2231" dataDxfId="30768" totalsRowDxfId="14144"/>
    <tableColumn id="2246" name="Columna2232" dataDxfId="30767" totalsRowDxfId="14143"/>
    <tableColumn id="2247" name="Columna2233" dataDxfId="30766" totalsRowDxfId="14142"/>
    <tableColumn id="2248" name="Columna2234" dataDxfId="30765" totalsRowDxfId="14141"/>
    <tableColumn id="2249" name="Columna2235" dataDxfId="30764" totalsRowDxfId="14140"/>
    <tableColumn id="2250" name="Columna2236" dataDxfId="30763" totalsRowDxfId="14139"/>
    <tableColumn id="2251" name="Columna2237" dataDxfId="30762" totalsRowDxfId="14138"/>
    <tableColumn id="2252" name="Columna2238" dataDxfId="30761" totalsRowDxfId="14137"/>
    <tableColumn id="2253" name="Columna2239" dataDxfId="30760" totalsRowDxfId="14136"/>
    <tableColumn id="2254" name="Columna2240" dataDxfId="30759" totalsRowDxfId="14135"/>
    <tableColumn id="2255" name="Columna2241" dataDxfId="30758" totalsRowDxfId="14134"/>
    <tableColumn id="2256" name="Columna2242" dataDxfId="30757" totalsRowDxfId="14133"/>
    <tableColumn id="2257" name="Columna2243" dataDxfId="30756" totalsRowDxfId="14132"/>
    <tableColumn id="2258" name="Columna2244" dataDxfId="30755" totalsRowDxfId="14131"/>
    <tableColumn id="2259" name="Columna2245" dataDxfId="30754" totalsRowDxfId="14130"/>
    <tableColumn id="2260" name="Columna2246" dataDxfId="30753" totalsRowDxfId="14129"/>
    <tableColumn id="2261" name="Columna2247" dataDxfId="30752" totalsRowDxfId="14128"/>
    <tableColumn id="2262" name="Columna2248" dataDxfId="30751" totalsRowDxfId="14127"/>
    <tableColumn id="2263" name="Columna2249" dataDxfId="30750" totalsRowDxfId="14126"/>
    <tableColumn id="2264" name="Columna2250" dataDxfId="30749" totalsRowDxfId="14125"/>
    <tableColumn id="2265" name="Columna2251" dataDxfId="30748" totalsRowDxfId="14124"/>
    <tableColumn id="2266" name="Columna2252" dataDxfId="30747" totalsRowDxfId="14123"/>
    <tableColumn id="2267" name="Columna2253" dataDxfId="30746" totalsRowDxfId="14122"/>
    <tableColumn id="2268" name="Columna2254" dataDxfId="30745" totalsRowDxfId="14121"/>
    <tableColumn id="2269" name="Columna2255" dataDxfId="30744" totalsRowDxfId="14120"/>
    <tableColumn id="2270" name="Columna2256" dataDxfId="30743" totalsRowDxfId="14119"/>
    <tableColumn id="2271" name="Columna2257" dataDxfId="30742" totalsRowDxfId="14118"/>
    <tableColumn id="2272" name="Columna2258" dataDxfId="30741" totalsRowDxfId="14117"/>
    <tableColumn id="2273" name="Columna2259" dataDxfId="30740" totalsRowDxfId="14116"/>
    <tableColumn id="2274" name="Columna2260" dataDxfId="30739" totalsRowDxfId="14115"/>
    <tableColumn id="2275" name="Columna2261" dataDxfId="30738" totalsRowDxfId="14114"/>
    <tableColumn id="2276" name="Columna2262" dataDxfId="30737" totalsRowDxfId="14113"/>
    <tableColumn id="2277" name="Columna2263" dataDxfId="30736" totalsRowDxfId="14112"/>
    <tableColumn id="2278" name="Columna2264" dataDxfId="30735" totalsRowDxfId="14111"/>
    <tableColumn id="2279" name="Columna2265" dataDxfId="30734" totalsRowDxfId="14110"/>
    <tableColumn id="2280" name="Columna2266" dataDxfId="30733" totalsRowDxfId="14109"/>
    <tableColumn id="2281" name="Columna2267" dataDxfId="30732" totalsRowDxfId="14108"/>
    <tableColumn id="2282" name="Columna2268" dataDxfId="30731" totalsRowDxfId="14107"/>
    <tableColumn id="2283" name="Columna2269" dataDxfId="30730" totalsRowDxfId="14106"/>
    <tableColumn id="2284" name="Columna2270" dataDxfId="30729" totalsRowDxfId="14105"/>
    <tableColumn id="2285" name="Columna2271" dataDxfId="30728" totalsRowDxfId="14104"/>
    <tableColumn id="2286" name="Columna2272" dataDxfId="30727" totalsRowDxfId="14103"/>
    <tableColumn id="2287" name="Columna2273" dataDxfId="30726" totalsRowDxfId="14102"/>
    <tableColumn id="2288" name="Columna2274" dataDxfId="30725" totalsRowDxfId="14101"/>
    <tableColumn id="2289" name="Columna2275" dataDxfId="30724" totalsRowDxfId="14100"/>
    <tableColumn id="2290" name="Columna2276" dataDxfId="30723" totalsRowDxfId="14099"/>
    <tableColumn id="2291" name="Columna2277" dataDxfId="30722" totalsRowDxfId="14098"/>
    <tableColumn id="2292" name="Columna2278" dataDxfId="30721" totalsRowDxfId="14097"/>
    <tableColumn id="2293" name="Columna2279" dataDxfId="30720" totalsRowDxfId="14096"/>
    <tableColumn id="2294" name="Columna2280" dataDxfId="30719" totalsRowDxfId="14095"/>
    <tableColumn id="2295" name="Columna2281" dataDxfId="30718" totalsRowDxfId="14094"/>
    <tableColumn id="2296" name="Columna2282" dataDxfId="30717" totalsRowDxfId="14093"/>
    <tableColumn id="2297" name="Columna2283" dataDxfId="30716" totalsRowDxfId="14092"/>
    <tableColumn id="2298" name="Columna2284" dataDxfId="30715" totalsRowDxfId="14091"/>
    <tableColumn id="2299" name="Columna2285" dataDxfId="30714" totalsRowDxfId="14090"/>
    <tableColumn id="2300" name="Columna2286" dataDxfId="30713" totalsRowDxfId="14089"/>
    <tableColumn id="2301" name="Columna2287" dataDxfId="30712" totalsRowDxfId="14088"/>
    <tableColumn id="2302" name="Columna2288" dataDxfId="30711" totalsRowDxfId="14087"/>
    <tableColumn id="2303" name="Columna2289" dataDxfId="30710" totalsRowDxfId="14086"/>
    <tableColumn id="2304" name="Columna2290" dataDxfId="30709" totalsRowDxfId="14085"/>
    <tableColumn id="2305" name="Columna2291" dataDxfId="30708" totalsRowDxfId="14084"/>
    <tableColumn id="2306" name="Columna2292" dataDxfId="30707" totalsRowDxfId="14083"/>
    <tableColumn id="2307" name="Columna2293" dataDxfId="30706" totalsRowDxfId="14082"/>
    <tableColumn id="2308" name="Columna2294" dataDxfId="30705" totalsRowDxfId="14081"/>
    <tableColumn id="2309" name="Columna2295" dataDxfId="30704" totalsRowDxfId="14080"/>
    <tableColumn id="2310" name="Columna2296" dataDxfId="30703" totalsRowDxfId="14079"/>
    <tableColumn id="2311" name="Columna2297" dataDxfId="30702" totalsRowDxfId="14078"/>
    <tableColumn id="2312" name="Columna2298" dataDxfId="30701" totalsRowDxfId="14077"/>
    <tableColumn id="2313" name="Columna2299" dataDxfId="30700" totalsRowDxfId="14076"/>
    <tableColumn id="2314" name="Columna2300" dataDxfId="30699" totalsRowDxfId="14075"/>
    <tableColumn id="2315" name="Columna2301" dataDxfId="30698" totalsRowDxfId="14074"/>
    <tableColumn id="2316" name="Columna2302" dataDxfId="30697" totalsRowDxfId="14073"/>
    <tableColumn id="2317" name="Columna2303" dataDxfId="30696" totalsRowDxfId="14072"/>
    <tableColumn id="2318" name="Columna2304" dataDxfId="30695" totalsRowDxfId="14071"/>
    <tableColumn id="2319" name="Columna2305" dataDxfId="30694" totalsRowDxfId="14070"/>
    <tableColumn id="2320" name="Columna2306" dataDxfId="30693" totalsRowDxfId="14069"/>
    <tableColumn id="2321" name="Columna2307" dataDxfId="30692" totalsRowDxfId="14068"/>
    <tableColumn id="2322" name="Columna2308" dataDxfId="30691" totalsRowDxfId="14067"/>
    <tableColumn id="2323" name="Columna2309" dataDxfId="30690" totalsRowDxfId="14066"/>
    <tableColumn id="2324" name="Columna2310" dataDxfId="30689" totalsRowDxfId="14065"/>
    <tableColumn id="2325" name="Columna2311" dataDxfId="30688" totalsRowDxfId="14064"/>
    <tableColumn id="2326" name="Columna2312" dataDxfId="30687" totalsRowDxfId="14063"/>
    <tableColumn id="2327" name="Columna2313" dataDxfId="30686" totalsRowDxfId="14062"/>
    <tableColumn id="2328" name="Columna2314" dataDxfId="30685" totalsRowDxfId="14061"/>
    <tableColumn id="2329" name="Columna2315" dataDxfId="30684" totalsRowDxfId="14060"/>
    <tableColumn id="2330" name="Columna2316" dataDxfId="30683" totalsRowDxfId="14059"/>
    <tableColumn id="2331" name="Columna2317" dataDxfId="30682" totalsRowDxfId="14058"/>
    <tableColumn id="2332" name="Columna2318" dataDxfId="30681" totalsRowDxfId="14057"/>
    <tableColumn id="2333" name="Columna2319" dataDxfId="30680" totalsRowDxfId="14056"/>
    <tableColumn id="2334" name="Columna2320" dataDxfId="30679" totalsRowDxfId="14055"/>
    <tableColumn id="2335" name="Columna2321" dataDxfId="30678" totalsRowDxfId="14054"/>
    <tableColumn id="2336" name="Columna2322" dataDxfId="30677" totalsRowDxfId="14053"/>
    <tableColumn id="2337" name="Columna2323" dataDxfId="30676" totalsRowDxfId="14052"/>
    <tableColumn id="2338" name="Columna2324" dataDxfId="30675" totalsRowDxfId="14051"/>
    <tableColumn id="2339" name="Columna2325" dataDxfId="30674" totalsRowDxfId="14050"/>
    <tableColumn id="2340" name="Columna2326" dataDxfId="30673" totalsRowDxfId="14049"/>
    <tableColumn id="2341" name="Columna2327" dataDxfId="30672" totalsRowDxfId="14048"/>
    <tableColumn id="2342" name="Columna2328" dataDxfId="30671" totalsRowDxfId="14047"/>
    <tableColumn id="2343" name="Columna2329" dataDxfId="30670" totalsRowDxfId="14046"/>
    <tableColumn id="2344" name="Columna2330" dataDxfId="30669" totalsRowDxfId="14045"/>
    <tableColumn id="2345" name="Columna2331" dataDxfId="30668" totalsRowDxfId="14044"/>
    <tableColumn id="2346" name="Columna2332" dataDxfId="30667" totalsRowDxfId="14043"/>
    <tableColumn id="2347" name="Columna2333" dataDxfId="30666" totalsRowDxfId="14042"/>
    <tableColumn id="2348" name="Columna2334" dataDxfId="30665" totalsRowDxfId="14041"/>
    <tableColumn id="2349" name="Columna2335" dataDxfId="30664" totalsRowDxfId="14040"/>
    <tableColumn id="2350" name="Columna2336" dataDxfId="30663" totalsRowDxfId="14039"/>
    <tableColumn id="2351" name="Columna2337" dataDxfId="30662" totalsRowDxfId="14038"/>
    <tableColumn id="2352" name="Columna2338" dataDxfId="30661" totalsRowDxfId="14037"/>
    <tableColumn id="2353" name="Columna2339" dataDxfId="30660" totalsRowDxfId="14036"/>
    <tableColumn id="2354" name="Columna2340" dataDxfId="30659" totalsRowDxfId="14035"/>
    <tableColumn id="2355" name="Columna2341" dataDxfId="30658" totalsRowDxfId="14034"/>
    <tableColumn id="2356" name="Columna2342" dataDxfId="30657" totalsRowDxfId="14033"/>
    <tableColumn id="2357" name="Columna2343" dataDxfId="30656" totalsRowDxfId="14032"/>
    <tableColumn id="2358" name="Columna2344" dataDxfId="30655" totalsRowDxfId="14031"/>
    <tableColumn id="2359" name="Columna2345" dataDxfId="30654" totalsRowDxfId="14030"/>
    <tableColumn id="2360" name="Columna2346" dataDxfId="30653" totalsRowDxfId="14029"/>
    <tableColumn id="2361" name="Columna2347" dataDxfId="30652" totalsRowDxfId="14028"/>
    <tableColumn id="2362" name="Columna2348" dataDxfId="30651" totalsRowDxfId="14027"/>
    <tableColumn id="2363" name="Columna2349" dataDxfId="30650" totalsRowDxfId="14026"/>
    <tableColumn id="2364" name="Columna2350" dataDxfId="30649" totalsRowDxfId="14025"/>
    <tableColumn id="2365" name="Columna2351" dataDxfId="30648" totalsRowDxfId="14024"/>
    <tableColumn id="2366" name="Columna2352" dataDxfId="30647" totalsRowDxfId="14023"/>
    <tableColumn id="2367" name="Columna2353" dataDxfId="30646" totalsRowDxfId="14022"/>
    <tableColumn id="2368" name="Columna2354" dataDxfId="30645" totalsRowDxfId="14021"/>
    <tableColumn id="2369" name="Columna2355" dataDxfId="30644" totalsRowDxfId="14020"/>
    <tableColumn id="2370" name="Columna2356" dataDxfId="30643" totalsRowDxfId="14019"/>
    <tableColumn id="2371" name="Columna2357" dataDxfId="30642" totalsRowDxfId="14018"/>
    <tableColumn id="2372" name="Columna2358" dataDxfId="30641" totalsRowDxfId="14017"/>
    <tableColumn id="2373" name="Columna2359" dataDxfId="30640" totalsRowDxfId="14016"/>
    <tableColumn id="2374" name="Columna2360" dataDxfId="30639" totalsRowDxfId="14015"/>
    <tableColumn id="2375" name="Columna2361" dataDxfId="30638" totalsRowDxfId="14014"/>
    <tableColumn id="2376" name="Columna2362" dataDxfId="30637" totalsRowDxfId="14013"/>
    <tableColumn id="2377" name="Columna2363" dataDxfId="30636" totalsRowDxfId="14012"/>
    <tableColumn id="2378" name="Columna2364" dataDxfId="30635" totalsRowDxfId="14011"/>
    <tableColumn id="2379" name="Columna2365" dataDxfId="30634" totalsRowDxfId="14010"/>
    <tableColumn id="2380" name="Columna2366" dataDxfId="30633" totalsRowDxfId="14009"/>
    <tableColumn id="2381" name="Columna2367" dataDxfId="30632" totalsRowDxfId="14008"/>
    <tableColumn id="2382" name="Columna2368" dataDxfId="30631" totalsRowDxfId="14007"/>
    <tableColumn id="2383" name="Columna2369" dataDxfId="30630" totalsRowDxfId="14006"/>
    <tableColumn id="2384" name="Columna2370" dataDxfId="30629" totalsRowDxfId="14005"/>
    <tableColumn id="2385" name="Columna2371" dataDxfId="30628" totalsRowDxfId="14004"/>
    <tableColumn id="2386" name="Columna2372" dataDxfId="30627" totalsRowDxfId="14003"/>
    <tableColumn id="2387" name="Columna2373" dataDxfId="30626" totalsRowDxfId="14002"/>
    <tableColumn id="2388" name="Columna2374" dataDxfId="30625" totalsRowDxfId="14001"/>
    <tableColumn id="2389" name="Columna2375" dataDxfId="30624" totalsRowDxfId="14000"/>
    <tableColumn id="2390" name="Columna2376" dataDxfId="30623" totalsRowDxfId="13999"/>
    <tableColumn id="2391" name="Columna2377" dataDxfId="30622" totalsRowDxfId="13998"/>
    <tableColumn id="2392" name="Columna2378" dataDxfId="30621" totalsRowDxfId="13997"/>
    <tableColumn id="2393" name="Columna2379" dataDxfId="30620" totalsRowDxfId="13996"/>
    <tableColumn id="2394" name="Columna2380" dataDxfId="30619" totalsRowDxfId="13995"/>
    <tableColumn id="2395" name="Columna2381" dataDxfId="30618" totalsRowDxfId="13994"/>
    <tableColumn id="2396" name="Columna2382" dataDxfId="30617" totalsRowDxfId="13993"/>
    <tableColumn id="2397" name="Columna2383" dataDxfId="30616" totalsRowDxfId="13992"/>
    <tableColumn id="2398" name="Columna2384" dataDxfId="30615" totalsRowDxfId="13991"/>
    <tableColumn id="2399" name="Columna2385" dataDxfId="30614" totalsRowDxfId="13990"/>
    <tableColumn id="2400" name="Columna2386" dataDxfId="30613" totalsRowDxfId="13989"/>
    <tableColumn id="2401" name="Columna2387" dataDxfId="30612" totalsRowDxfId="13988"/>
    <tableColumn id="2402" name="Columna2388" dataDxfId="30611" totalsRowDxfId="13987"/>
    <tableColumn id="2403" name="Columna2389" dataDxfId="30610" totalsRowDxfId="13986"/>
    <tableColumn id="2404" name="Columna2390" dataDxfId="30609" totalsRowDxfId="13985"/>
    <tableColumn id="2405" name="Columna2391" dataDxfId="30608" totalsRowDxfId="13984"/>
    <tableColumn id="2406" name="Columna2392" dataDxfId="30607" totalsRowDxfId="13983"/>
    <tableColumn id="2407" name="Columna2393" dataDxfId="30606" totalsRowDxfId="13982"/>
    <tableColumn id="2408" name="Columna2394" dataDxfId="30605" totalsRowDxfId="13981"/>
    <tableColumn id="2409" name="Columna2395" dataDxfId="30604" totalsRowDxfId="13980"/>
    <tableColumn id="2410" name="Columna2396" dataDxfId="30603" totalsRowDxfId="13979"/>
    <tableColumn id="2411" name="Columna2397" dataDxfId="30602" totalsRowDxfId="13978"/>
    <tableColumn id="2412" name="Columna2398" dataDxfId="30601" totalsRowDxfId="13977"/>
    <tableColumn id="2413" name="Columna2399" dataDxfId="30600" totalsRowDxfId="13976"/>
    <tableColumn id="2414" name="Columna2400" dataDxfId="30599" totalsRowDxfId="13975"/>
    <tableColumn id="2415" name="Columna2401" dataDxfId="30598" totalsRowDxfId="13974"/>
    <tableColumn id="2416" name="Columna2402" dataDxfId="30597" totalsRowDxfId="13973"/>
    <tableColumn id="2417" name="Columna2403" dataDxfId="30596" totalsRowDxfId="13972"/>
    <tableColumn id="2418" name="Columna2404" dataDxfId="30595" totalsRowDxfId="13971"/>
    <tableColumn id="2419" name="Columna2405" dataDxfId="30594" totalsRowDxfId="13970"/>
    <tableColumn id="2420" name="Columna2406" dataDxfId="30593" totalsRowDxfId="13969"/>
    <tableColumn id="2421" name="Columna2407" dataDxfId="30592" totalsRowDxfId="13968"/>
    <tableColumn id="2422" name="Columna2408" dataDxfId="30591" totalsRowDxfId="13967"/>
    <tableColumn id="2423" name="Columna2409" dataDxfId="30590" totalsRowDxfId="13966"/>
    <tableColumn id="2424" name="Columna2410" dataDxfId="30589" totalsRowDxfId="13965"/>
    <tableColumn id="2425" name="Columna2411" dataDxfId="30588" totalsRowDxfId="13964"/>
    <tableColumn id="2426" name="Columna2412" dataDxfId="30587" totalsRowDxfId="13963"/>
    <tableColumn id="2427" name="Columna2413" dataDxfId="30586" totalsRowDxfId="13962"/>
    <tableColumn id="2428" name="Columna2414" dataDxfId="30585" totalsRowDxfId="13961"/>
    <tableColumn id="2429" name="Columna2415" dataDxfId="30584" totalsRowDxfId="13960"/>
    <tableColumn id="2430" name="Columna2416" dataDxfId="30583" totalsRowDxfId="13959"/>
    <tableColumn id="2431" name="Columna2417" dataDxfId="30582" totalsRowDxfId="13958"/>
    <tableColumn id="2432" name="Columna2418" dataDxfId="30581" totalsRowDxfId="13957"/>
    <tableColumn id="2433" name="Columna2419" dataDxfId="30580" totalsRowDxfId="13956"/>
    <tableColumn id="2434" name="Columna2420" dataDxfId="30579" totalsRowDxfId="13955"/>
    <tableColumn id="2435" name="Columna2421" dataDxfId="30578" totalsRowDxfId="13954"/>
    <tableColumn id="2436" name="Columna2422" dataDxfId="30577" totalsRowDxfId="13953"/>
    <tableColumn id="2437" name="Columna2423" dataDxfId="30576" totalsRowDxfId="13952"/>
    <tableColumn id="2438" name="Columna2424" dataDxfId="30575" totalsRowDxfId="13951"/>
    <tableColumn id="2439" name="Columna2425" dataDxfId="30574" totalsRowDxfId="13950"/>
    <tableColumn id="2440" name="Columna2426" dataDxfId="30573" totalsRowDxfId="13949"/>
    <tableColumn id="2441" name="Columna2427" dataDxfId="30572" totalsRowDxfId="13948"/>
    <tableColumn id="2442" name="Columna2428" dataDxfId="30571" totalsRowDxfId="13947"/>
    <tableColumn id="2443" name="Columna2429" dataDxfId="30570" totalsRowDxfId="13946"/>
    <tableColumn id="2444" name="Columna2430" dataDxfId="30569" totalsRowDxfId="13945"/>
    <tableColumn id="2445" name="Columna2431" dataDxfId="30568" totalsRowDxfId="13944"/>
    <tableColumn id="2446" name="Columna2432" dataDxfId="30567" totalsRowDxfId="13943"/>
    <tableColumn id="2447" name="Columna2433" dataDxfId="30566" totalsRowDxfId="13942"/>
    <tableColumn id="2448" name="Columna2434" dataDxfId="30565" totalsRowDxfId="13941"/>
    <tableColumn id="2449" name="Columna2435" dataDxfId="30564" totalsRowDxfId="13940"/>
    <tableColumn id="2450" name="Columna2436" dataDxfId="30563" totalsRowDxfId="13939"/>
    <tableColumn id="2451" name="Columna2437" dataDxfId="30562" totalsRowDxfId="13938"/>
    <tableColumn id="2452" name="Columna2438" dataDxfId="30561" totalsRowDxfId="13937"/>
    <tableColumn id="2453" name="Columna2439" dataDxfId="30560" totalsRowDxfId="13936"/>
    <tableColumn id="2454" name="Columna2440" dataDxfId="30559" totalsRowDxfId="13935"/>
    <tableColumn id="2455" name="Columna2441" dataDxfId="30558" totalsRowDxfId="13934"/>
    <tableColumn id="2456" name="Columna2442" dataDxfId="30557" totalsRowDxfId="13933"/>
    <tableColumn id="2457" name="Columna2443" dataDxfId="30556" totalsRowDxfId="13932"/>
    <tableColumn id="2458" name="Columna2444" dataDxfId="30555" totalsRowDxfId="13931"/>
    <tableColumn id="2459" name="Columna2445" dataDxfId="30554" totalsRowDxfId="13930"/>
    <tableColumn id="2460" name="Columna2446" dataDxfId="30553" totalsRowDxfId="13929"/>
    <tableColumn id="2461" name="Columna2447" dataDxfId="30552" totalsRowDxfId="13928"/>
    <tableColumn id="2462" name="Columna2448" dataDxfId="30551" totalsRowDxfId="13927"/>
    <tableColumn id="2463" name="Columna2449" dataDxfId="30550" totalsRowDxfId="13926"/>
    <tableColumn id="2464" name="Columna2450" dataDxfId="30549" totalsRowDxfId="13925"/>
    <tableColumn id="2465" name="Columna2451" dataDxfId="30548" totalsRowDxfId="13924"/>
    <tableColumn id="2466" name="Columna2452" dataDxfId="30547" totalsRowDxfId="13923"/>
    <tableColumn id="2467" name="Columna2453" dataDxfId="30546" totalsRowDxfId="13922"/>
    <tableColumn id="2468" name="Columna2454" dataDxfId="30545" totalsRowDxfId="13921"/>
    <tableColumn id="2469" name="Columna2455" dataDxfId="30544" totalsRowDxfId="13920"/>
    <tableColumn id="2470" name="Columna2456" dataDxfId="30543" totalsRowDxfId="13919"/>
    <tableColumn id="2471" name="Columna2457" dataDxfId="30542" totalsRowDxfId="13918"/>
    <tableColumn id="2472" name="Columna2458" dataDxfId="30541" totalsRowDxfId="13917"/>
    <tableColumn id="2473" name="Columna2459" dataDxfId="30540" totalsRowDxfId="13916"/>
    <tableColumn id="2474" name="Columna2460" dataDxfId="30539" totalsRowDxfId="13915"/>
    <tableColumn id="2475" name="Columna2461" dataDxfId="30538" totalsRowDxfId="13914"/>
    <tableColumn id="2476" name="Columna2462" dataDxfId="30537" totalsRowDxfId="13913"/>
    <tableColumn id="2477" name="Columna2463" dataDxfId="30536" totalsRowDxfId="13912"/>
    <tableColumn id="2478" name="Columna2464" dataDxfId="30535" totalsRowDxfId="13911"/>
    <tableColumn id="2479" name="Columna2465" dataDxfId="30534" totalsRowDxfId="13910"/>
    <tableColumn id="2480" name="Columna2466" dataDxfId="30533" totalsRowDxfId="13909"/>
    <tableColumn id="2481" name="Columna2467" dataDxfId="30532" totalsRowDxfId="13908"/>
    <tableColumn id="2482" name="Columna2468" dataDxfId="30531" totalsRowDxfId="13907"/>
    <tableColumn id="2483" name="Columna2469" dataDxfId="30530" totalsRowDxfId="13906"/>
    <tableColumn id="2484" name="Columna2470" dataDxfId="30529" totalsRowDxfId="13905"/>
    <tableColumn id="2485" name="Columna2471" dataDxfId="30528" totalsRowDxfId="13904"/>
    <tableColumn id="2486" name="Columna2472" dataDxfId="30527" totalsRowDxfId="13903"/>
    <tableColumn id="2487" name="Columna2473" dataDxfId="30526" totalsRowDxfId="13902"/>
    <tableColumn id="2488" name="Columna2474" dataDxfId="30525" totalsRowDxfId="13901"/>
    <tableColumn id="2489" name="Columna2475" dataDxfId="30524" totalsRowDxfId="13900"/>
    <tableColumn id="2490" name="Columna2476" dataDxfId="30523" totalsRowDxfId="13899"/>
    <tableColumn id="2491" name="Columna2477" dataDxfId="30522" totalsRowDxfId="13898"/>
    <tableColumn id="2492" name="Columna2478" dataDxfId="30521" totalsRowDxfId="13897"/>
    <tableColumn id="2493" name="Columna2479" dataDxfId="30520" totalsRowDxfId="13896"/>
    <tableColumn id="2494" name="Columna2480" dataDxfId="30519" totalsRowDxfId="13895"/>
    <tableColumn id="2495" name="Columna2481" dataDxfId="30518" totalsRowDxfId="13894"/>
    <tableColumn id="2496" name="Columna2482" dataDxfId="30517" totalsRowDxfId="13893"/>
    <tableColumn id="2497" name="Columna2483" dataDxfId="30516" totalsRowDxfId="13892"/>
    <tableColumn id="2498" name="Columna2484" dataDxfId="30515" totalsRowDxfId="13891"/>
    <tableColumn id="2499" name="Columna2485" dataDxfId="30514" totalsRowDxfId="13890"/>
    <tableColumn id="2500" name="Columna2486" dataDxfId="30513" totalsRowDxfId="13889"/>
    <tableColumn id="2501" name="Columna2487" dataDxfId="30512" totalsRowDxfId="13888"/>
    <tableColumn id="2502" name="Columna2488" dataDxfId="30511" totalsRowDxfId="13887"/>
    <tableColumn id="2503" name="Columna2489" dataDxfId="30510" totalsRowDxfId="13886"/>
    <tableColumn id="2504" name="Columna2490" dataDxfId="30509" totalsRowDxfId="13885"/>
    <tableColumn id="2505" name="Columna2491" dataDxfId="30508" totalsRowDxfId="13884"/>
    <tableColumn id="2506" name="Columna2492" dataDxfId="30507" totalsRowDxfId="13883"/>
    <tableColumn id="2507" name="Columna2493" dataDxfId="30506" totalsRowDxfId="13882"/>
    <tableColumn id="2508" name="Columna2494" dataDxfId="30505" totalsRowDxfId="13881"/>
    <tableColumn id="2509" name="Columna2495" dataDxfId="30504" totalsRowDxfId="13880"/>
    <tableColumn id="2510" name="Columna2496" dataDxfId="30503" totalsRowDxfId="13879"/>
    <tableColumn id="2511" name="Columna2497" dataDxfId="30502" totalsRowDxfId="13878"/>
    <tableColumn id="2512" name="Columna2498" dataDxfId="30501" totalsRowDxfId="13877"/>
    <tableColumn id="2513" name="Columna2499" dataDxfId="30500" totalsRowDxfId="13876"/>
    <tableColumn id="2514" name="Columna2500" dataDxfId="30499" totalsRowDxfId="13875"/>
    <tableColumn id="2515" name="Columna2501" dataDxfId="30498" totalsRowDxfId="13874"/>
    <tableColumn id="2516" name="Columna2502" dataDxfId="30497" totalsRowDxfId="13873"/>
    <tableColumn id="2517" name="Columna2503" dataDxfId="30496" totalsRowDxfId="13872"/>
    <tableColumn id="2518" name="Columna2504" dataDxfId="30495" totalsRowDxfId="13871"/>
    <tableColumn id="2519" name="Columna2505" dataDxfId="30494" totalsRowDxfId="13870"/>
    <tableColumn id="2520" name="Columna2506" dataDxfId="30493" totalsRowDxfId="13869"/>
    <tableColumn id="2521" name="Columna2507" dataDxfId="30492" totalsRowDxfId="13868"/>
    <tableColumn id="2522" name="Columna2508" dataDxfId="30491" totalsRowDxfId="13867"/>
    <tableColumn id="2523" name="Columna2509" dataDxfId="30490" totalsRowDxfId="13866"/>
    <tableColumn id="2524" name="Columna2510" dataDxfId="30489" totalsRowDxfId="13865"/>
    <tableColumn id="2525" name="Columna2511" dataDxfId="30488" totalsRowDxfId="13864"/>
    <tableColumn id="2526" name="Columna2512" dataDxfId="30487" totalsRowDxfId="13863"/>
    <tableColumn id="2527" name="Columna2513" dataDxfId="30486" totalsRowDxfId="13862"/>
    <tableColumn id="2528" name="Columna2514" dataDxfId="30485" totalsRowDxfId="13861"/>
    <tableColumn id="2529" name="Columna2515" dataDxfId="30484" totalsRowDxfId="13860"/>
    <tableColumn id="2530" name="Columna2516" dataDxfId="30483" totalsRowDxfId="13859"/>
    <tableColumn id="2531" name="Columna2517" dataDxfId="30482" totalsRowDxfId="13858"/>
    <tableColumn id="2532" name="Columna2518" dataDxfId="30481" totalsRowDxfId="13857"/>
    <tableColumn id="2533" name="Columna2519" dataDxfId="30480" totalsRowDxfId="13856"/>
    <tableColumn id="2534" name="Columna2520" dataDxfId="30479" totalsRowDxfId="13855"/>
    <tableColumn id="2535" name="Columna2521" dataDxfId="30478" totalsRowDxfId="13854"/>
    <tableColumn id="2536" name="Columna2522" dataDxfId="30477" totalsRowDxfId="13853"/>
    <tableColumn id="2537" name="Columna2523" dataDxfId="30476" totalsRowDxfId="13852"/>
    <tableColumn id="2538" name="Columna2524" dataDxfId="30475" totalsRowDxfId="13851"/>
    <tableColumn id="2539" name="Columna2525" dataDxfId="30474" totalsRowDxfId="13850"/>
    <tableColumn id="2540" name="Columna2526" dataDxfId="30473" totalsRowDxfId="13849"/>
    <tableColumn id="2541" name="Columna2527" dataDxfId="30472" totalsRowDxfId="13848"/>
    <tableColumn id="2542" name="Columna2528" dataDxfId="30471" totalsRowDxfId="13847"/>
    <tableColumn id="2543" name="Columna2529" dataDxfId="30470" totalsRowDxfId="13846"/>
    <tableColumn id="2544" name="Columna2530" dataDxfId="30469" totalsRowDxfId="13845"/>
    <tableColumn id="2545" name="Columna2531" dataDxfId="30468" totalsRowDxfId="13844"/>
    <tableColumn id="2546" name="Columna2532" dataDxfId="30467" totalsRowDxfId="13843"/>
    <tableColumn id="2547" name="Columna2533" dataDxfId="30466" totalsRowDxfId="13842"/>
    <tableColumn id="2548" name="Columna2534" dataDxfId="30465" totalsRowDxfId="13841"/>
    <tableColumn id="2549" name="Columna2535" dataDxfId="30464" totalsRowDxfId="13840"/>
    <tableColumn id="2550" name="Columna2536" dataDxfId="30463" totalsRowDxfId="13839"/>
    <tableColumn id="2551" name="Columna2537" dataDxfId="30462" totalsRowDxfId="13838"/>
    <tableColumn id="2552" name="Columna2538" dataDxfId="30461" totalsRowDxfId="13837"/>
    <tableColumn id="2553" name="Columna2539" dataDxfId="30460" totalsRowDxfId="13836"/>
    <tableColumn id="2554" name="Columna2540" dataDxfId="30459" totalsRowDxfId="13835"/>
    <tableColumn id="2555" name="Columna2541" dataDxfId="30458" totalsRowDxfId="13834"/>
    <tableColumn id="2556" name="Columna2542" dataDxfId="30457" totalsRowDxfId="13833"/>
    <tableColumn id="2557" name="Columna2543" dataDxfId="30456" totalsRowDxfId="13832"/>
    <tableColumn id="2558" name="Columna2544" dataDxfId="30455" totalsRowDxfId="13831"/>
    <tableColumn id="2559" name="Columna2545" dataDxfId="30454" totalsRowDxfId="13830"/>
    <tableColumn id="2560" name="Columna2546" dataDxfId="30453" totalsRowDxfId="13829"/>
    <tableColumn id="2561" name="Columna2547" dataDxfId="30452" totalsRowDxfId="13828"/>
    <tableColumn id="2562" name="Columna2548" dataDxfId="30451" totalsRowDxfId="13827"/>
    <tableColumn id="2563" name="Columna2549" dataDxfId="30450" totalsRowDxfId="13826"/>
    <tableColumn id="2564" name="Columna2550" dataDxfId="30449" totalsRowDxfId="13825"/>
    <tableColumn id="2565" name="Columna2551" dataDxfId="30448" totalsRowDxfId="13824"/>
    <tableColumn id="2566" name="Columna2552" dataDxfId="30447" totalsRowDxfId="13823"/>
    <tableColumn id="2567" name="Columna2553" dataDxfId="30446" totalsRowDxfId="13822"/>
    <tableColumn id="2568" name="Columna2554" dataDxfId="30445" totalsRowDxfId="13821"/>
    <tableColumn id="2569" name="Columna2555" dataDxfId="30444" totalsRowDxfId="13820"/>
    <tableColumn id="2570" name="Columna2556" dataDxfId="30443" totalsRowDxfId="13819"/>
    <tableColumn id="2571" name="Columna2557" dataDxfId="30442" totalsRowDxfId="13818"/>
    <tableColumn id="2572" name="Columna2558" dataDxfId="30441" totalsRowDxfId="13817"/>
    <tableColumn id="2573" name="Columna2559" dataDxfId="30440" totalsRowDxfId="13816"/>
    <tableColumn id="2574" name="Columna2560" dataDxfId="30439" totalsRowDxfId="13815"/>
    <tableColumn id="2575" name="Columna2561" dataDxfId="30438" totalsRowDxfId="13814"/>
    <tableColumn id="2576" name="Columna2562" dataDxfId="30437" totalsRowDxfId="13813"/>
    <tableColumn id="2577" name="Columna2563" dataDxfId="30436" totalsRowDxfId="13812"/>
    <tableColumn id="2578" name="Columna2564" dataDxfId="30435" totalsRowDxfId="13811"/>
    <tableColumn id="2579" name="Columna2565" dataDxfId="30434" totalsRowDxfId="13810"/>
    <tableColumn id="2580" name="Columna2566" dataDxfId="30433" totalsRowDxfId="13809"/>
    <tableColumn id="2581" name="Columna2567" dataDxfId="30432" totalsRowDxfId="13808"/>
    <tableColumn id="2582" name="Columna2568" dataDxfId="30431" totalsRowDxfId="13807"/>
    <tableColumn id="2583" name="Columna2569" dataDxfId="30430" totalsRowDxfId="13806"/>
    <tableColumn id="2584" name="Columna2570" dataDxfId="30429" totalsRowDxfId="13805"/>
    <tableColumn id="2585" name="Columna2571" dataDxfId="30428" totalsRowDxfId="13804"/>
    <tableColumn id="2586" name="Columna2572" dataDxfId="30427" totalsRowDxfId="13803"/>
    <tableColumn id="2587" name="Columna2573" dataDxfId="30426" totalsRowDxfId="13802"/>
    <tableColumn id="2588" name="Columna2574" dataDxfId="30425" totalsRowDxfId="13801"/>
    <tableColumn id="2589" name="Columna2575" dataDxfId="30424" totalsRowDxfId="13800"/>
    <tableColumn id="2590" name="Columna2576" dataDxfId="30423" totalsRowDxfId="13799"/>
    <tableColumn id="2591" name="Columna2577" dataDxfId="30422" totalsRowDxfId="13798"/>
    <tableColumn id="2592" name="Columna2578" dataDxfId="30421" totalsRowDxfId="13797"/>
    <tableColumn id="2593" name="Columna2579" dataDxfId="30420" totalsRowDxfId="13796"/>
    <tableColumn id="2594" name="Columna2580" dataDxfId="30419" totalsRowDxfId="13795"/>
    <tableColumn id="2595" name="Columna2581" dataDxfId="30418" totalsRowDxfId="13794"/>
    <tableColumn id="2596" name="Columna2582" dataDxfId="30417" totalsRowDxfId="13793"/>
    <tableColumn id="2597" name="Columna2583" dataDxfId="30416" totalsRowDxfId="13792"/>
    <tableColumn id="2598" name="Columna2584" dataDxfId="30415" totalsRowDxfId="13791"/>
    <tableColumn id="2599" name="Columna2585" dataDxfId="30414" totalsRowDxfId="13790"/>
    <tableColumn id="2600" name="Columna2586" dataDxfId="30413" totalsRowDxfId="13789"/>
    <tableColumn id="2601" name="Columna2587" dataDxfId="30412" totalsRowDxfId="13788"/>
    <tableColumn id="2602" name="Columna2588" dataDxfId="30411" totalsRowDxfId="13787"/>
    <tableColumn id="2603" name="Columna2589" dataDxfId="30410" totalsRowDxfId="13786"/>
    <tableColumn id="2604" name="Columna2590" dataDxfId="30409" totalsRowDxfId="13785"/>
    <tableColumn id="2605" name="Columna2591" dataDxfId="30408" totalsRowDxfId="13784"/>
    <tableColumn id="2606" name="Columna2592" dataDxfId="30407" totalsRowDxfId="13783"/>
    <tableColumn id="2607" name="Columna2593" dataDxfId="30406" totalsRowDxfId="13782"/>
    <tableColumn id="2608" name="Columna2594" dataDxfId="30405" totalsRowDxfId="13781"/>
    <tableColumn id="2609" name="Columna2595" dataDxfId="30404" totalsRowDxfId="13780"/>
    <tableColumn id="2610" name="Columna2596" dataDxfId="30403" totalsRowDxfId="13779"/>
    <tableColumn id="2611" name="Columna2597" dataDxfId="30402" totalsRowDxfId="13778"/>
    <tableColumn id="2612" name="Columna2598" dataDxfId="30401" totalsRowDxfId="13777"/>
    <tableColumn id="2613" name="Columna2599" dataDxfId="30400" totalsRowDxfId="13776"/>
    <tableColumn id="2614" name="Columna2600" dataDxfId="30399" totalsRowDxfId="13775"/>
    <tableColumn id="2615" name="Columna2601" dataDxfId="30398" totalsRowDxfId="13774"/>
    <tableColumn id="2616" name="Columna2602" dataDxfId="30397" totalsRowDxfId="13773"/>
    <tableColumn id="2617" name="Columna2603" dataDxfId="30396" totalsRowDxfId="13772"/>
    <tableColumn id="2618" name="Columna2604" dataDxfId="30395" totalsRowDxfId="13771"/>
    <tableColumn id="2619" name="Columna2605" dataDxfId="30394" totalsRowDxfId="13770"/>
    <tableColumn id="2620" name="Columna2606" dataDxfId="30393" totalsRowDxfId="13769"/>
    <tableColumn id="2621" name="Columna2607" dataDxfId="30392" totalsRowDxfId="13768"/>
    <tableColumn id="2622" name="Columna2608" dataDxfId="30391" totalsRowDxfId="13767"/>
    <tableColumn id="2623" name="Columna2609" dataDxfId="30390" totalsRowDxfId="13766"/>
    <tableColumn id="2624" name="Columna2610" dataDxfId="30389" totalsRowDxfId="13765"/>
    <tableColumn id="2625" name="Columna2611" dataDxfId="30388" totalsRowDxfId="13764"/>
    <tableColumn id="2626" name="Columna2612" dataDxfId="30387" totalsRowDxfId="13763"/>
    <tableColumn id="2627" name="Columna2613" dataDxfId="30386" totalsRowDxfId="13762"/>
    <tableColumn id="2628" name="Columna2614" dataDxfId="30385" totalsRowDxfId="13761"/>
    <tableColumn id="2629" name="Columna2615" dataDxfId="30384" totalsRowDxfId="13760"/>
    <tableColumn id="2630" name="Columna2616" dataDxfId="30383" totalsRowDxfId="13759"/>
    <tableColumn id="2631" name="Columna2617" dataDxfId="30382" totalsRowDxfId="13758"/>
    <tableColumn id="2632" name="Columna2618" dataDxfId="30381" totalsRowDxfId="13757"/>
    <tableColumn id="2633" name="Columna2619" dataDxfId="30380" totalsRowDxfId="13756"/>
    <tableColumn id="2634" name="Columna2620" dataDxfId="30379" totalsRowDxfId="13755"/>
    <tableColumn id="2635" name="Columna2621" dataDxfId="30378" totalsRowDxfId="13754"/>
    <tableColumn id="2636" name="Columna2622" dataDxfId="30377" totalsRowDxfId="13753"/>
    <tableColumn id="2637" name="Columna2623" dataDxfId="30376" totalsRowDxfId="13752"/>
    <tableColumn id="2638" name="Columna2624" dataDxfId="30375" totalsRowDxfId="13751"/>
    <tableColumn id="2639" name="Columna2625" dataDxfId="30374" totalsRowDxfId="13750"/>
    <tableColumn id="2640" name="Columna2626" dataDxfId="30373" totalsRowDxfId="13749"/>
    <tableColumn id="2641" name="Columna2627" dataDxfId="30372" totalsRowDxfId="13748"/>
    <tableColumn id="2642" name="Columna2628" dataDxfId="30371" totalsRowDxfId="13747"/>
    <tableColumn id="2643" name="Columna2629" dataDxfId="30370" totalsRowDxfId="13746"/>
    <tableColumn id="2644" name="Columna2630" dataDxfId="30369" totalsRowDxfId="13745"/>
    <tableColumn id="2645" name="Columna2631" dataDxfId="30368" totalsRowDxfId="13744"/>
    <tableColumn id="2646" name="Columna2632" dataDxfId="30367" totalsRowDxfId="13743"/>
    <tableColumn id="2647" name="Columna2633" dataDxfId="30366" totalsRowDxfId="13742"/>
    <tableColumn id="2648" name="Columna2634" dataDxfId="30365" totalsRowDxfId="13741"/>
    <tableColumn id="2649" name="Columna2635" dataDxfId="30364" totalsRowDxfId="13740"/>
    <tableColumn id="2650" name="Columna2636" dataDxfId="30363" totalsRowDxfId="13739"/>
    <tableColumn id="2651" name="Columna2637" dataDxfId="30362" totalsRowDxfId="13738"/>
    <tableColumn id="2652" name="Columna2638" dataDxfId="30361" totalsRowDxfId="13737"/>
    <tableColumn id="2653" name="Columna2639" dataDxfId="30360" totalsRowDxfId="13736"/>
    <tableColumn id="2654" name="Columna2640" dataDxfId="30359" totalsRowDxfId="13735"/>
    <tableColumn id="2655" name="Columna2641" dataDxfId="30358" totalsRowDxfId="13734"/>
    <tableColumn id="2656" name="Columna2642" dataDxfId="30357" totalsRowDxfId="13733"/>
    <tableColumn id="2657" name="Columna2643" dataDxfId="30356" totalsRowDxfId="13732"/>
    <tableColumn id="2658" name="Columna2644" dataDxfId="30355" totalsRowDxfId="13731"/>
    <tableColumn id="2659" name="Columna2645" dataDxfId="30354" totalsRowDxfId="13730"/>
    <tableColumn id="2660" name="Columna2646" dataDxfId="30353" totalsRowDxfId="13729"/>
    <tableColumn id="2661" name="Columna2647" dataDxfId="30352" totalsRowDxfId="13728"/>
    <tableColumn id="2662" name="Columna2648" dataDxfId="30351" totalsRowDxfId="13727"/>
    <tableColumn id="2663" name="Columna2649" dataDxfId="30350" totalsRowDxfId="13726"/>
    <tableColumn id="2664" name="Columna2650" dataDxfId="30349" totalsRowDxfId="13725"/>
    <tableColumn id="2665" name="Columna2651" dataDxfId="30348" totalsRowDxfId="13724"/>
    <tableColumn id="2666" name="Columna2652" dataDxfId="30347" totalsRowDxfId="13723"/>
    <tableColumn id="2667" name="Columna2653" dataDxfId="30346" totalsRowDxfId="13722"/>
    <tableColumn id="2668" name="Columna2654" dataDxfId="30345" totalsRowDxfId="13721"/>
    <tableColumn id="2669" name="Columna2655" dataDxfId="30344" totalsRowDxfId="13720"/>
    <tableColumn id="2670" name="Columna2656" dataDxfId="30343" totalsRowDxfId="13719"/>
    <tableColumn id="2671" name="Columna2657" dataDxfId="30342" totalsRowDxfId="13718"/>
    <tableColumn id="2672" name="Columna2658" dataDxfId="30341" totalsRowDxfId="13717"/>
    <tableColumn id="2673" name="Columna2659" dataDxfId="30340" totalsRowDxfId="13716"/>
    <tableColumn id="2674" name="Columna2660" dataDxfId="30339" totalsRowDxfId="13715"/>
    <tableColumn id="2675" name="Columna2661" dataDxfId="30338" totalsRowDxfId="13714"/>
    <tableColumn id="2676" name="Columna2662" dataDxfId="30337" totalsRowDxfId="13713"/>
    <tableColumn id="2677" name="Columna2663" dataDxfId="30336" totalsRowDxfId="13712"/>
    <tableColumn id="2678" name="Columna2664" dataDxfId="30335" totalsRowDxfId="13711"/>
    <tableColumn id="2679" name="Columna2665" dataDxfId="30334" totalsRowDxfId="13710"/>
    <tableColumn id="2680" name="Columna2666" dataDxfId="30333" totalsRowDxfId="13709"/>
    <tableColumn id="2681" name="Columna2667" dataDxfId="30332" totalsRowDxfId="13708"/>
    <tableColumn id="2682" name="Columna2668" dataDxfId="30331" totalsRowDxfId="13707"/>
    <tableColumn id="2683" name="Columna2669" dataDxfId="30330" totalsRowDxfId="13706"/>
    <tableColumn id="2684" name="Columna2670" dataDxfId="30329" totalsRowDxfId="13705"/>
    <tableColumn id="2685" name="Columna2671" dataDxfId="30328" totalsRowDxfId="13704"/>
    <tableColumn id="2686" name="Columna2672" dataDxfId="30327" totalsRowDxfId="13703"/>
    <tableColumn id="2687" name="Columna2673" dataDxfId="30326" totalsRowDxfId="13702"/>
    <tableColumn id="2688" name="Columna2674" dataDxfId="30325" totalsRowDxfId="13701"/>
    <tableColumn id="2689" name="Columna2675" dataDxfId="30324" totalsRowDxfId="13700"/>
    <tableColumn id="2690" name="Columna2676" dataDxfId="30323" totalsRowDxfId="13699"/>
    <tableColumn id="2691" name="Columna2677" dataDxfId="30322" totalsRowDxfId="13698"/>
    <tableColumn id="2692" name="Columna2678" dataDxfId="30321" totalsRowDxfId="13697"/>
    <tableColumn id="2693" name="Columna2679" dataDxfId="30320" totalsRowDxfId="13696"/>
    <tableColumn id="2694" name="Columna2680" dataDxfId="30319" totalsRowDxfId="13695"/>
    <tableColumn id="2695" name="Columna2681" dataDxfId="30318" totalsRowDxfId="13694"/>
    <tableColumn id="2696" name="Columna2682" dataDxfId="30317" totalsRowDxfId="13693"/>
    <tableColumn id="2697" name="Columna2683" dataDxfId="30316" totalsRowDxfId="13692"/>
    <tableColumn id="2698" name="Columna2684" dataDxfId="30315" totalsRowDxfId="13691"/>
    <tableColumn id="2699" name="Columna2685" dataDxfId="30314" totalsRowDxfId="13690"/>
    <tableColumn id="2700" name="Columna2686" dataDxfId="30313" totalsRowDxfId="13689"/>
    <tableColumn id="2701" name="Columna2687" dataDxfId="30312" totalsRowDxfId="13688"/>
    <tableColumn id="2702" name="Columna2688" dataDxfId="30311" totalsRowDxfId="13687"/>
    <tableColumn id="2703" name="Columna2689" dataDxfId="30310" totalsRowDxfId="13686"/>
    <tableColumn id="2704" name="Columna2690" dataDxfId="30309" totalsRowDxfId="13685"/>
    <tableColumn id="2705" name="Columna2691" dataDxfId="30308" totalsRowDxfId="13684"/>
    <tableColumn id="2706" name="Columna2692" dataDxfId="30307" totalsRowDxfId="13683"/>
    <tableColumn id="2707" name="Columna2693" dataDxfId="30306" totalsRowDxfId="13682"/>
    <tableColumn id="2708" name="Columna2694" dataDxfId="30305" totalsRowDxfId="13681"/>
    <tableColumn id="2709" name="Columna2695" dataDxfId="30304" totalsRowDxfId="13680"/>
    <tableColumn id="2710" name="Columna2696" dataDxfId="30303" totalsRowDxfId="13679"/>
    <tableColumn id="2711" name="Columna2697" dataDxfId="30302" totalsRowDxfId="13678"/>
    <tableColumn id="2712" name="Columna2698" dataDxfId="30301" totalsRowDxfId="13677"/>
    <tableColumn id="2713" name="Columna2699" dataDxfId="30300" totalsRowDxfId="13676"/>
    <tableColumn id="2714" name="Columna2700" dataDxfId="30299" totalsRowDxfId="13675"/>
    <tableColumn id="2715" name="Columna2701" dataDxfId="30298" totalsRowDxfId="13674"/>
    <tableColumn id="2716" name="Columna2702" dataDxfId="30297" totalsRowDxfId="13673"/>
    <tableColumn id="2717" name="Columna2703" dataDxfId="30296" totalsRowDxfId="13672"/>
    <tableColumn id="2718" name="Columna2704" dataDxfId="30295" totalsRowDxfId="13671"/>
    <tableColumn id="2719" name="Columna2705" dataDxfId="30294" totalsRowDxfId="13670"/>
    <tableColumn id="2720" name="Columna2706" dataDxfId="30293" totalsRowDxfId="13669"/>
    <tableColumn id="2721" name="Columna2707" dataDxfId="30292" totalsRowDxfId="13668"/>
    <tableColumn id="2722" name="Columna2708" dataDxfId="30291" totalsRowDxfId="13667"/>
    <tableColumn id="2723" name="Columna2709" dataDxfId="30290" totalsRowDxfId="13666"/>
    <tableColumn id="2724" name="Columna2710" dataDxfId="30289" totalsRowDxfId="13665"/>
    <tableColumn id="2725" name="Columna2711" dataDxfId="30288" totalsRowDxfId="13664"/>
    <tableColumn id="2726" name="Columna2712" dataDxfId="30287" totalsRowDxfId="13663"/>
    <tableColumn id="2727" name="Columna2713" dataDxfId="30286" totalsRowDxfId="13662"/>
    <tableColumn id="2728" name="Columna2714" dataDxfId="30285" totalsRowDxfId="13661"/>
    <tableColumn id="2729" name="Columna2715" dataDxfId="30284" totalsRowDxfId="13660"/>
    <tableColumn id="2730" name="Columna2716" dataDxfId="30283" totalsRowDxfId="13659"/>
    <tableColumn id="2731" name="Columna2717" dataDxfId="30282" totalsRowDxfId="13658"/>
    <tableColumn id="2732" name="Columna2718" dataDxfId="30281" totalsRowDxfId="13657"/>
    <tableColumn id="2733" name="Columna2719" dataDxfId="30280" totalsRowDxfId="13656"/>
    <tableColumn id="2734" name="Columna2720" dataDxfId="30279" totalsRowDxfId="13655"/>
    <tableColumn id="2735" name="Columna2721" dataDxfId="30278" totalsRowDxfId="13654"/>
    <tableColumn id="2736" name="Columna2722" dataDxfId="30277" totalsRowDxfId="13653"/>
    <tableColumn id="2737" name="Columna2723" dataDxfId="30276" totalsRowDxfId="13652"/>
    <tableColumn id="2738" name="Columna2724" dataDxfId="30275" totalsRowDxfId="13651"/>
    <tableColumn id="2739" name="Columna2725" dataDxfId="30274" totalsRowDxfId="13650"/>
    <tableColumn id="2740" name="Columna2726" dataDxfId="30273" totalsRowDxfId="13649"/>
    <tableColumn id="2741" name="Columna2727" dataDxfId="30272" totalsRowDxfId="13648"/>
    <tableColumn id="2742" name="Columna2728" dataDxfId="30271" totalsRowDxfId="13647"/>
    <tableColumn id="2743" name="Columna2729" dataDxfId="30270" totalsRowDxfId="13646"/>
    <tableColumn id="2744" name="Columna2730" dataDxfId="30269" totalsRowDxfId="13645"/>
    <tableColumn id="2745" name="Columna2731" dataDxfId="30268" totalsRowDxfId="13644"/>
    <tableColumn id="2746" name="Columna2732" dataDxfId="30267" totalsRowDxfId="13643"/>
    <tableColumn id="2747" name="Columna2733" dataDxfId="30266" totalsRowDxfId="13642"/>
    <tableColumn id="2748" name="Columna2734" dataDxfId="30265" totalsRowDxfId="13641"/>
    <tableColumn id="2749" name="Columna2735" dataDxfId="30264" totalsRowDxfId="13640"/>
    <tableColumn id="2750" name="Columna2736" dataDxfId="30263" totalsRowDxfId="13639"/>
    <tableColumn id="2751" name="Columna2737" dataDxfId="30262" totalsRowDxfId="13638"/>
    <tableColumn id="2752" name="Columna2738" dataDxfId="30261" totalsRowDxfId="13637"/>
    <tableColumn id="2753" name="Columna2739" dataDxfId="30260" totalsRowDxfId="13636"/>
    <tableColumn id="2754" name="Columna2740" dataDxfId="30259" totalsRowDxfId="13635"/>
    <tableColumn id="2755" name="Columna2741" dataDxfId="30258" totalsRowDxfId="13634"/>
    <tableColumn id="2756" name="Columna2742" dataDxfId="30257" totalsRowDxfId="13633"/>
    <tableColumn id="2757" name="Columna2743" dataDxfId="30256" totalsRowDxfId="13632"/>
    <tableColumn id="2758" name="Columna2744" dataDxfId="30255" totalsRowDxfId="13631"/>
    <tableColumn id="2759" name="Columna2745" dataDxfId="30254" totalsRowDxfId="13630"/>
    <tableColumn id="2760" name="Columna2746" dataDxfId="30253" totalsRowDxfId="13629"/>
    <tableColumn id="2761" name="Columna2747" dataDxfId="30252" totalsRowDxfId="13628"/>
    <tableColumn id="2762" name="Columna2748" dataDxfId="30251" totalsRowDxfId="13627"/>
    <tableColumn id="2763" name="Columna2749" dataDxfId="30250" totalsRowDxfId="13626"/>
    <tableColumn id="2764" name="Columna2750" dataDxfId="30249" totalsRowDxfId="13625"/>
    <tableColumn id="2765" name="Columna2751" dataDxfId="30248" totalsRowDxfId="13624"/>
    <tableColumn id="2766" name="Columna2752" dataDxfId="30247" totalsRowDxfId="13623"/>
    <tableColumn id="2767" name="Columna2753" dataDxfId="30246" totalsRowDxfId="13622"/>
    <tableColumn id="2768" name="Columna2754" dataDxfId="30245" totalsRowDxfId="13621"/>
    <tableColumn id="2769" name="Columna2755" dataDxfId="30244" totalsRowDxfId="13620"/>
    <tableColumn id="2770" name="Columna2756" dataDxfId="30243" totalsRowDxfId="13619"/>
    <tableColumn id="2771" name="Columna2757" dataDxfId="30242" totalsRowDxfId="13618"/>
    <tableColumn id="2772" name="Columna2758" dataDxfId="30241" totalsRowDxfId="13617"/>
    <tableColumn id="2773" name="Columna2759" dataDxfId="30240" totalsRowDxfId="13616"/>
    <tableColumn id="2774" name="Columna2760" dataDxfId="30239" totalsRowDxfId="13615"/>
    <tableColumn id="2775" name="Columna2761" dataDxfId="30238" totalsRowDxfId="13614"/>
    <tableColumn id="2776" name="Columna2762" dataDxfId="30237" totalsRowDxfId="13613"/>
    <tableColumn id="2777" name="Columna2763" dataDxfId="30236" totalsRowDxfId="13612"/>
    <tableColumn id="2778" name="Columna2764" dataDxfId="30235" totalsRowDxfId="13611"/>
    <tableColumn id="2779" name="Columna2765" dataDxfId="30234" totalsRowDxfId="13610"/>
    <tableColumn id="2780" name="Columna2766" dataDxfId="30233" totalsRowDxfId="13609"/>
    <tableColumn id="2781" name="Columna2767" dataDxfId="30232" totalsRowDxfId="13608"/>
    <tableColumn id="2782" name="Columna2768" dataDxfId="30231" totalsRowDxfId="13607"/>
    <tableColumn id="2783" name="Columna2769" dataDxfId="30230" totalsRowDxfId="13606"/>
    <tableColumn id="2784" name="Columna2770" dataDxfId="30229" totalsRowDxfId="13605"/>
    <tableColumn id="2785" name="Columna2771" dataDxfId="30228" totalsRowDxfId="13604"/>
    <tableColumn id="2786" name="Columna2772" dataDxfId="30227" totalsRowDxfId="13603"/>
    <tableColumn id="2787" name="Columna2773" dataDxfId="30226" totalsRowDxfId="13602"/>
    <tableColumn id="2788" name="Columna2774" dataDxfId="30225" totalsRowDxfId="13601"/>
    <tableColumn id="2789" name="Columna2775" dataDxfId="30224" totalsRowDxfId="13600"/>
    <tableColumn id="2790" name="Columna2776" dataDxfId="30223" totalsRowDxfId="13599"/>
    <tableColumn id="2791" name="Columna2777" dataDxfId="30222" totalsRowDxfId="13598"/>
    <tableColumn id="2792" name="Columna2778" dataDxfId="30221" totalsRowDxfId="13597"/>
    <tableColumn id="2793" name="Columna2779" dataDxfId="30220" totalsRowDxfId="13596"/>
    <tableColumn id="2794" name="Columna2780" dataDxfId="30219" totalsRowDxfId="13595"/>
    <tableColumn id="2795" name="Columna2781" dataDxfId="30218" totalsRowDxfId="13594"/>
    <tableColumn id="2796" name="Columna2782" dataDxfId="30217" totalsRowDxfId="13593"/>
    <tableColumn id="2797" name="Columna2783" dataDxfId="30216" totalsRowDxfId="13592"/>
    <tableColumn id="2798" name="Columna2784" dataDxfId="30215" totalsRowDxfId="13591"/>
    <tableColumn id="2799" name="Columna2785" dataDxfId="30214" totalsRowDxfId="13590"/>
    <tableColumn id="2800" name="Columna2786" dataDxfId="30213" totalsRowDxfId="13589"/>
    <tableColumn id="2801" name="Columna2787" dataDxfId="30212" totalsRowDxfId="13588"/>
    <tableColumn id="2802" name="Columna2788" dataDxfId="30211" totalsRowDxfId="13587"/>
    <tableColumn id="2803" name="Columna2789" dataDxfId="30210" totalsRowDxfId="13586"/>
    <tableColumn id="2804" name="Columna2790" dataDxfId="30209" totalsRowDxfId="13585"/>
    <tableColumn id="2805" name="Columna2791" dataDxfId="30208" totalsRowDxfId="13584"/>
    <tableColumn id="2806" name="Columna2792" dataDxfId="30207" totalsRowDxfId="13583"/>
    <tableColumn id="2807" name="Columna2793" dataDxfId="30206" totalsRowDxfId="13582"/>
    <tableColumn id="2808" name="Columna2794" dataDxfId="30205" totalsRowDxfId="13581"/>
    <tableColumn id="2809" name="Columna2795" dataDxfId="30204" totalsRowDxfId="13580"/>
    <tableColumn id="2810" name="Columna2796" dataDxfId="30203" totalsRowDxfId="13579"/>
    <tableColumn id="2811" name="Columna2797" dataDxfId="30202" totalsRowDxfId="13578"/>
    <tableColumn id="2812" name="Columna2798" dataDxfId="30201" totalsRowDxfId="13577"/>
    <tableColumn id="2813" name="Columna2799" dataDxfId="30200" totalsRowDxfId="13576"/>
    <tableColumn id="2814" name="Columna2800" dataDxfId="30199" totalsRowDxfId="13575"/>
    <tableColumn id="2815" name="Columna2801" dataDxfId="30198" totalsRowDxfId="13574"/>
    <tableColumn id="2816" name="Columna2802" dataDxfId="30197" totalsRowDxfId="13573"/>
    <tableColumn id="2817" name="Columna2803" dataDxfId="30196" totalsRowDxfId="13572"/>
    <tableColumn id="2818" name="Columna2804" dataDxfId="30195" totalsRowDxfId="13571"/>
    <tableColumn id="2819" name="Columna2805" dataDxfId="30194" totalsRowDxfId="13570"/>
    <tableColumn id="2820" name="Columna2806" dataDxfId="30193" totalsRowDxfId="13569"/>
    <tableColumn id="2821" name="Columna2807" dataDxfId="30192" totalsRowDxfId="13568"/>
    <tableColumn id="2822" name="Columna2808" dataDxfId="30191" totalsRowDxfId="13567"/>
    <tableColumn id="2823" name="Columna2809" dataDxfId="30190" totalsRowDxfId="13566"/>
    <tableColumn id="2824" name="Columna2810" dataDxfId="30189" totalsRowDxfId="13565"/>
    <tableColumn id="2825" name="Columna2811" dataDxfId="30188" totalsRowDxfId="13564"/>
    <tableColumn id="2826" name="Columna2812" dataDxfId="30187" totalsRowDxfId="13563"/>
    <tableColumn id="2827" name="Columna2813" dataDxfId="30186" totalsRowDxfId="13562"/>
    <tableColumn id="2828" name="Columna2814" dataDxfId="30185" totalsRowDxfId="13561"/>
    <tableColumn id="2829" name="Columna2815" dataDxfId="30184" totalsRowDxfId="13560"/>
    <tableColumn id="2830" name="Columna2816" dataDxfId="30183" totalsRowDxfId="13559"/>
    <tableColumn id="2831" name="Columna2817" dataDxfId="30182" totalsRowDxfId="13558"/>
    <tableColumn id="2832" name="Columna2818" dataDxfId="30181" totalsRowDxfId="13557"/>
    <tableColumn id="2833" name="Columna2819" dataDxfId="30180" totalsRowDxfId="13556"/>
    <tableColumn id="2834" name="Columna2820" dataDxfId="30179" totalsRowDxfId="13555"/>
    <tableColumn id="2835" name="Columna2821" dataDxfId="30178" totalsRowDxfId="13554"/>
    <tableColumn id="2836" name="Columna2822" dataDxfId="30177" totalsRowDxfId="13553"/>
    <tableColumn id="2837" name="Columna2823" dataDxfId="30176" totalsRowDxfId="13552"/>
    <tableColumn id="2838" name="Columna2824" dataDxfId="30175" totalsRowDxfId="13551"/>
    <tableColumn id="2839" name="Columna2825" dataDxfId="30174" totalsRowDxfId="13550"/>
    <tableColumn id="2840" name="Columna2826" dataDxfId="30173" totalsRowDxfId="13549"/>
    <tableColumn id="2841" name="Columna2827" dataDxfId="30172" totalsRowDxfId="13548"/>
    <tableColumn id="2842" name="Columna2828" dataDxfId="30171" totalsRowDxfId="13547"/>
    <tableColumn id="2843" name="Columna2829" dataDxfId="30170" totalsRowDxfId="13546"/>
    <tableColumn id="2844" name="Columna2830" dataDxfId="30169" totalsRowDxfId="13545"/>
    <tableColumn id="2845" name="Columna2831" dataDxfId="30168" totalsRowDxfId="13544"/>
    <tableColumn id="2846" name="Columna2832" dataDxfId="30167" totalsRowDxfId="13543"/>
    <tableColumn id="2847" name="Columna2833" dataDxfId="30166" totalsRowDxfId="13542"/>
    <tableColumn id="2848" name="Columna2834" dataDxfId="30165" totalsRowDxfId="13541"/>
    <tableColumn id="2849" name="Columna2835" dataDxfId="30164" totalsRowDxfId="13540"/>
    <tableColumn id="2850" name="Columna2836" dataDxfId="30163" totalsRowDxfId="13539"/>
    <tableColumn id="2851" name="Columna2837" dataDxfId="30162" totalsRowDxfId="13538"/>
    <tableColumn id="2852" name="Columna2838" dataDxfId="30161" totalsRowDxfId="13537"/>
    <tableColumn id="2853" name="Columna2839" dataDxfId="30160" totalsRowDxfId="13536"/>
    <tableColumn id="2854" name="Columna2840" dataDxfId="30159" totalsRowDxfId="13535"/>
    <tableColumn id="2855" name="Columna2841" dataDxfId="30158" totalsRowDxfId="13534"/>
    <tableColumn id="2856" name="Columna2842" dataDxfId="30157" totalsRowDxfId="13533"/>
    <tableColumn id="2857" name="Columna2843" dataDxfId="30156" totalsRowDxfId="13532"/>
    <tableColumn id="2858" name="Columna2844" dataDxfId="30155" totalsRowDxfId="13531"/>
    <tableColumn id="2859" name="Columna2845" dataDxfId="30154" totalsRowDxfId="13530"/>
    <tableColumn id="2860" name="Columna2846" dataDxfId="30153" totalsRowDxfId="13529"/>
    <tableColumn id="2861" name="Columna2847" dataDxfId="30152" totalsRowDxfId="13528"/>
    <tableColumn id="2862" name="Columna2848" dataDxfId="30151" totalsRowDxfId="13527"/>
    <tableColumn id="2863" name="Columna2849" dataDxfId="30150" totalsRowDxfId="13526"/>
    <tableColumn id="2864" name="Columna2850" dataDxfId="30149" totalsRowDxfId="13525"/>
    <tableColumn id="2865" name="Columna2851" dataDxfId="30148" totalsRowDxfId="13524"/>
    <tableColumn id="2866" name="Columna2852" dataDxfId="30147" totalsRowDxfId="13523"/>
    <tableColumn id="2867" name="Columna2853" dataDxfId="30146" totalsRowDxfId="13522"/>
    <tableColumn id="2868" name="Columna2854" dataDxfId="30145" totalsRowDxfId="13521"/>
    <tableColumn id="2869" name="Columna2855" dataDxfId="30144" totalsRowDxfId="13520"/>
    <tableColumn id="2870" name="Columna2856" dataDxfId="30143" totalsRowDxfId="13519"/>
    <tableColumn id="2871" name="Columna2857" dataDxfId="30142" totalsRowDxfId="13518"/>
    <tableColumn id="2872" name="Columna2858" dataDxfId="30141" totalsRowDxfId="13517"/>
    <tableColumn id="2873" name="Columna2859" dataDxfId="30140" totalsRowDxfId="13516"/>
    <tableColumn id="2874" name="Columna2860" dataDxfId="30139" totalsRowDxfId="13515"/>
    <tableColumn id="2875" name="Columna2861" dataDxfId="30138" totalsRowDxfId="13514"/>
    <tableColumn id="2876" name="Columna2862" dataDxfId="30137" totalsRowDxfId="13513"/>
    <tableColumn id="2877" name="Columna2863" dataDxfId="30136" totalsRowDxfId="13512"/>
    <tableColumn id="2878" name="Columna2864" dataDxfId="30135" totalsRowDxfId="13511"/>
    <tableColumn id="2879" name="Columna2865" dataDxfId="30134" totalsRowDxfId="13510"/>
    <tableColumn id="2880" name="Columna2866" dataDxfId="30133" totalsRowDxfId="13509"/>
    <tableColumn id="2881" name="Columna2867" dataDxfId="30132" totalsRowDxfId="13508"/>
    <tableColumn id="2882" name="Columna2868" dataDxfId="30131" totalsRowDxfId="13507"/>
    <tableColumn id="2883" name="Columna2869" dataDxfId="30130" totalsRowDxfId="13506"/>
    <tableColumn id="2884" name="Columna2870" dataDxfId="30129" totalsRowDxfId="13505"/>
    <tableColumn id="2885" name="Columna2871" dataDxfId="30128" totalsRowDxfId="13504"/>
    <tableColumn id="2886" name="Columna2872" dataDxfId="30127" totalsRowDxfId="13503"/>
    <tableColumn id="2887" name="Columna2873" dataDxfId="30126" totalsRowDxfId="13502"/>
    <tableColumn id="2888" name="Columna2874" dataDxfId="30125" totalsRowDxfId="13501"/>
    <tableColumn id="2889" name="Columna2875" dataDxfId="30124" totalsRowDxfId="13500"/>
    <tableColumn id="2890" name="Columna2876" dataDxfId="30123" totalsRowDxfId="13499"/>
    <tableColumn id="2891" name="Columna2877" dataDxfId="30122" totalsRowDxfId="13498"/>
    <tableColumn id="2892" name="Columna2878" dataDxfId="30121" totalsRowDxfId="13497"/>
    <tableColumn id="2893" name="Columna2879" dataDxfId="30120" totalsRowDxfId="13496"/>
    <tableColumn id="2894" name="Columna2880" dataDxfId="30119" totalsRowDxfId="13495"/>
    <tableColumn id="2895" name="Columna2881" dataDxfId="30118" totalsRowDxfId="13494"/>
    <tableColumn id="2896" name="Columna2882" dataDxfId="30117" totalsRowDxfId="13493"/>
    <tableColumn id="2897" name="Columna2883" dataDxfId="30116" totalsRowDxfId="13492"/>
    <tableColumn id="2898" name="Columna2884" dataDxfId="30115" totalsRowDxfId="13491"/>
    <tableColumn id="2899" name="Columna2885" dataDxfId="30114" totalsRowDxfId="13490"/>
    <tableColumn id="2900" name="Columna2886" dataDxfId="30113" totalsRowDxfId="13489"/>
    <tableColumn id="2901" name="Columna2887" dataDxfId="30112" totalsRowDxfId="13488"/>
    <tableColumn id="2902" name="Columna2888" dataDxfId="30111" totalsRowDxfId="13487"/>
    <tableColumn id="2903" name="Columna2889" dataDxfId="30110" totalsRowDxfId="13486"/>
    <tableColumn id="2904" name="Columna2890" dataDxfId="30109" totalsRowDxfId="13485"/>
    <tableColumn id="2905" name="Columna2891" dataDxfId="30108" totalsRowDxfId="13484"/>
    <tableColumn id="2906" name="Columna2892" dataDxfId="30107" totalsRowDxfId="13483"/>
    <tableColumn id="2907" name="Columna2893" dataDxfId="30106" totalsRowDxfId="13482"/>
    <tableColumn id="2908" name="Columna2894" dataDxfId="30105" totalsRowDxfId="13481"/>
    <tableColumn id="2909" name="Columna2895" dataDxfId="30104" totalsRowDxfId="13480"/>
    <tableColumn id="2910" name="Columna2896" dataDxfId="30103" totalsRowDxfId="13479"/>
    <tableColumn id="2911" name="Columna2897" dataDxfId="30102" totalsRowDxfId="13478"/>
    <tableColumn id="2912" name="Columna2898" dataDxfId="30101" totalsRowDxfId="13477"/>
    <tableColumn id="2913" name="Columna2899" dataDxfId="30100" totalsRowDxfId="13476"/>
    <tableColumn id="2914" name="Columna2900" dataDxfId="30099" totalsRowDxfId="13475"/>
    <tableColumn id="2915" name="Columna2901" dataDxfId="30098" totalsRowDxfId="13474"/>
    <tableColumn id="2916" name="Columna2902" dataDxfId="30097" totalsRowDxfId="13473"/>
    <tableColumn id="2917" name="Columna2903" dataDxfId="30096" totalsRowDxfId="13472"/>
    <tableColumn id="2918" name="Columna2904" dataDxfId="30095" totalsRowDxfId="13471"/>
    <tableColumn id="2919" name="Columna2905" dataDxfId="30094" totalsRowDxfId="13470"/>
    <tableColumn id="2920" name="Columna2906" dataDxfId="30093" totalsRowDxfId="13469"/>
    <tableColumn id="2921" name="Columna2907" dataDxfId="30092" totalsRowDxfId="13468"/>
    <tableColumn id="2922" name="Columna2908" dataDxfId="30091" totalsRowDxfId="13467"/>
    <tableColumn id="2923" name="Columna2909" dataDxfId="30090" totalsRowDxfId="13466"/>
    <tableColumn id="2924" name="Columna2910" dataDxfId="30089" totalsRowDxfId="13465"/>
    <tableColumn id="2925" name="Columna2911" dataDxfId="30088" totalsRowDxfId="13464"/>
    <tableColumn id="2926" name="Columna2912" dataDxfId="30087" totalsRowDxfId="13463"/>
    <tableColumn id="2927" name="Columna2913" dataDxfId="30086" totalsRowDxfId="13462"/>
    <tableColumn id="2928" name="Columna2914" dataDxfId="30085" totalsRowDxfId="13461"/>
    <tableColumn id="2929" name="Columna2915" dataDxfId="30084" totalsRowDxfId="13460"/>
    <tableColumn id="2930" name="Columna2916" dataDxfId="30083" totalsRowDxfId="13459"/>
    <tableColumn id="2931" name="Columna2917" dataDxfId="30082" totalsRowDxfId="13458"/>
    <tableColumn id="2932" name="Columna2918" dataDxfId="30081" totalsRowDxfId="13457"/>
    <tableColumn id="2933" name="Columna2919" dataDxfId="30080" totalsRowDxfId="13456"/>
    <tableColumn id="2934" name="Columna2920" dataDxfId="30079" totalsRowDxfId="13455"/>
    <tableColumn id="2935" name="Columna2921" dataDxfId="30078" totalsRowDxfId="13454"/>
    <tableColumn id="2936" name="Columna2922" dataDxfId="30077" totalsRowDxfId="13453"/>
    <tableColumn id="2937" name="Columna2923" dataDxfId="30076" totalsRowDxfId="13452"/>
    <tableColumn id="2938" name="Columna2924" dataDxfId="30075" totalsRowDxfId="13451"/>
    <tableColumn id="2939" name="Columna2925" dataDxfId="30074" totalsRowDxfId="13450"/>
    <tableColumn id="2940" name="Columna2926" dataDxfId="30073" totalsRowDxfId="13449"/>
    <tableColumn id="2941" name="Columna2927" dataDxfId="30072" totalsRowDxfId="13448"/>
    <tableColumn id="2942" name="Columna2928" dataDxfId="30071" totalsRowDxfId="13447"/>
    <tableColumn id="2943" name="Columna2929" dataDxfId="30070" totalsRowDxfId="13446"/>
    <tableColumn id="2944" name="Columna2930" dataDxfId="30069" totalsRowDxfId="13445"/>
    <tableColumn id="2945" name="Columna2931" dataDxfId="30068" totalsRowDxfId="13444"/>
    <tableColumn id="2946" name="Columna2932" dataDxfId="30067" totalsRowDxfId="13443"/>
    <tableColumn id="2947" name="Columna2933" dataDxfId="30066" totalsRowDxfId="13442"/>
    <tableColumn id="2948" name="Columna2934" dataDxfId="30065" totalsRowDxfId="13441"/>
    <tableColumn id="2949" name="Columna2935" dataDxfId="30064" totalsRowDxfId="13440"/>
    <tableColumn id="2950" name="Columna2936" dataDxfId="30063" totalsRowDxfId="13439"/>
    <tableColumn id="2951" name="Columna2937" dataDxfId="30062" totalsRowDxfId="13438"/>
    <tableColumn id="2952" name="Columna2938" dataDxfId="30061" totalsRowDxfId="13437"/>
    <tableColumn id="2953" name="Columna2939" dataDxfId="30060" totalsRowDxfId="13436"/>
    <tableColumn id="2954" name="Columna2940" dataDxfId="30059" totalsRowDxfId="13435"/>
    <tableColumn id="2955" name="Columna2941" dataDxfId="30058" totalsRowDxfId="13434"/>
    <tableColumn id="2956" name="Columna2942" dataDxfId="30057" totalsRowDxfId="13433"/>
    <tableColumn id="2957" name="Columna2943" dataDxfId="30056" totalsRowDxfId="13432"/>
    <tableColumn id="2958" name="Columna2944" dataDxfId="30055" totalsRowDxfId="13431"/>
    <tableColumn id="2959" name="Columna2945" dataDxfId="30054" totalsRowDxfId="13430"/>
    <tableColumn id="2960" name="Columna2946" dataDxfId="30053" totalsRowDxfId="13429"/>
    <tableColumn id="2961" name="Columna2947" dataDxfId="30052" totalsRowDxfId="13428"/>
    <tableColumn id="2962" name="Columna2948" dataDxfId="30051" totalsRowDxfId="13427"/>
    <tableColumn id="2963" name="Columna2949" dataDxfId="30050" totalsRowDxfId="13426"/>
    <tableColumn id="2964" name="Columna2950" dataDxfId="30049" totalsRowDxfId="13425"/>
    <tableColumn id="2965" name="Columna2951" dataDxfId="30048" totalsRowDxfId="13424"/>
    <tableColumn id="2966" name="Columna2952" dataDxfId="30047" totalsRowDxfId="13423"/>
    <tableColumn id="2967" name="Columna2953" dataDxfId="30046" totalsRowDxfId="13422"/>
    <tableColumn id="2968" name="Columna2954" dataDxfId="30045" totalsRowDxfId="13421"/>
    <tableColumn id="2969" name="Columna2955" dataDxfId="30044" totalsRowDxfId="13420"/>
    <tableColumn id="2970" name="Columna2956" dataDxfId="30043" totalsRowDxfId="13419"/>
    <tableColumn id="2971" name="Columna2957" dataDxfId="30042" totalsRowDxfId="13418"/>
    <tableColumn id="2972" name="Columna2958" dataDxfId="30041" totalsRowDxfId="13417"/>
    <tableColumn id="2973" name="Columna2959" dataDxfId="30040" totalsRowDxfId="13416"/>
    <tableColumn id="2974" name="Columna2960" dataDxfId="30039" totalsRowDxfId="13415"/>
    <tableColumn id="2975" name="Columna2961" dataDxfId="30038" totalsRowDxfId="13414"/>
    <tableColumn id="2976" name="Columna2962" dataDxfId="30037" totalsRowDxfId="13413"/>
    <tableColumn id="2977" name="Columna2963" dataDxfId="30036" totalsRowDxfId="13412"/>
    <tableColumn id="2978" name="Columna2964" dataDxfId="30035" totalsRowDxfId="13411"/>
    <tableColumn id="2979" name="Columna2965" dataDxfId="30034" totalsRowDxfId="13410"/>
    <tableColumn id="2980" name="Columna2966" dataDxfId="30033" totalsRowDxfId="13409"/>
    <tableColumn id="2981" name="Columna2967" dataDxfId="30032" totalsRowDxfId="13408"/>
    <tableColumn id="2982" name="Columna2968" dataDxfId="30031" totalsRowDxfId="13407"/>
    <tableColumn id="2983" name="Columna2969" dataDxfId="30030" totalsRowDxfId="13406"/>
    <tableColumn id="2984" name="Columna2970" dataDxfId="30029" totalsRowDxfId="13405"/>
    <tableColumn id="2985" name="Columna2971" dataDxfId="30028" totalsRowDxfId="13404"/>
    <tableColumn id="2986" name="Columna2972" dataDxfId="30027" totalsRowDxfId="13403"/>
    <tableColumn id="2987" name="Columna2973" dataDxfId="30026" totalsRowDxfId="13402"/>
    <tableColumn id="2988" name="Columna2974" dataDxfId="30025" totalsRowDxfId="13401"/>
    <tableColumn id="2989" name="Columna2975" dataDxfId="30024" totalsRowDxfId="13400"/>
    <tableColumn id="2990" name="Columna2976" dataDxfId="30023" totalsRowDxfId="13399"/>
    <tableColumn id="2991" name="Columna2977" dataDxfId="30022" totalsRowDxfId="13398"/>
    <tableColumn id="2992" name="Columna2978" dataDxfId="30021" totalsRowDxfId="13397"/>
    <tableColumn id="2993" name="Columna2979" dataDxfId="30020" totalsRowDxfId="13396"/>
    <tableColumn id="2994" name="Columna2980" dataDxfId="30019" totalsRowDxfId="13395"/>
    <tableColumn id="2995" name="Columna2981" dataDxfId="30018" totalsRowDxfId="13394"/>
    <tableColumn id="2996" name="Columna2982" dataDxfId="30017" totalsRowDxfId="13393"/>
    <tableColumn id="2997" name="Columna2983" dataDxfId="30016" totalsRowDxfId="13392"/>
    <tableColumn id="2998" name="Columna2984" dataDxfId="30015" totalsRowDxfId="13391"/>
    <tableColumn id="2999" name="Columna2985" dataDxfId="30014" totalsRowDxfId="13390"/>
    <tableColumn id="3000" name="Columna2986" dataDxfId="30013" totalsRowDxfId="13389"/>
    <tableColumn id="3001" name="Columna2987" dataDxfId="30012" totalsRowDxfId="13388"/>
    <tableColumn id="3002" name="Columna2988" dataDxfId="30011" totalsRowDxfId="13387"/>
    <tableColumn id="3003" name="Columna2989" dataDxfId="30010" totalsRowDxfId="13386"/>
    <tableColumn id="3004" name="Columna2990" dataDxfId="30009" totalsRowDxfId="13385"/>
    <tableColumn id="3005" name="Columna2991" dataDxfId="30008" totalsRowDxfId="13384"/>
    <tableColumn id="3006" name="Columna2992" dataDxfId="30007" totalsRowDxfId="13383"/>
    <tableColumn id="3007" name="Columna2993" dataDxfId="30006" totalsRowDxfId="13382"/>
    <tableColumn id="3008" name="Columna2994" dataDxfId="30005" totalsRowDxfId="13381"/>
    <tableColumn id="3009" name="Columna2995" dataDxfId="30004" totalsRowDxfId="13380"/>
    <tableColumn id="3010" name="Columna2996" dataDxfId="30003" totalsRowDxfId="13379"/>
    <tableColumn id="3011" name="Columna2997" dataDxfId="30002" totalsRowDxfId="13378"/>
    <tableColumn id="3012" name="Columna2998" dataDxfId="30001" totalsRowDxfId="13377"/>
    <tableColumn id="3013" name="Columna2999" dataDxfId="30000" totalsRowDxfId="13376"/>
    <tableColumn id="3014" name="Columna3000" dataDxfId="29999" totalsRowDxfId="13375"/>
    <tableColumn id="3015" name="Columna3001" dataDxfId="29998" totalsRowDxfId="13374"/>
    <tableColumn id="3016" name="Columna3002" dataDxfId="29997" totalsRowDxfId="13373"/>
    <tableColumn id="3017" name="Columna3003" dataDxfId="29996" totalsRowDxfId="13372"/>
    <tableColumn id="3018" name="Columna3004" dataDxfId="29995" totalsRowDxfId="13371"/>
    <tableColumn id="3019" name="Columna3005" dataDxfId="29994" totalsRowDxfId="13370"/>
    <tableColumn id="3020" name="Columna3006" dataDxfId="29993" totalsRowDxfId="13369"/>
    <tableColumn id="3021" name="Columna3007" dataDxfId="29992" totalsRowDxfId="13368"/>
    <tableColumn id="3022" name="Columna3008" dataDxfId="29991" totalsRowDxfId="13367"/>
    <tableColumn id="3023" name="Columna3009" dataDxfId="29990" totalsRowDxfId="13366"/>
    <tableColumn id="3024" name="Columna3010" dataDxfId="29989" totalsRowDxfId="13365"/>
    <tableColumn id="3025" name="Columna3011" dataDxfId="29988" totalsRowDxfId="13364"/>
    <tableColumn id="3026" name="Columna3012" dataDxfId="29987" totalsRowDxfId="13363"/>
    <tableColumn id="3027" name="Columna3013" dataDxfId="29986" totalsRowDxfId="13362"/>
    <tableColumn id="3028" name="Columna3014" dataDxfId="29985" totalsRowDxfId="13361"/>
    <tableColumn id="3029" name="Columna3015" dataDxfId="29984" totalsRowDxfId="13360"/>
    <tableColumn id="3030" name="Columna3016" dataDxfId="29983" totalsRowDxfId="13359"/>
    <tableColumn id="3031" name="Columna3017" dataDxfId="29982" totalsRowDxfId="13358"/>
    <tableColumn id="3032" name="Columna3018" dataDxfId="29981" totalsRowDxfId="13357"/>
    <tableColumn id="3033" name="Columna3019" dataDxfId="29980" totalsRowDxfId="13356"/>
    <tableColumn id="3034" name="Columna3020" dataDxfId="29979" totalsRowDxfId="13355"/>
    <tableColumn id="3035" name="Columna3021" dataDxfId="29978" totalsRowDxfId="13354"/>
    <tableColumn id="3036" name="Columna3022" dataDxfId="29977" totalsRowDxfId="13353"/>
    <tableColumn id="3037" name="Columna3023" dataDxfId="29976" totalsRowDxfId="13352"/>
    <tableColumn id="3038" name="Columna3024" dataDxfId="29975" totalsRowDxfId="13351"/>
    <tableColumn id="3039" name="Columna3025" dataDxfId="29974" totalsRowDxfId="13350"/>
    <tableColumn id="3040" name="Columna3026" dataDxfId="29973" totalsRowDxfId="13349"/>
    <tableColumn id="3041" name="Columna3027" dataDxfId="29972" totalsRowDxfId="13348"/>
    <tableColumn id="3042" name="Columna3028" dataDxfId="29971" totalsRowDxfId="13347"/>
    <tableColumn id="3043" name="Columna3029" dataDxfId="29970" totalsRowDxfId="13346"/>
    <tableColumn id="3044" name="Columna3030" dataDxfId="29969" totalsRowDxfId="13345"/>
    <tableColumn id="3045" name="Columna3031" dataDxfId="29968" totalsRowDxfId="13344"/>
    <tableColumn id="3046" name="Columna3032" dataDxfId="29967" totalsRowDxfId="13343"/>
    <tableColumn id="3047" name="Columna3033" dataDxfId="29966" totalsRowDxfId="13342"/>
    <tableColumn id="3048" name="Columna3034" dataDxfId="29965" totalsRowDxfId="13341"/>
    <tableColumn id="3049" name="Columna3035" dataDxfId="29964" totalsRowDxfId="13340"/>
    <tableColumn id="3050" name="Columna3036" dataDxfId="29963" totalsRowDxfId="13339"/>
    <tableColumn id="3051" name="Columna3037" dataDxfId="29962" totalsRowDxfId="13338"/>
    <tableColumn id="3052" name="Columna3038" dataDxfId="29961" totalsRowDxfId="13337"/>
    <tableColumn id="3053" name="Columna3039" dataDxfId="29960" totalsRowDxfId="13336"/>
    <tableColumn id="3054" name="Columna3040" dataDxfId="29959" totalsRowDxfId="13335"/>
    <tableColumn id="3055" name="Columna3041" dataDxfId="29958" totalsRowDxfId="13334"/>
    <tableColumn id="3056" name="Columna3042" dataDxfId="29957" totalsRowDxfId="13333"/>
    <tableColumn id="3057" name="Columna3043" dataDxfId="29956" totalsRowDxfId="13332"/>
    <tableColumn id="3058" name="Columna3044" dataDxfId="29955" totalsRowDxfId="13331"/>
    <tableColumn id="3059" name="Columna3045" dataDxfId="29954" totalsRowDxfId="13330"/>
    <tableColumn id="3060" name="Columna3046" dataDxfId="29953" totalsRowDxfId="13329"/>
    <tableColumn id="3061" name="Columna3047" dataDxfId="29952" totalsRowDxfId="13328"/>
    <tableColumn id="3062" name="Columna3048" dataDxfId="29951" totalsRowDxfId="13327"/>
    <tableColumn id="3063" name="Columna3049" dataDxfId="29950" totalsRowDxfId="13326"/>
    <tableColumn id="3064" name="Columna3050" dataDxfId="29949" totalsRowDxfId="13325"/>
    <tableColumn id="3065" name="Columna3051" dataDxfId="29948" totalsRowDxfId="13324"/>
    <tableColumn id="3066" name="Columna3052" dataDxfId="29947" totalsRowDxfId="13323"/>
    <tableColumn id="3067" name="Columna3053" dataDxfId="29946" totalsRowDxfId="13322"/>
    <tableColumn id="3068" name="Columna3054" dataDxfId="29945" totalsRowDxfId="13321"/>
    <tableColumn id="3069" name="Columna3055" dataDxfId="29944" totalsRowDxfId="13320"/>
    <tableColumn id="3070" name="Columna3056" dataDxfId="29943" totalsRowDxfId="13319"/>
    <tableColumn id="3071" name="Columna3057" dataDxfId="29942" totalsRowDxfId="13318"/>
    <tableColumn id="3072" name="Columna3058" dataDxfId="29941" totalsRowDxfId="13317"/>
    <tableColumn id="3073" name="Columna3059" dataDxfId="29940" totalsRowDxfId="13316"/>
    <tableColumn id="3074" name="Columna3060" dataDxfId="29939" totalsRowDxfId="13315"/>
    <tableColumn id="3075" name="Columna3061" dataDxfId="29938" totalsRowDxfId="13314"/>
    <tableColumn id="3076" name="Columna3062" dataDxfId="29937" totalsRowDxfId="13313"/>
    <tableColumn id="3077" name="Columna3063" dataDxfId="29936" totalsRowDxfId="13312"/>
    <tableColumn id="3078" name="Columna3064" dataDxfId="29935" totalsRowDxfId="13311"/>
    <tableColumn id="3079" name="Columna3065" dataDxfId="29934" totalsRowDxfId="13310"/>
    <tableColumn id="3080" name="Columna3066" dataDxfId="29933" totalsRowDxfId="13309"/>
    <tableColumn id="3081" name="Columna3067" dataDxfId="29932" totalsRowDxfId="13308"/>
    <tableColumn id="3082" name="Columna3068" dataDxfId="29931" totalsRowDxfId="13307"/>
    <tableColumn id="3083" name="Columna3069" dataDxfId="29930" totalsRowDxfId="13306"/>
    <tableColumn id="3084" name="Columna3070" dataDxfId="29929" totalsRowDxfId="13305"/>
    <tableColumn id="3085" name="Columna3071" dataDxfId="29928" totalsRowDxfId="13304"/>
    <tableColumn id="3086" name="Columna3072" dataDxfId="29927" totalsRowDxfId="13303"/>
    <tableColumn id="3087" name="Columna3073" dataDxfId="29926" totalsRowDxfId="13302"/>
    <tableColumn id="3088" name="Columna3074" dataDxfId="29925" totalsRowDxfId="13301"/>
    <tableColumn id="3089" name="Columna3075" dataDxfId="29924" totalsRowDxfId="13300"/>
    <tableColumn id="3090" name="Columna3076" dataDxfId="29923" totalsRowDxfId="13299"/>
    <tableColumn id="3091" name="Columna3077" dataDxfId="29922" totalsRowDxfId="13298"/>
    <tableColumn id="3092" name="Columna3078" dataDxfId="29921" totalsRowDxfId="13297"/>
    <tableColumn id="3093" name="Columna3079" dataDxfId="29920" totalsRowDxfId="13296"/>
    <tableColumn id="3094" name="Columna3080" dataDxfId="29919" totalsRowDxfId="13295"/>
    <tableColumn id="3095" name="Columna3081" dataDxfId="29918" totalsRowDxfId="13294"/>
    <tableColumn id="3096" name="Columna3082" dataDxfId="29917" totalsRowDxfId="13293"/>
    <tableColumn id="3097" name="Columna3083" dataDxfId="29916" totalsRowDxfId="13292"/>
    <tableColumn id="3098" name="Columna3084" dataDxfId="29915" totalsRowDxfId="13291"/>
    <tableColumn id="3099" name="Columna3085" dataDxfId="29914" totalsRowDxfId="13290"/>
    <tableColumn id="3100" name="Columna3086" dataDxfId="29913" totalsRowDxfId="13289"/>
    <tableColumn id="3101" name="Columna3087" dataDxfId="29912" totalsRowDxfId="13288"/>
    <tableColumn id="3102" name="Columna3088" dataDxfId="29911" totalsRowDxfId="13287"/>
    <tableColumn id="3103" name="Columna3089" dataDxfId="29910" totalsRowDxfId="13286"/>
    <tableColumn id="3104" name="Columna3090" dataDxfId="29909" totalsRowDxfId="13285"/>
    <tableColumn id="3105" name="Columna3091" dataDxfId="29908" totalsRowDxfId="13284"/>
    <tableColumn id="3106" name="Columna3092" dataDxfId="29907" totalsRowDxfId="13283"/>
    <tableColumn id="3107" name="Columna3093" dataDxfId="29906" totalsRowDxfId="13282"/>
    <tableColumn id="3108" name="Columna3094" dataDxfId="29905" totalsRowDxfId="13281"/>
    <tableColumn id="3109" name="Columna3095" dataDxfId="29904" totalsRowDxfId="13280"/>
    <tableColumn id="3110" name="Columna3096" dataDxfId="29903" totalsRowDxfId="13279"/>
    <tableColumn id="3111" name="Columna3097" dataDxfId="29902" totalsRowDxfId="13278"/>
    <tableColumn id="3112" name="Columna3098" dataDxfId="29901" totalsRowDxfId="13277"/>
    <tableColumn id="3113" name="Columna3099" dataDxfId="29900" totalsRowDxfId="13276"/>
    <tableColumn id="3114" name="Columna3100" dataDxfId="29899" totalsRowDxfId="13275"/>
    <tableColumn id="3115" name="Columna3101" dataDxfId="29898" totalsRowDxfId="13274"/>
    <tableColumn id="3116" name="Columna3102" dataDxfId="29897" totalsRowDxfId="13273"/>
    <tableColumn id="3117" name="Columna3103" dataDxfId="29896" totalsRowDxfId="13272"/>
    <tableColumn id="3118" name="Columna3104" dataDxfId="29895" totalsRowDxfId="13271"/>
    <tableColumn id="3119" name="Columna3105" dataDxfId="29894" totalsRowDxfId="13270"/>
    <tableColumn id="3120" name="Columna3106" dataDxfId="29893" totalsRowDxfId="13269"/>
    <tableColumn id="3121" name="Columna3107" dataDxfId="29892" totalsRowDxfId="13268"/>
    <tableColumn id="3122" name="Columna3108" dataDxfId="29891" totalsRowDxfId="13267"/>
    <tableColumn id="3123" name="Columna3109" dataDxfId="29890" totalsRowDxfId="13266"/>
    <tableColumn id="3124" name="Columna3110" dataDxfId="29889" totalsRowDxfId="13265"/>
    <tableColumn id="3125" name="Columna3111" dataDxfId="29888" totalsRowDxfId="13264"/>
    <tableColumn id="3126" name="Columna3112" dataDxfId="29887" totalsRowDxfId="13263"/>
    <tableColumn id="3127" name="Columna3113" dataDxfId="29886" totalsRowDxfId="13262"/>
    <tableColumn id="3128" name="Columna3114" dataDxfId="29885" totalsRowDxfId="13261"/>
    <tableColumn id="3129" name="Columna3115" dataDxfId="29884" totalsRowDxfId="13260"/>
    <tableColumn id="3130" name="Columna3116" dataDxfId="29883" totalsRowDxfId="13259"/>
    <tableColumn id="3131" name="Columna3117" dataDxfId="29882" totalsRowDxfId="13258"/>
    <tableColumn id="3132" name="Columna3118" dataDxfId="29881" totalsRowDxfId="13257"/>
    <tableColumn id="3133" name="Columna3119" dataDxfId="29880" totalsRowDxfId="13256"/>
    <tableColumn id="3134" name="Columna3120" dataDxfId="29879" totalsRowDxfId="13255"/>
    <tableColumn id="3135" name="Columna3121" dataDxfId="29878" totalsRowDxfId="13254"/>
    <tableColumn id="3136" name="Columna3122" dataDxfId="29877" totalsRowDxfId="13253"/>
    <tableColumn id="3137" name="Columna3123" dataDxfId="29876" totalsRowDxfId="13252"/>
    <tableColumn id="3138" name="Columna3124" dataDxfId="29875" totalsRowDxfId="13251"/>
    <tableColumn id="3139" name="Columna3125" dataDxfId="29874" totalsRowDxfId="13250"/>
    <tableColumn id="3140" name="Columna3126" dataDxfId="29873" totalsRowDxfId="13249"/>
    <tableColumn id="3141" name="Columna3127" dataDxfId="29872" totalsRowDxfId="13248"/>
    <tableColumn id="3142" name="Columna3128" dataDxfId="29871" totalsRowDxfId="13247"/>
    <tableColumn id="3143" name="Columna3129" dataDxfId="29870" totalsRowDxfId="13246"/>
    <tableColumn id="3144" name="Columna3130" dataDxfId="29869" totalsRowDxfId="13245"/>
    <tableColumn id="3145" name="Columna3131" dataDxfId="29868" totalsRowDxfId="13244"/>
    <tableColumn id="3146" name="Columna3132" dataDxfId="29867" totalsRowDxfId="13243"/>
    <tableColumn id="3147" name="Columna3133" dataDxfId="29866" totalsRowDxfId="13242"/>
    <tableColumn id="3148" name="Columna3134" dataDxfId="29865" totalsRowDxfId="13241"/>
    <tableColumn id="3149" name="Columna3135" dataDxfId="29864" totalsRowDxfId="13240"/>
    <tableColumn id="3150" name="Columna3136" dataDxfId="29863" totalsRowDxfId="13239"/>
    <tableColumn id="3151" name="Columna3137" dataDxfId="29862" totalsRowDxfId="13238"/>
    <tableColumn id="3152" name="Columna3138" dataDxfId="29861" totalsRowDxfId="13237"/>
    <tableColumn id="3153" name="Columna3139" dataDxfId="29860" totalsRowDxfId="13236"/>
    <tableColumn id="3154" name="Columna3140" dataDxfId="29859" totalsRowDxfId="13235"/>
    <tableColumn id="3155" name="Columna3141" dataDxfId="29858" totalsRowDxfId="13234"/>
    <tableColumn id="3156" name="Columna3142" dataDxfId="29857" totalsRowDxfId="13233"/>
    <tableColumn id="3157" name="Columna3143" dataDxfId="29856" totalsRowDxfId="13232"/>
    <tableColumn id="3158" name="Columna3144" dataDxfId="29855" totalsRowDxfId="13231"/>
    <tableColumn id="3159" name="Columna3145" dataDxfId="29854" totalsRowDxfId="13230"/>
    <tableColumn id="3160" name="Columna3146" dataDxfId="29853" totalsRowDxfId="13229"/>
    <tableColumn id="3161" name="Columna3147" dataDxfId="29852" totalsRowDxfId="13228"/>
    <tableColumn id="3162" name="Columna3148" dataDxfId="29851" totalsRowDxfId="13227"/>
    <tableColumn id="3163" name="Columna3149" dataDxfId="29850" totalsRowDxfId="13226"/>
    <tableColumn id="3164" name="Columna3150" dataDxfId="29849" totalsRowDxfId="13225"/>
    <tableColumn id="3165" name="Columna3151" dataDxfId="29848" totalsRowDxfId="13224"/>
    <tableColumn id="3166" name="Columna3152" dataDxfId="29847" totalsRowDxfId="13223"/>
    <tableColumn id="3167" name="Columna3153" dataDxfId="29846" totalsRowDxfId="13222"/>
    <tableColumn id="3168" name="Columna3154" dataDxfId="29845" totalsRowDxfId="13221"/>
    <tableColumn id="3169" name="Columna3155" dataDxfId="29844" totalsRowDxfId="13220"/>
    <tableColumn id="3170" name="Columna3156" dataDxfId="29843" totalsRowDxfId="13219"/>
    <tableColumn id="3171" name="Columna3157" dataDxfId="29842" totalsRowDxfId="13218"/>
    <tableColumn id="3172" name="Columna3158" dataDxfId="29841" totalsRowDxfId="13217"/>
    <tableColumn id="3173" name="Columna3159" dataDxfId="29840" totalsRowDxfId="13216"/>
    <tableColumn id="3174" name="Columna3160" dataDxfId="29839" totalsRowDxfId="13215"/>
    <tableColumn id="3175" name="Columna3161" dataDxfId="29838" totalsRowDxfId="13214"/>
    <tableColumn id="3176" name="Columna3162" dataDxfId="29837" totalsRowDxfId="13213"/>
    <tableColumn id="3177" name="Columna3163" dataDxfId="29836" totalsRowDxfId="13212"/>
    <tableColumn id="3178" name="Columna3164" dataDxfId="29835" totalsRowDxfId="13211"/>
    <tableColumn id="3179" name="Columna3165" dataDxfId="29834" totalsRowDxfId="13210"/>
    <tableColumn id="3180" name="Columna3166" dataDxfId="29833" totalsRowDxfId="13209"/>
    <tableColumn id="3181" name="Columna3167" dataDxfId="29832" totalsRowDxfId="13208"/>
    <tableColumn id="3182" name="Columna3168" dataDxfId="29831" totalsRowDxfId="13207"/>
    <tableColumn id="3183" name="Columna3169" dataDxfId="29830" totalsRowDxfId="13206"/>
    <tableColumn id="3184" name="Columna3170" dataDxfId="29829" totalsRowDxfId="13205"/>
    <tableColumn id="3185" name="Columna3171" dataDxfId="29828" totalsRowDxfId="13204"/>
    <tableColumn id="3186" name="Columna3172" dataDxfId="29827" totalsRowDxfId="13203"/>
    <tableColumn id="3187" name="Columna3173" dataDxfId="29826" totalsRowDxfId="13202"/>
    <tableColumn id="3188" name="Columna3174" dataDxfId="29825" totalsRowDxfId="13201"/>
    <tableColumn id="3189" name="Columna3175" dataDxfId="29824" totalsRowDxfId="13200"/>
    <tableColumn id="3190" name="Columna3176" dataDxfId="29823" totalsRowDxfId="13199"/>
    <tableColumn id="3191" name="Columna3177" dataDxfId="29822" totalsRowDxfId="13198"/>
    <tableColumn id="3192" name="Columna3178" dataDxfId="29821" totalsRowDxfId="13197"/>
    <tableColumn id="3193" name="Columna3179" dataDxfId="29820" totalsRowDxfId="13196"/>
    <tableColumn id="3194" name="Columna3180" dataDxfId="29819" totalsRowDxfId="13195"/>
    <tableColumn id="3195" name="Columna3181" dataDxfId="29818" totalsRowDxfId="13194"/>
    <tableColumn id="3196" name="Columna3182" dataDxfId="29817" totalsRowDxfId="13193"/>
    <tableColumn id="3197" name="Columna3183" dataDxfId="29816" totalsRowDxfId="13192"/>
    <tableColumn id="3198" name="Columna3184" dataDxfId="29815" totalsRowDxfId="13191"/>
    <tableColumn id="3199" name="Columna3185" dataDxfId="29814" totalsRowDxfId="13190"/>
    <tableColumn id="3200" name="Columna3186" dataDxfId="29813" totalsRowDxfId="13189"/>
    <tableColumn id="3201" name="Columna3187" dataDxfId="29812" totalsRowDxfId="13188"/>
    <tableColumn id="3202" name="Columna3188" dataDxfId="29811" totalsRowDxfId="13187"/>
    <tableColumn id="3203" name="Columna3189" dataDxfId="29810" totalsRowDxfId="13186"/>
    <tableColumn id="3204" name="Columna3190" dataDxfId="29809" totalsRowDxfId="13185"/>
    <tableColumn id="3205" name="Columna3191" dataDxfId="29808" totalsRowDxfId="13184"/>
    <tableColumn id="3206" name="Columna3192" dataDxfId="29807" totalsRowDxfId="13183"/>
    <tableColumn id="3207" name="Columna3193" dataDxfId="29806" totalsRowDxfId="13182"/>
    <tableColumn id="3208" name="Columna3194" dataDxfId="29805" totalsRowDxfId="13181"/>
    <tableColumn id="3209" name="Columna3195" dataDxfId="29804" totalsRowDxfId="13180"/>
    <tableColumn id="3210" name="Columna3196" dataDxfId="29803" totalsRowDxfId="13179"/>
    <tableColumn id="3211" name="Columna3197" dataDxfId="29802" totalsRowDxfId="13178"/>
    <tableColumn id="3212" name="Columna3198" dataDxfId="29801" totalsRowDxfId="13177"/>
    <tableColumn id="3213" name="Columna3199" dataDxfId="29800" totalsRowDxfId="13176"/>
    <tableColumn id="3214" name="Columna3200" dataDxfId="29799" totalsRowDxfId="13175"/>
    <tableColumn id="3215" name="Columna3201" dataDxfId="29798" totalsRowDxfId="13174"/>
    <tableColumn id="3216" name="Columna3202" dataDxfId="29797" totalsRowDxfId="13173"/>
    <tableColumn id="3217" name="Columna3203" dataDxfId="29796" totalsRowDxfId="13172"/>
    <tableColumn id="3218" name="Columna3204" dataDxfId="29795" totalsRowDxfId="13171"/>
    <tableColumn id="3219" name="Columna3205" dataDxfId="29794" totalsRowDxfId="13170"/>
    <tableColumn id="3220" name="Columna3206" dataDxfId="29793" totalsRowDxfId="13169"/>
    <tableColumn id="3221" name="Columna3207" dataDxfId="29792" totalsRowDxfId="13168"/>
    <tableColumn id="3222" name="Columna3208" dataDxfId="29791" totalsRowDxfId="13167"/>
    <tableColumn id="3223" name="Columna3209" dataDxfId="29790" totalsRowDxfId="13166"/>
    <tableColumn id="3224" name="Columna3210" dataDxfId="29789" totalsRowDxfId="13165"/>
    <tableColumn id="3225" name="Columna3211" dataDxfId="29788" totalsRowDxfId="13164"/>
    <tableColumn id="3226" name="Columna3212" dataDxfId="29787" totalsRowDxfId="13163"/>
    <tableColumn id="3227" name="Columna3213" dataDxfId="29786" totalsRowDxfId="13162"/>
    <tableColumn id="3228" name="Columna3214" dataDxfId="29785" totalsRowDxfId="13161"/>
    <tableColumn id="3229" name="Columna3215" dataDxfId="29784" totalsRowDxfId="13160"/>
    <tableColumn id="3230" name="Columna3216" dataDxfId="29783" totalsRowDxfId="13159"/>
    <tableColumn id="3231" name="Columna3217" dataDxfId="29782" totalsRowDxfId="13158"/>
    <tableColumn id="3232" name="Columna3218" dataDxfId="29781" totalsRowDxfId="13157"/>
    <tableColumn id="3233" name="Columna3219" dataDxfId="29780" totalsRowDxfId="13156"/>
    <tableColumn id="3234" name="Columna3220" dataDxfId="29779" totalsRowDxfId="13155"/>
    <tableColumn id="3235" name="Columna3221" dataDxfId="29778" totalsRowDxfId="13154"/>
    <tableColumn id="3236" name="Columna3222" dataDxfId="29777" totalsRowDxfId="13153"/>
    <tableColumn id="3237" name="Columna3223" dataDxfId="29776" totalsRowDxfId="13152"/>
    <tableColumn id="3238" name="Columna3224" dataDxfId="29775" totalsRowDxfId="13151"/>
    <tableColumn id="3239" name="Columna3225" dataDxfId="29774" totalsRowDxfId="13150"/>
    <tableColumn id="3240" name="Columna3226" dataDxfId="29773" totalsRowDxfId="13149"/>
    <tableColumn id="3241" name="Columna3227" dataDxfId="29772" totalsRowDxfId="13148"/>
    <tableColumn id="3242" name="Columna3228" dataDxfId="29771" totalsRowDxfId="13147"/>
    <tableColumn id="3243" name="Columna3229" dataDxfId="29770" totalsRowDxfId="13146"/>
    <tableColumn id="3244" name="Columna3230" dataDxfId="29769" totalsRowDxfId="13145"/>
    <tableColumn id="3245" name="Columna3231" dataDxfId="29768" totalsRowDxfId="13144"/>
    <tableColumn id="3246" name="Columna3232" dataDxfId="29767" totalsRowDxfId="13143"/>
    <tableColumn id="3247" name="Columna3233" dataDxfId="29766" totalsRowDxfId="13142"/>
    <tableColumn id="3248" name="Columna3234" dataDxfId="29765" totalsRowDxfId="13141"/>
    <tableColumn id="3249" name="Columna3235" dataDxfId="29764" totalsRowDxfId="13140"/>
    <tableColumn id="3250" name="Columna3236" dataDxfId="29763" totalsRowDxfId="13139"/>
    <tableColumn id="3251" name="Columna3237" dataDxfId="29762" totalsRowDxfId="13138"/>
    <tableColumn id="3252" name="Columna3238" dataDxfId="29761" totalsRowDxfId="13137"/>
    <tableColumn id="3253" name="Columna3239" dataDxfId="29760" totalsRowDxfId="13136"/>
    <tableColumn id="3254" name="Columna3240" dataDxfId="29759" totalsRowDxfId="13135"/>
    <tableColumn id="3255" name="Columna3241" dataDxfId="29758" totalsRowDxfId="13134"/>
    <tableColumn id="3256" name="Columna3242" dataDxfId="29757" totalsRowDxfId="13133"/>
    <tableColumn id="3257" name="Columna3243" dataDxfId="29756" totalsRowDxfId="13132"/>
    <tableColumn id="3258" name="Columna3244" dataDxfId="29755" totalsRowDxfId="13131"/>
    <tableColumn id="3259" name="Columna3245" dataDxfId="29754" totalsRowDxfId="13130"/>
    <tableColumn id="3260" name="Columna3246" dataDxfId="29753" totalsRowDxfId="13129"/>
    <tableColumn id="3261" name="Columna3247" dataDxfId="29752" totalsRowDxfId="13128"/>
    <tableColumn id="3262" name="Columna3248" dataDxfId="29751" totalsRowDxfId="13127"/>
    <tableColumn id="3263" name="Columna3249" dataDxfId="29750" totalsRowDxfId="13126"/>
    <tableColumn id="3264" name="Columna3250" dataDxfId="29749" totalsRowDxfId="13125"/>
    <tableColumn id="3265" name="Columna3251" dataDxfId="29748" totalsRowDxfId="13124"/>
    <tableColumn id="3266" name="Columna3252" dataDxfId="29747" totalsRowDxfId="13123"/>
    <tableColumn id="3267" name="Columna3253" dataDxfId="29746" totalsRowDxfId="13122"/>
    <tableColumn id="3268" name="Columna3254" dataDxfId="29745" totalsRowDxfId="13121"/>
    <tableColumn id="3269" name="Columna3255" dataDxfId="29744" totalsRowDxfId="13120"/>
    <tableColumn id="3270" name="Columna3256" dataDxfId="29743" totalsRowDxfId="13119"/>
    <tableColumn id="3271" name="Columna3257" dataDxfId="29742" totalsRowDxfId="13118"/>
    <tableColumn id="3272" name="Columna3258" dataDxfId="29741" totalsRowDxfId="13117"/>
    <tableColumn id="3273" name="Columna3259" dataDxfId="29740" totalsRowDxfId="13116"/>
    <tableColumn id="3274" name="Columna3260" dataDxfId="29739" totalsRowDxfId="13115"/>
    <tableColumn id="3275" name="Columna3261" dataDxfId="29738" totalsRowDxfId="13114"/>
    <tableColumn id="3276" name="Columna3262" dataDxfId="29737" totalsRowDxfId="13113"/>
    <tableColumn id="3277" name="Columna3263" dataDxfId="29736" totalsRowDxfId="13112"/>
    <tableColumn id="3278" name="Columna3264" dataDxfId="29735" totalsRowDxfId="13111"/>
    <tableColumn id="3279" name="Columna3265" dataDxfId="29734" totalsRowDxfId="13110"/>
    <tableColumn id="3280" name="Columna3266" dataDxfId="29733" totalsRowDxfId="13109"/>
    <tableColumn id="3281" name="Columna3267" dataDxfId="29732" totalsRowDxfId="13108"/>
    <tableColumn id="3282" name="Columna3268" dataDxfId="29731" totalsRowDxfId="13107"/>
    <tableColumn id="3283" name="Columna3269" dataDxfId="29730" totalsRowDxfId="13106"/>
    <tableColumn id="3284" name="Columna3270" dataDxfId="29729" totalsRowDxfId="13105"/>
    <tableColumn id="3285" name="Columna3271" dataDxfId="29728" totalsRowDxfId="13104"/>
    <tableColumn id="3286" name="Columna3272" dataDxfId="29727" totalsRowDxfId="13103"/>
    <tableColumn id="3287" name="Columna3273" dataDxfId="29726" totalsRowDxfId="13102"/>
    <tableColumn id="3288" name="Columna3274" dataDxfId="29725" totalsRowDxfId="13101"/>
    <tableColumn id="3289" name="Columna3275" dataDxfId="29724" totalsRowDxfId="13100"/>
    <tableColumn id="3290" name="Columna3276" dataDxfId="29723" totalsRowDxfId="13099"/>
    <tableColumn id="3291" name="Columna3277" dataDxfId="29722" totalsRowDxfId="13098"/>
    <tableColumn id="3292" name="Columna3278" dataDxfId="29721" totalsRowDxfId="13097"/>
    <tableColumn id="3293" name="Columna3279" dataDxfId="29720" totalsRowDxfId="13096"/>
    <tableColumn id="3294" name="Columna3280" dataDxfId="29719" totalsRowDxfId="13095"/>
    <tableColumn id="3295" name="Columna3281" dataDxfId="29718" totalsRowDxfId="13094"/>
    <tableColumn id="3296" name="Columna3282" dataDxfId="29717" totalsRowDxfId="13093"/>
    <tableColumn id="3297" name="Columna3283" dataDxfId="29716" totalsRowDxfId="13092"/>
    <tableColumn id="3298" name="Columna3284" dataDxfId="29715" totalsRowDxfId="13091"/>
    <tableColumn id="3299" name="Columna3285" dataDxfId="29714" totalsRowDxfId="13090"/>
    <tableColumn id="3300" name="Columna3286" dataDxfId="29713" totalsRowDxfId="13089"/>
    <tableColumn id="3301" name="Columna3287" dataDxfId="29712" totalsRowDxfId="13088"/>
    <tableColumn id="3302" name="Columna3288" dataDxfId="29711" totalsRowDxfId="13087"/>
    <tableColumn id="3303" name="Columna3289" dataDxfId="29710" totalsRowDxfId="13086"/>
    <tableColumn id="3304" name="Columna3290" dataDxfId="29709" totalsRowDxfId="13085"/>
    <tableColumn id="3305" name="Columna3291" dataDxfId="29708" totalsRowDxfId="13084"/>
    <tableColumn id="3306" name="Columna3292" dataDxfId="29707" totalsRowDxfId="13083"/>
    <tableColumn id="3307" name="Columna3293" dataDxfId="29706" totalsRowDxfId="13082"/>
    <tableColumn id="3308" name="Columna3294" dataDxfId="29705" totalsRowDxfId="13081"/>
    <tableColumn id="3309" name="Columna3295" dataDxfId="29704" totalsRowDxfId="13080"/>
    <tableColumn id="3310" name="Columna3296" dataDxfId="29703" totalsRowDxfId="13079"/>
    <tableColumn id="3311" name="Columna3297" dataDxfId="29702" totalsRowDxfId="13078"/>
    <tableColumn id="3312" name="Columna3298" dataDxfId="29701" totalsRowDxfId="13077"/>
    <tableColumn id="3313" name="Columna3299" dataDxfId="29700" totalsRowDxfId="13076"/>
    <tableColumn id="3314" name="Columna3300" dataDxfId="29699" totalsRowDxfId="13075"/>
    <tableColumn id="3315" name="Columna3301" dataDxfId="29698" totalsRowDxfId="13074"/>
    <tableColumn id="3316" name="Columna3302" dataDxfId="29697" totalsRowDxfId="13073"/>
    <tableColumn id="3317" name="Columna3303" dataDxfId="29696" totalsRowDxfId="13072"/>
    <tableColumn id="3318" name="Columna3304" dataDxfId="29695" totalsRowDxfId="13071"/>
    <tableColumn id="3319" name="Columna3305" dataDxfId="29694" totalsRowDxfId="13070"/>
    <tableColumn id="3320" name="Columna3306" dataDxfId="29693" totalsRowDxfId="13069"/>
    <tableColumn id="3321" name="Columna3307" dataDxfId="29692" totalsRowDxfId="13068"/>
    <tableColumn id="3322" name="Columna3308" dataDxfId="29691" totalsRowDxfId="13067"/>
    <tableColumn id="3323" name="Columna3309" dataDxfId="29690" totalsRowDxfId="13066"/>
    <tableColumn id="3324" name="Columna3310" dataDxfId="29689" totalsRowDxfId="13065"/>
    <tableColumn id="3325" name="Columna3311" dataDxfId="29688" totalsRowDxfId="13064"/>
    <tableColumn id="3326" name="Columna3312" dataDxfId="29687" totalsRowDxfId="13063"/>
    <tableColumn id="3327" name="Columna3313" dataDxfId="29686" totalsRowDxfId="13062"/>
    <tableColumn id="3328" name="Columna3314" dataDxfId="29685" totalsRowDxfId="13061"/>
    <tableColumn id="3329" name="Columna3315" dataDxfId="29684" totalsRowDxfId="13060"/>
    <tableColumn id="3330" name="Columna3316" dataDxfId="29683" totalsRowDxfId="13059"/>
    <tableColumn id="3331" name="Columna3317" dataDxfId="29682" totalsRowDxfId="13058"/>
    <tableColumn id="3332" name="Columna3318" dataDxfId="29681" totalsRowDxfId="13057"/>
    <tableColumn id="3333" name="Columna3319" dataDxfId="29680" totalsRowDxfId="13056"/>
    <tableColumn id="3334" name="Columna3320" dataDxfId="29679" totalsRowDxfId="13055"/>
    <tableColumn id="3335" name="Columna3321" dataDxfId="29678" totalsRowDxfId="13054"/>
    <tableColumn id="3336" name="Columna3322" dataDxfId="29677" totalsRowDxfId="13053"/>
    <tableColumn id="3337" name="Columna3323" dataDxfId="29676" totalsRowDxfId="13052"/>
    <tableColumn id="3338" name="Columna3324" dataDxfId="29675" totalsRowDxfId="13051"/>
    <tableColumn id="3339" name="Columna3325" dataDxfId="29674" totalsRowDxfId="13050"/>
    <tableColumn id="3340" name="Columna3326" dataDxfId="29673" totalsRowDxfId="13049"/>
    <tableColumn id="3341" name="Columna3327" dataDxfId="29672" totalsRowDxfId="13048"/>
    <tableColumn id="3342" name="Columna3328" dataDxfId="29671" totalsRowDxfId="13047"/>
    <tableColumn id="3343" name="Columna3329" dataDxfId="29670" totalsRowDxfId="13046"/>
    <tableColumn id="3344" name="Columna3330" dataDxfId="29669" totalsRowDxfId="13045"/>
    <tableColumn id="3345" name="Columna3331" dataDxfId="29668" totalsRowDxfId="13044"/>
    <tableColumn id="3346" name="Columna3332" dataDxfId="29667" totalsRowDxfId="13043"/>
    <tableColumn id="3347" name="Columna3333" dataDxfId="29666" totalsRowDxfId="13042"/>
    <tableColumn id="3348" name="Columna3334" dataDxfId="29665" totalsRowDxfId="13041"/>
    <tableColumn id="3349" name="Columna3335" dataDxfId="29664" totalsRowDxfId="13040"/>
    <tableColumn id="3350" name="Columna3336" dataDxfId="29663" totalsRowDxfId="13039"/>
    <tableColumn id="3351" name="Columna3337" dataDxfId="29662" totalsRowDxfId="13038"/>
    <tableColumn id="3352" name="Columna3338" dataDxfId="29661" totalsRowDxfId="13037"/>
    <tableColumn id="3353" name="Columna3339" dataDxfId="29660" totalsRowDxfId="13036"/>
    <tableColumn id="3354" name="Columna3340" dataDxfId="29659" totalsRowDxfId="13035"/>
    <tableColumn id="3355" name="Columna3341" dataDxfId="29658" totalsRowDxfId="13034"/>
    <tableColumn id="3356" name="Columna3342" dataDxfId="29657" totalsRowDxfId="13033"/>
    <tableColumn id="3357" name="Columna3343" dataDxfId="29656" totalsRowDxfId="13032"/>
    <tableColumn id="3358" name="Columna3344" dataDxfId="29655" totalsRowDxfId="13031"/>
    <tableColumn id="3359" name="Columna3345" dataDxfId="29654" totalsRowDxfId="13030"/>
    <tableColumn id="3360" name="Columna3346" dataDxfId="29653" totalsRowDxfId="13029"/>
    <tableColumn id="3361" name="Columna3347" dataDxfId="29652" totalsRowDxfId="13028"/>
    <tableColumn id="3362" name="Columna3348" dataDxfId="29651" totalsRowDxfId="13027"/>
    <tableColumn id="3363" name="Columna3349" dataDxfId="29650" totalsRowDxfId="13026"/>
    <tableColumn id="3364" name="Columna3350" dataDxfId="29649" totalsRowDxfId="13025"/>
    <tableColumn id="3365" name="Columna3351" dataDxfId="29648" totalsRowDxfId="13024"/>
    <tableColumn id="3366" name="Columna3352" dataDxfId="29647" totalsRowDxfId="13023"/>
    <tableColumn id="3367" name="Columna3353" dataDxfId="29646" totalsRowDxfId="13022"/>
    <tableColumn id="3368" name="Columna3354" dataDxfId="29645" totalsRowDxfId="13021"/>
    <tableColumn id="3369" name="Columna3355" dataDxfId="29644" totalsRowDxfId="13020"/>
    <tableColumn id="3370" name="Columna3356" dataDxfId="29643" totalsRowDxfId="13019"/>
    <tableColumn id="3371" name="Columna3357" dataDxfId="29642" totalsRowDxfId="13018"/>
    <tableColumn id="3372" name="Columna3358" dataDxfId="29641" totalsRowDxfId="13017"/>
    <tableColumn id="3373" name="Columna3359" dataDxfId="29640" totalsRowDxfId="13016"/>
    <tableColumn id="3374" name="Columna3360" dataDxfId="29639" totalsRowDxfId="13015"/>
    <tableColumn id="3375" name="Columna3361" dataDxfId="29638" totalsRowDxfId="13014"/>
    <tableColumn id="3376" name="Columna3362" dataDxfId="29637" totalsRowDxfId="13013"/>
    <tableColumn id="3377" name="Columna3363" dataDxfId="29636" totalsRowDxfId="13012"/>
    <tableColumn id="3378" name="Columna3364" dataDxfId="29635" totalsRowDxfId="13011"/>
    <tableColumn id="3379" name="Columna3365" dataDxfId="29634" totalsRowDxfId="13010"/>
    <tableColumn id="3380" name="Columna3366" dataDxfId="29633" totalsRowDxfId="13009"/>
    <tableColumn id="3381" name="Columna3367" dataDxfId="29632" totalsRowDxfId="13008"/>
    <tableColumn id="3382" name="Columna3368" dataDxfId="29631" totalsRowDxfId="13007"/>
    <tableColumn id="3383" name="Columna3369" dataDxfId="29630" totalsRowDxfId="13006"/>
    <tableColumn id="3384" name="Columna3370" dataDxfId="29629" totalsRowDxfId="13005"/>
    <tableColumn id="3385" name="Columna3371" dataDxfId="29628" totalsRowDxfId="13004"/>
    <tableColumn id="3386" name="Columna3372" dataDxfId="29627" totalsRowDxfId="13003"/>
    <tableColumn id="3387" name="Columna3373" dataDxfId="29626" totalsRowDxfId="13002"/>
    <tableColumn id="3388" name="Columna3374" dataDxfId="29625" totalsRowDxfId="13001"/>
    <tableColumn id="3389" name="Columna3375" dataDxfId="29624" totalsRowDxfId="13000"/>
    <tableColumn id="3390" name="Columna3376" dataDxfId="29623" totalsRowDxfId="12999"/>
    <tableColumn id="3391" name="Columna3377" dataDxfId="29622" totalsRowDxfId="12998"/>
    <tableColumn id="3392" name="Columna3378" dataDxfId="29621" totalsRowDxfId="12997"/>
    <tableColumn id="3393" name="Columna3379" dataDxfId="29620" totalsRowDxfId="12996"/>
    <tableColumn id="3394" name="Columna3380" dataDxfId="29619" totalsRowDxfId="12995"/>
    <tableColumn id="3395" name="Columna3381" dataDxfId="29618" totalsRowDxfId="12994"/>
    <tableColumn id="3396" name="Columna3382" dataDxfId="29617" totalsRowDxfId="12993"/>
    <tableColumn id="3397" name="Columna3383" dataDxfId="29616" totalsRowDxfId="12992"/>
    <tableColumn id="3398" name="Columna3384" dataDxfId="29615" totalsRowDxfId="12991"/>
    <tableColumn id="3399" name="Columna3385" dataDxfId="29614" totalsRowDxfId="12990"/>
    <tableColumn id="3400" name="Columna3386" dataDxfId="29613" totalsRowDxfId="12989"/>
    <tableColumn id="3401" name="Columna3387" dataDxfId="29612" totalsRowDxfId="12988"/>
    <tableColumn id="3402" name="Columna3388" dataDxfId="29611" totalsRowDxfId="12987"/>
    <tableColumn id="3403" name="Columna3389" dataDxfId="29610" totalsRowDxfId="12986"/>
    <tableColumn id="3404" name="Columna3390" dataDxfId="29609" totalsRowDxfId="12985"/>
    <tableColumn id="3405" name="Columna3391" dataDxfId="29608" totalsRowDxfId="12984"/>
    <tableColumn id="3406" name="Columna3392" dataDxfId="29607" totalsRowDxfId="12983"/>
    <tableColumn id="3407" name="Columna3393" dataDxfId="29606" totalsRowDxfId="12982"/>
    <tableColumn id="3408" name="Columna3394" dataDxfId="29605" totalsRowDxfId="12981"/>
    <tableColumn id="3409" name="Columna3395" dataDxfId="29604" totalsRowDxfId="12980"/>
    <tableColumn id="3410" name="Columna3396" dataDxfId="29603" totalsRowDxfId="12979"/>
    <tableColumn id="3411" name="Columna3397" dataDxfId="29602" totalsRowDxfId="12978"/>
    <tableColumn id="3412" name="Columna3398" dataDxfId="29601" totalsRowDxfId="12977"/>
    <tableColumn id="3413" name="Columna3399" dataDxfId="29600" totalsRowDxfId="12976"/>
    <tableColumn id="3414" name="Columna3400" dataDxfId="29599" totalsRowDxfId="12975"/>
    <tableColumn id="3415" name="Columna3401" dataDxfId="29598" totalsRowDxfId="12974"/>
    <tableColumn id="3416" name="Columna3402" dataDxfId="29597" totalsRowDxfId="12973"/>
    <tableColumn id="3417" name="Columna3403" dataDxfId="29596" totalsRowDxfId="12972"/>
    <tableColumn id="3418" name="Columna3404" dataDxfId="29595" totalsRowDxfId="12971"/>
    <tableColumn id="3419" name="Columna3405" dataDxfId="29594" totalsRowDxfId="12970"/>
    <tableColumn id="3420" name="Columna3406" dataDxfId="29593" totalsRowDxfId="12969"/>
    <tableColumn id="3421" name="Columna3407" dataDxfId="29592" totalsRowDxfId="12968"/>
    <tableColumn id="3422" name="Columna3408" dataDxfId="29591" totalsRowDxfId="12967"/>
    <tableColumn id="3423" name="Columna3409" dataDxfId="29590" totalsRowDxfId="12966"/>
    <tableColumn id="3424" name="Columna3410" dataDxfId="29589" totalsRowDxfId="12965"/>
    <tableColumn id="3425" name="Columna3411" dataDxfId="29588" totalsRowDxfId="12964"/>
    <tableColumn id="3426" name="Columna3412" dataDxfId="29587" totalsRowDxfId="12963"/>
    <tableColumn id="3427" name="Columna3413" dataDxfId="29586" totalsRowDxfId="12962"/>
    <tableColumn id="3428" name="Columna3414" dataDxfId="29585" totalsRowDxfId="12961"/>
    <tableColumn id="3429" name="Columna3415" dataDxfId="29584" totalsRowDxfId="12960"/>
    <tableColumn id="3430" name="Columna3416" dataDxfId="29583" totalsRowDxfId="12959"/>
    <tableColumn id="3431" name="Columna3417" dataDxfId="29582" totalsRowDxfId="12958"/>
    <tableColumn id="3432" name="Columna3418" dataDxfId="29581" totalsRowDxfId="12957"/>
    <tableColumn id="3433" name="Columna3419" dataDxfId="29580" totalsRowDxfId="12956"/>
    <tableColumn id="3434" name="Columna3420" dataDxfId="29579" totalsRowDxfId="12955"/>
    <tableColumn id="3435" name="Columna3421" dataDxfId="29578" totalsRowDxfId="12954"/>
    <tableColumn id="3436" name="Columna3422" dataDxfId="29577" totalsRowDxfId="12953"/>
    <tableColumn id="3437" name="Columna3423" dataDxfId="29576" totalsRowDxfId="12952"/>
    <tableColumn id="3438" name="Columna3424" dataDxfId="29575" totalsRowDxfId="12951"/>
    <tableColumn id="3439" name="Columna3425" dataDxfId="29574" totalsRowDxfId="12950"/>
    <tableColumn id="3440" name="Columna3426" dataDxfId="29573" totalsRowDxfId="12949"/>
    <tableColumn id="3441" name="Columna3427" dataDxfId="29572" totalsRowDxfId="12948"/>
    <tableColumn id="3442" name="Columna3428" dataDxfId="29571" totalsRowDxfId="12947"/>
    <tableColumn id="3443" name="Columna3429" dataDxfId="29570" totalsRowDxfId="12946"/>
    <tableColumn id="3444" name="Columna3430" dataDxfId="29569" totalsRowDxfId="12945"/>
    <tableColumn id="3445" name="Columna3431" dataDxfId="29568" totalsRowDxfId="12944"/>
    <tableColumn id="3446" name="Columna3432" dataDxfId="29567" totalsRowDxfId="12943"/>
    <tableColumn id="3447" name="Columna3433" dataDxfId="29566" totalsRowDxfId="12942"/>
    <tableColumn id="3448" name="Columna3434" dataDxfId="29565" totalsRowDxfId="12941"/>
    <tableColumn id="3449" name="Columna3435" dataDxfId="29564" totalsRowDxfId="12940"/>
    <tableColumn id="3450" name="Columna3436" dataDxfId="29563" totalsRowDxfId="12939"/>
    <tableColumn id="3451" name="Columna3437" dataDxfId="29562" totalsRowDxfId="12938"/>
    <tableColumn id="3452" name="Columna3438" dataDxfId="29561" totalsRowDxfId="12937"/>
    <tableColumn id="3453" name="Columna3439" dataDxfId="29560" totalsRowDxfId="12936"/>
    <tableColumn id="3454" name="Columna3440" dataDxfId="29559" totalsRowDxfId="12935"/>
    <tableColumn id="3455" name="Columna3441" dataDxfId="29558" totalsRowDxfId="12934"/>
    <tableColumn id="3456" name="Columna3442" dataDxfId="29557" totalsRowDxfId="12933"/>
    <tableColumn id="3457" name="Columna3443" dataDxfId="29556" totalsRowDxfId="12932"/>
    <tableColumn id="3458" name="Columna3444" dataDxfId="29555" totalsRowDxfId="12931"/>
    <tableColumn id="3459" name="Columna3445" dataDxfId="29554" totalsRowDxfId="12930"/>
    <tableColumn id="3460" name="Columna3446" dataDxfId="29553" totalsRowDxfId="12929"/>
    <tableColumn id="3461" name="Columna3447" dataDxfId="29552" totalsRowDxfId="12928"/>
    <tableColumn id="3462" name="Columna3448" dataDxfId="29551" totalsRowDxfId="12927"/>
    <tableColumn id="3463" name="Columna3449" dataDxfId="29550" totalsRowDxfId="12926"/>
    <tableColumn id="3464" name="Columna3450" dataDxfId="29549" totalsRowDxfId="12925"/>
    <tableColumn id="3465" name="Columna3451" dataDxfId="29548" totalsRowDxfId="12924"/>
    <tableColumn id="3466" name="Columna3452" dataDxfId="29547" totalsRowDxfId="12923"/>
    <tableColumn id="3467" name="Columna3453" dataDxfId="29546" totalsRowDxfId="12922"/>
    <tableColumn id="3468" name="Columna3454" dataDxfId="29545" totalsRowDxfId="12921"/>
    <tableColumn id="3469" name="Columna3455" dataDxfId="29544" totalsRowDxfId="12920"/>
    <tableColumn id="3470" name="Columna3456" dataDxfId="29543" totalsRowDxfId="12919"/>
    <tableColumn id="3471" name="Columna3457" dataDxfId="29542" totalsRowDxfId="12918"/>
    <tableColumn id="3472" name="Columna3458" dataDxfId="29541" totalsRowDxfId="12917"/>
    <tableColumn id="3473" name="Columna3459" dataDxfId="29540" totalsRowDxfId="12916"/>
    <tableColumn id="3474" name="Columna3460" dataDxfId="29539" totalsRowDxfId="12915"/>
    <tableColumn id="3475" name="Columna3461" dataDxfId="29538" totalsRowDxfId="12914"/>
    <tableColumn id="3476" name="Columna3462" dataDxfId="29537" totalsRowDxfId="12913"/>
    <tableColumn id="3477" name="Columna3463" dataDxfId="29536" totalsRowDxfId="12912"/>
    <tableColumn id="3478" name="Columna3464" dataDxfId="29535" totalsRowDxfId="12911"/>
    <tableColumn id="3479" name="Columna3465" dataDxfId="29534" totalsRowDxfId="12910"/>
    <tableColumn id="3480" name="Columna3466" dataDxfId="29533" totalsRowDxfId="12909"/>
    <tableColumn id="3481" name="Columna3467" dataDxfId="29532" totalsRowDxfId="12908"/>
    <tableColumn id="3482" name="Columna3468" dataDxfId="29531" totalsRowDxfId="12907"/>
    <tableColumn id="3483" name="Columna3469" dataDxfId="29530" totalsRowDxfId="12906"/>
    <tableColumn id="3484" name="Columna3470" dataDxfId="29529" totalsRowDxfId="12905"/>
    <tableColumn id="3485" name="Columna3471" dataDxfId="29528" totalsRowDxfId="12904"/>
    <tableColumn id="3486" name="Columna3472" dataDxfId="29527" totalsRowDxfId="12903"/>
    <tableColumn id="3487" name="Columna3473" dataDxfId="29526" totalsRowDxfId="12902"/>
    <tableColumn id="3488" name="Columna3474" dataDxfId="29525" totalsRowDxfId="12901"/>
    <tableColumn id="3489" name="Columna3475" dataDxfId="29524" totalsRowDxfId="12900"/>
    <tableColumn id="3490" name="Columna3476" dataDxfId="29523" totalsRowDxfId="12899"/>
    <tableColumn id="3491" name="Columna3477" dataDxfId="29522" totalsRowDxfId="12898"/>
    <tableColumn id="3492" name="Columna3478" dataDxfId="29521" totalsRowDxfId="12897"/>
    <tableColumn id="3493" name="Columna3479" dataDxfId="29520" totalsRowDxfId="12896"/>
    <tableColumn id="3494" name="Columna3480" dataDxfId="29519" totalsRowDxfId="12895"/>
    <tableColumn id="3495" name="Columna3481" dataDxfId="29518" totalsRowDxfId="12894"/>
    <tableColumn id="3496" name="Columna3482" dataDxfId="29517" totalsRowDxfId="12893"/>
    <tableColumn id="3497" name="Columna3483" dataDxfId="29516" totalsRowDxfId="12892"/>
    <tableColumn id="3498" name="Columna3484" dataDxfId="29515" totalsRowDxfId="12891"/>
    <tableColumn id="3499" name="Columna3485" dataDxfId="29514" totalsRowDxfId="12890"/>
    <tableColumn id="3500" name="Columna3486" dataDxfId="29513" totalsRowDxfId="12889"/>
    <tableColumn id="3501" name="Columna3487" dataDxfId="29512" totalsRowDxfId="12888"/>
    <tableColumn id="3502" name="Columna3488" dataDxfId="29511" totalsRowDxfId="12887"/>
    <tableColumn id="3503" name="Columna3489" dataDxfId="29510" totalsRowDxfId="12886"/>
    <tableColumn id="3504" name="Columna3490" dataDxfId="29509" totalsRowDxfId="12885"/>
    <tableColumn id="3505" name="Columna3491" dataDxfId="29508" totalsRowDxfId="12884"/>
    <tableColumn id="3506" name="Columna3492" dataDxfId="29507" totalsRowDxfId="12883"/>
    <tableColumn id="3507" name="Columna3493" dataDxfId="29506" totalsRowDxfId="12882"/>
    <tableColumn id="3508" name="Columna3494" dataDxfId="29505" totalsRowDxfId="12881"/>
    <tableColumn id="3509" name="Columna3495" dataDxfId="29504" totalsRowDxfId="12880"/>
    <tableColumn id="3510" name="Columna3496" dataDxfId="29503" totalsRowDxfId="12879"/>
    <tableColumn id="3511" name="Columna3497" dataDxfId="29502" totalsRowDxfId="12878"/>
    <tableColumn id="3512" name="Columna3498" dataDxfId="29501" totalsRowDxfId="12877"/>
    <tableColumn id="3513" name="Columna3499" dataDxfId="29500" totalsRowDxfId="12876"/>
    <tableColumn id="3514" name="Columna3500" dataDxfId="29499" totalsRowDxfId="12875"/>
    <tableColumn id="3515" name="Columna3501" dataDxfId="29498" totalsRowDxfId="12874"/>
    <tableColumn id="3516" name="Columna3502" dataDxfId="29497" totalsRowDxfId="12873"/>
    <tableColumn id="3517" name="Columna3503" dataDxfId="29496" totalsRowDxfId="12872"/>
    <tableColumn id="3518" name="Columna3504" dataDxfId="29495" totalsRowDxfId="12871"/>
    <tableColumn id="3519" name="Columna3505" dataDxfId="29494" totalsRowDxfId="12870"/>
    <tableColumn id="3520" name="Columna3506" dataDxfId="29493" totalsRowDxfId="12869"/>
    <tableColumn id="3521" name="Columna3507" dataDxfId="29492" totalsRowDxfId="12868"/>
    <tableColumn id="3522" name="Columna3508" dataDxfId="29491" totalsRowDxfId="12867"/>
    <tableColumn id="3523" name="Columna3509" dataDxfId="29490" totalsRowDxfId="12866"/>
    <tableColumn id="3524" name="Columna3510" dataDxfId="29489" totalsRowDxfId="12865"/>
    <tableColumn id="3525" name="Columna3511" dataDxfId="29488" totalsRowDxfId="12864"/>
    <tableColumn id="3526" name="Columna3512" dataDxfId="29487" totalsRowDxfId="12863"/>
    <tableColumn id="3527" name="Columna3513" dataDxfId="29486" totalsRowDxfId="12862"/>
    <tableColumn id="3528" name="Columna3514" dataDxfId="29485" totalsRowDxfId="12861"/>
    <tableColumn id="3529" name="Columna3515" dataDxfId="29484" totalsRowDxfId="12860"/>
    <tableColumn id="3530" name="Columna3516" dataDxfId="29483" totalsRowDxfId="12859"/>
    <tableColumn id="3531" name="Columna3517" dataDxfId="29482" totalsRowDxfId="12858"/>
    <tableColumn id="3532" name="Columna3518" dataDxfId="29481" totalsRowDxfId="12857"/>
    <tableColumn id="3533" name="Columna3519" dataDxfId="29480" totalsRowDxfId="12856"/>
    <tableColumn id="3534" name="Columna3520" dataDxfId="29479" totalsRowDxfId="12855"/>
    <tableColumn id="3535" name="Columna3521" dataDxfId="29478" totalsRowDxfId="12854"/>
    <tableColumn id="3536" name="Columna3522" dataDxfId="29477" totalsRowDxfId="12853"/>
    <tableColumn id="3537" name="Columna3523" dataDxfId="29476" totalsRowDxfId="12852"/>
    <tableColumn id="3538" name="Columna3524" dataDxfId="29475" totalsRowDxfId="12851"/>
    <tableColumn id="3539" name="Columna3525" dataDxfId="29474" totalsRowDxfId="12850"/>
    <tableColumn id="3540" name="Columna3526" dataDxfId="29473" totalsRowDxfId="12849"/>
    <tableColumn id="3541" name="Columna3527" dataDxfId="29472" totalsRowDxfId="12848"/>
    <tableColumn id="3542" name="Columna3528" dataDxfId="29471" totalsRowDxfId="12847"/>
    <tableColumn id="3543" name="Columna3529" dataDxfId="29470" totalsRowDxfId="12846"/>
    <tableColumn id="3544" name="Columna3530" dataDxfId="29469" totalsRowDxfId="12845"/>
    <tableColumn id="3545" name="Columna3531" dataDxfId="29468" totalsRowDxfId="12844"/>
    <tableColumn id="3546" name="Columna3532" dataDxfId="29467" totalsRowDxfId="12843"/>
    <tableColumn id="3547" name="Columna3533" dataDxfId="29466" totalsRowDxfId="12842"/>
    <tableColumn id="3548" name="Columna3534" dataDxfId="29465" totalsRowDxfId="12841"/>
    <tableColumn id="3549" name="Columna3535" dataDxfId="29464" totalsRowDxfId="12840"/>
    <tableColumn id="3550" name="Columna3536" dataDxfId="29463" totalsRowDxfId="12839"/>
    <tableColumn id="3551" name="Columna3537" dataDxfId="29462" totalsRowDxfId="12838"/>
    <tableColumn id="3552" name="Columna3538" dataDxfId="29461" totalsRowDxfId="12837"/>
    <tableColumn id="3553" name="Columna3539" dataDxfId="29460" totalsRowDxfId="12836"/>
    <tableColumn id="3554" name="Columna3540" dataDxfId="29459" totalsRowDxfId="12835"/>
    <tableColumn id="3555" name="Columna3541" dataDxfId="29458" totalsRowDxfId="12834"/>
    <tableColumn id="3556" name="Columna3542" dataDxfId="29457" totalsRowDxfId="12833"/>
    <tableColumn id="3557" name="Columna3543" dataDxfId="29456" totalsRowDxfId="12832"/>
    <tableColumn id="3558" name="Columna3544" dataDxfId="29455" totalsRowDxfId="12831"/>
    <tableColumn id="3559" name="Columna3545" dataDxfId="29454" totalsRowDxfId="12830"/>
    <tableColumn id="3560" name="Columna3546" dataDxfId="29453" totalsRowDxfId="12829"/>
    <tableColumn id="3561" name="Columna3547" dataDxfId="29452" totalsRowDxfId="12828"/>
    <tableColumn id="3562" name="Columna3548" dataDxfId="29451" totalsRowDxfId="12827"/>
    <tableColumn id="3563" name="Columna3549" dataDxfId="29450" totalsRowDxfId="12826"/>
    <tableColumn id="3564" name="Columna3550" dataDxfId="29449" totalsRowDxfId="12825"/>
    <tableColumn id="3565" name="Columna3551" dataDxfId="29448" totalsRowDxfId="12824"/>
    <tableColumn id="3566" name="Columna3552" dataDxfId="29447" totalsRowDxfId="12823"/>
    <tableColumn id="3567" name="Columna3553" dataDxfId="29446" totalsRowDxfId="12822"/>
    <tableColumn id="3568" name="Columna3554" dataDxfId="29445" totalsRowDxfId="12821"/>
    <tableColumn id="3569" name="Columna3555" dataDxfId="29444" totalsRowDxfId="12820"/>
    <tableColumn id="3570" name="Columna3556" dataDxfId="29443" totalsRowDxfId="12819"/>
    <tableColumn id="3571" name="Columna3557" dataDxfId="29442" totalsRowDxfId="12818"/>
    <tableColumn id="3572" name="Columna3558" dataDxfId="29441" totalsRowDxfId="12817"/>
    <tableColumn id="3573" name="Columna3559" dataDxfId="29440" totalsRowDxfId="12816"/>
    <tableColumn id="3574" name="Columna3560" dataDxfId="29439" totalsRowDxfId="12815"/>
    <tableColumn id="3575" name="Columna3561" dataDxfId="29438" totalsRowDxfId="12814"/>
    <tableColumn id="3576" name="Columna3562" dataDxfId="29437" totalsRowDxfId="12813"/>
    <tableColumn id="3577" name="Columna3563" dataDxfId="29436" totalsRowDxfId="12812"/>
    <tableColumn id="3578" name="Columna3564" dataDxfId="29435" totalsRowDxfId="12811"/>
    <tableColumn id="3579" name="Columna3565" dataDxfId="29434" totalsRowDxfId="12810"/>
    <tableColumn id="3580" name="Columna3566" dataDxfId="29433" totalsRowDxfId="12809"/>
    <tableColumn id="3581" name="Columna3567" dataDxfId="29432" totalsRowDxfId="12808"/>
    <tableColumn id="3582" name="Columna3568" dataDxfId="29431" totalsRowDxfId="12807"/>
    <tableColumn id="3583" name="Columna3569" dataDxfId="29430" totalsRowDxfId="12806"/>
    <tableColumn id="3584" name="Columna3570" dataDxfId="29429" totalsRowDxfId="12805"/>
    <tableColumn id="3585" name="Columna3571" dataDxfId="29428" totalsRowDxfId="12804"/>
    <tableColumn id="3586" name="Columna3572" dataDxfId="29427" totalsRowDxfId="12803"/>
    <tableColumn id="3587" name="Columna3573" dataDxfId="29426" totalsRowDxfId="12802"/>
    <tableColumn id="3588" name="Columna3574" dataDxfId="29425" totalsRowDxfId="12801"/>
    <tableColumn id="3589" name="Columna3575" dataDxfId="29424" totalsRowDxfId="12800"/>
    <tableColumn id="3590" name="Columna3576" dataDxfId="29423" totalsRowDxfId="12799"/>
    <tableColumn id="3591" name="Columna3577" dataDxfId="29422" totalsRowDxfId="12798"/>
    <tableColumn id="3592" name="Columna3578" dataDxfId="29421" totalsRowDxfId="12797"/>
    <tableColumn id="3593" name="Columna3579" dataDxfId="29420" totalsRowDxfId="12796"/>
    <tableColumn id="3594" name="Columna3580" dataDxfId="29419" totalsRowDxfId="12795"/>
    <tableColumn id="3595" name="Columna3581" dataDxfId="29418" totalsRowDxfId="12794"/>
    <tableColumn id="3596" name="Columna3582" dataDxfId="29417" totalsRowDxfId="12793"/>
    <tableColumn id="3597" name="Columna3583" dataDxfId="29416" totalsRowDxfId="12792"/>
    <tableColumn id="3598" name="Columna3584" dataDxfId="29415" totalsRowDxfId="12791"/>
    <tableColumn id="3599" name="Columna3585" dataDxfId="29414" totalsRowDxfId="12790"/>
    <tableColumn id="3600" name="Columna3586" dataDxfId="29413" totalsRowDxfId="12789"/>
    <tableColumn id="3601" name="Columna3587" dataDxfId="29412" totalsRowDxfId="12788"/>
    <tableColumn id="3602" name="Columna3588" dataDxfId="29411" totalsRowDxfId="12787"/>
    <tableColumn id="3603" name="Columna3589" dataDxfId="29410" totalsRowDxfId="12786"/>
    <tableColumn id="3604" name="Columna3590" dataDxfId="29409" totalsRowDxfId="12785"/>
    <tableColumn id="3605" name="Columna3591" dataDxfId="29408" totalsRowDxfId="12784"/>
    <tableColumn id="3606" name="Columna3592" dataDxfId="29407" totalsRowDxfId="12783"/>
    <tableColumn id="3607" name="Columna3593" dataDxfId="29406" totalsRowDxfId="12782"/>
    <tableColumn id="3608" name="Columna3594" dataDxfId="29405" totalsRowDxfId="12781"/>
    <tableColumn id="3609" name="Columna3595" dataDxfId="29404" totalsRowDxfId="12780"/>
    <tableColumn id="3610" name="Columna3596" dataDxfId="29403" totalsRowDxfId="12779"/>
    <tableColumn id="3611" name="Columna3597" dataDxfId="29402" totalsRowDxfId="12778"/>
    <tableColumn id="3612" name="Columna3598" dataDxfId="29401" totalsRowDxfId="12777"/>
    <tableColumn id="3613" name="Columna3599" dataDxfId="29400" totalsRowDxfId="12776"/>
    <tableColumn id="3614" name="Columna3600" dataDxfId="29399" totalsRowDxfId="12775"/>
    <tableColumn id="3615" name="Columna3601" dataDxfId="29398" totalsRowDxfId="12774"/>
    <tableColumn id="3616" name="Columna3602" dataDxfId="29397" totalsRowDxfId="12773"/>
    <tableColumn id="3617" name="Columna3603" dataDxfId="29396" totalsRowDxfId="12772"/>
    <tableColumn id="3618" name="Columna3604" dataDxfId="29395" totalsRowDxfId="12771"/>
    <tableColumn id="3619" name="Columna3605" dataDxfId="29394" totalsRowDxfId="12770"/>
    <tableColumn id="3620" name="Columna3606" dataDxfId="29393" totalsRowDxfId="12769"/>
    <tableColumn id="3621" name="Columna3607" dataDxfId="29392" totalsRowDxfId="12768"/>
    <tableColumn id="3622" name="Columna3608" dataDxfId="29391" totalsRowDxfId="12767"/>
    <tableColumn id="3623" name="Columna3609" dataDxfId="29390" totalsRowDxfId="12766"/>
    <tableColumn id="3624" name="Columna3610" dataDxfId="29389" totalsRowDxfId="12765"/>
    <tableColumn id="3625" name="Columna3611" dataDxfId="29388" totalsRowDxfId="12764"/>
    <tableColumn id="3626" name="Columna3612" dataDxfId="29387" totalsRowDxfId="12763"/>
    <tableColumn id="3627" name="Columna3613" dataDxfId="29386" totalsRowDxfId="12762"/>
    <tableColumn id="3628" name="Columna3614" dataDxfId="29385" totalsRowDxfId="12761"/>
    <tableColumn id="3629" name="Columna3615" dataDxfId="29384" totalsRowDxfId="12760"/>
    <tableColumn id="3630" name="Columna3616" dataDxfId="29383" totalsRowDxfId="12759"/>
    <tableColumn id="3631" name="Columna3617" dataDxfId="29382" totalsRowDxfId="12758"/>
    <tableColumn id="3632" name="Columna3618" dataDxfId="29381" totalsRowDxfId="12757"/>
    <tableColumn id="3633" name="Columna3619" dataDxfId="29380" totalsRowDxfId="12756"/>
    <tableColumn id="3634" name="Columna3620" dataDxfId="29379" totalsRowDxfId="12755"/>
    <tableColumn id="3635" name="Columna3621" dataDxfId="29378" totalsRowDxfId="12754"/>
    <tableColumn id="3636" name="Columna3622" dataDxfId="29377" totalsRowDxfId="12753"/>
    <tableColumn id="3637" name="Columna3623" dataDxfId="29376" totalsRowDxfId="12752"/>
    <tableColumn id="3638" name="Columna3624" dataDxfId="29375" totalsRowDxfId="12751"/>
    <tableColumn id="3639" name="Columna3625" dataDxfId="29374" totalsRowDxfId="12750"/>
    <tableColumn id="3640" name="Columna3626" dataDxfId="29373" totalsRowDxfId="12749"/>
    <tableColumn id="3641" name="Columna3627" dataDxfId="29372" totalsRowDxfId="12748"/>
    <tableColumn id="3642" name="Columna3628" dataDxfId="29371" totalsRowDxfId="12747"/>
    <tableColumn id="3643" name="Columna3629" dataDxfId="29370" totalsRowDxfId="12746"/>
    <tableColumn id="3644" name="Columna3630" dataDxfId="29369" totalsRowDxfId="12745"/>
    <tableColumn id="3645" name="Columna3631" dataDxfId="29368" totalsRowDxfId="12744"/>
    <tableColumn id="3646" name="Columna3632" dataDxfId="29367" totalsRowDxfId="12743"/>
    <tableColumn id="3647" name="Columna3633" dataDxfId="29366" totalsRowDxfId="12742"/>
    <tableColumn id="3648" name="Columna3634" dataDxfId="29365" totalsRowDxfId="12741"/>
    <tableColumn id="3649" name="Columna3635" dataDxfId="29364" totalsRowDxfId="12740"/>
    <tableColumn id="3650" name="Columna3636" dataDxfId="29363" totalsRowDxfId="12739"/>
    <tableColumn id="3651" name="Columna3637" dataDxfId="29362" totalsRowDxfId="12738"/>
    <tableColumn id="3652" name="Columna3638" dataDxfId="29361" totalsRowDxfId="12737"/>
    <tableColumn id="3653" name="Columna3639" dataDxfId="29360" totalsRowDxfId="12736"/>
    <tableColumn id="3654" name="Columna3640" dataDxfId="29359" totalsRowDxfId="12735"/>
    <tableColumn id="3655" name="Columna3641" dataDxfId="29358" totalsRowDxfId="12734"/>
    <tableColumn id="3656" name="Columna3642" dataDxfId="29357" totalsRowDxfId="12733"/>
    <tableColumn id="3657" name="Columna3643" dataDxfId="29356" totalsRowDxfId="12732"/>
    <tableColumn id="3658" name="Columna3644" dataDxfId="29355" totalsRowDxfId="12731"/>
    <tableColumn id="3659" name="Columna3645" dataDxfId="29354" totalsRowDxfId="12730"/>
    <tableColumn id="3660" name="Columna3646" dataDxfId="29353" totalsRowDxfId="12729"/>
    <tableColumn id="3661" name="Columna3647" dataDxfId="29352" totalsRowDxfId="12728"/>
    <tableColumn id="3662" name="Columna3648" dataDxfId="29351" totalsRowDxfId="12727"/>
    <tableColumn id="3663" name="Columna3649" dataDxfId="29350" totalsRowDxfId="12726"/>
    <tableColumn id="3664" name="Columna3650" dataDxfId="29349" totalsRowDxfId="12725"/>
    <tableColumn id="3665" name="Columna3651" dataDxfId="29348" totalsRowDxfId="12724"/>
    <tableColumn id="3666" name="Columna3652" dataDxfId="29347" totalsRowDxfId="12723"/>
    <tableColumn id="3667" name="Columna3653" dataDxfId="29346" totalsRowDxfId="12722"/>
    <tableColumn id="3668" name="Columna3654" dataDxfId="29345" totalsRowDxfId="12721"/>
    <tableColumn id="3669" name="Columna3655" dataDxfId="29344" totalsRowDxfId="12720"/>
    <tableColumn id="3670" name="Columna3656" dataDxfId="29343" totalsRowDxfId="12719"/>
    <tableColumn id="3671" name="Columna3657" dataDxfId="29342" totalsRowDxfId="12718"/>
    <tableColumn id="3672" name="Columna3658" dataDxfId="29341" totalsRowDxfId="12717"/>
    <tableColumn id="3673" name="Columna3659" dataDxfId="29340" totalsRowDxfId="12716"/>
    <tableColumn id="3674" name="Columna3660" dataDxfId="29339" totalsRowDxfId="12715"/>
    <tableColumn id="3675" name="Columna3661" dataDxfId="29338" totalsRowDxfId="12714"/>
    <tableColumn id="3676" name="Columna3662" dataDxfId="29337" totalsRowDxfId="12713"/>
    <tableColumn id="3677" name="Columna3663" dataDxfId="29336" totalsRowDxfId="12712"/>
    <tableColumn id="3678" name="Columna3664" dataDxfId="29335" totalsRowDxfId="12711"/>
    <tableColumn id="3679" name="Columna3665" dataDxfId="29334" totalsRowDxfId="12710"/>
    <tableColumn id="3680" name="Columna3666" dataDxfId="29333" totalsRowDxfId="12709"/>
    <tableColumn id="3681" name="Columna3667" dataDxfId="29332" totalsRowDxfId="12708"/>
    <tableColumn id="3682" name="Columna3668" dataDxfId="29331" totalsRowDxfId="12707"/>
    <tableColumn id="3683" name="Columna3669" dataDxfId="29330" totalsRowDxfId="12706"/>
    <tableColumn id="3684" name="Columna3670" dataDxfId="29329" totalsRowDxfId="12705"/>
    <tableColumn id="3685" name="Columna3671" dataDxfId="29328" totalsRowDxfId="12704"/>
    <tableColumn id="3686" name="Columna3672" dataDxfId="29327" totalsRowDxfId="12703"/>
    <tableColumn id="3687" name="Columna3673" dataDxfId="29326" totalsRowDxfId="12702"/>
    <tableColumn id="3688" name="Columna3674" dataDxfId="29325" totalsRowDxfId="12701"/>
    <tableColumn id="3689" name="Columna3675" dataDxfId="29324" totalsRowDxfId="12700"/>
    <tableColumn id="3690" name="Columna3676" dataDxfId="29323" totalsRowDxfId="12699"/>
    <tableColumn id="3691" name="Columna3677" dataDxfId="29322" totalsRowDxfId="12698"/>
    <tableColumn id="3692" name="Columna3678" dataDxfId="29321" totalsRowDxfId="12697"/>
    <tableColumn id="3693" name="Columna3679" dataDxfId="29320" totalsRowDxfId="12696"/>
    <tableColumn id="3694" name="Columna3680" dataDxfId="29319" totalsRowDxfId="12695"/>
    <tableColumn id="3695" name="Columna3681" dataDxfId="29318" totalsRowDxfId="12694"/>
    <tableColumn id="3696" name="Columna3682" dataDxfId="29317" totalsRowDxfId="12693"/>
    <tableColumn id="3697" name="Columna3683" dataDxfId="29316" totalsRowDxfId="12692"/>
    <tableColumn id="3698" name="Columna3684" dataDxfId="29315" totalsRowDxfId="12691"/>
    <tableColumn id="3699" name="Columna3685" dataDxfId="29314" totalsRowDxfId="12690"/>
    <tableColumn id="3700" name="Columna3686" dataDxfId="29313" totalsRowDxfId="12689"/>
    <tableColumn id="3701" name="Columna3687" dataDxfId="29312" totalsRowDxfId="12688"/>
    <tableColumn id="3702" name="Columna3688" dataDxfId="29311" totalsRowDxfId="12687"/>
    <tableColumn id="3703" name="Columna3689" dataDxfId="29310" totalsRowDxfId="12686"/>
    <tableColumn id="3704" name="Columna3690" dataDxfId="29309" totalsRowDxfId="12685"/>
    <tableColumn id="3705" name="Columna3691" dataDxfId="29308" totalsRowDxfId="12684"/>
    <tableColumn id="3706" name="Columna3692" dataDxfId="29307" totalsRowDxfId="12683"/>
    <tableColumn id="3707" name="Columna3693" dataDxfId="29306" totalsRowDxfId="12682"/>
    <tableColumn id="3708" name="Columna3694" dataDxfId="29305" totalsRowDxfId="12681"/>
    <tableColumn id="3709" name="Columna3695" dataDxfId="29304" totalsRowDxfId="12680"/>
    <tableColumn id="3710" name="Columna3696" dataDxfId="29303" totalsRowDxfId="12679"/>
    <tableColumn id="3711" name="Columna3697" dataDxfId="29302" totalsRowDxfId="12678"/>
    <tableColumn id="3712" name="Columna3698" dataDxfId="29301" totalsRowDxfId="12677"/>
    <tableColumn id="3713" name="Columna3699" dataDxfId="29300" totalsRowDxfId="12676"/>
    <tableColumn id="3714" name="Columna3700" dataDxfId="29299" totalsRowDxfId="12675"/>
    <tableColumn id="3715" name="Columna3701" dataDxfId="29298" totalsRowDxfId="12674"/>
    <tableColumn id="3716" name="Columna3702" dataDxfId="29297" totalsRowDxfId="12673"/>
    <tableColumn id="3717" name="Columna3703" dataDxfId="29296" totalsRowDxfId="12672"/>
    <tableColumn id="3718" name="Columna3704" dataDxfId="29295" totalsRowDxfId="12671"/>
    <tableColumn id="3719" name="Columna3705" dataDxfId="29294" totalsRowDxfId="12670"/>
    <tableColumn id="3720" name="Columna3706" dataDxfId="29293" totalsRowDxfId="12669"/>
    <tableColumn id="3721" name="Columna3707" dataDxfId="29292" totalsRowDxfId="12668"/>
    <tableColumn id="3722" name="Columna3708" dataDxfId="29291" totalsRowDxfId="12667"/>
    <tableColumn id="3723" name="Columna3709" dataDxfId="29290" totalsRowDxfId="12666"/>
    <tableColumn id="3724" name="Columna3710" dataDxfId="29289" totalsRowDxfId="12665"/>
    <tableColumn id="3725" name="Columna3711" dataDxfId="29288" totalsRowDxfId="12664"/>
    <tableColumn id="3726" name="Columna3712" dataDxfId="29287" totalsRowDxfId="12663"/>
    <tableColumn id="3727" name="Columna3713" dataDxfId="29286" totalsRowDxfId="12662"/>
    <tableColumn id="3728" name="Columna3714" dataDxfId="29285" totalsRowDxfId="12661"/>
    <tableColumn id="3729" name="Columna3715" dataDxfId="29284" totalsRowDxfId="12660"/>
    <tableColumn id="3730" name="Columna3716" dataDxfId="29283" totalsRowDxfId="12659"/>
    <tableColumn id="3731" name="Columna3717" dataDxfId="29282" totalsRowDxfId="12658"/>
    <tableColumn id="3732" name="Columna3718" dataDxfId="29281" totalsRowDxfId="12657"/>
    <tableColumn id="3733" name="Columna3719" dataDxfId="29280" totalsRowDxfId="12656"/>
    <tableColumn id="3734" name="Columna3720" dataDxfId="29279" totalsRowDxfId="12655"/>
    <tableColumn id="3735" name="Columna3721" dataDxfId="29278" totalsRowDxfId="12654"/>
    <tableColumn id="3736" name="Columna3722" dataDxfId="29277" totalsRowDxfId="12653"/>
    <tableColumn id="3737" name="Columna3723" dataDxfId="29276" totalsRowDxfId="12652"/>
    <tableColumn id="3738" name="Columna3724" dataDxfId="29275" totalsRowDxfId="12651"/>
    <tableColumn id="3739" name="Columna3725" dataDxfId="29274" totalsRowDxfId="12650"/>
    <tableColumn id="3740" name="Columna3726" dataDxfId="29273" totalsRowDxfId="12649"/>
    <tableColumn id="3741" name="Columna3727" dataDxfId="29272" totalsRowDxfId="12648"/>
    <tableColumn id="3742" name="Columna3728" dataDxfId="29271" totalsRowDxfId="12647"/>
    <tableColumn id="3743" name="Columna3729" dataDxfId="29270" totalsRowDxfId="12646"/>
    <tableColumn id="3744" name="Columna3730" dataDxfId="29269" totalsRowDxfId="12645"/>
    <tableColumn id="3745" name="Columna3731" dataDxfId="29268" totalsRowDxfId="12644"/>
    <tableColumn id="3746" name="Columna3732" dataDxfId="29267" totalsRowDxfId="12643"/>
    <tableColumn id="3747" name="Columna3733" dataDxfId="29266" totalsRowDxfId="12642"/>
    <tableColumn id="3748" name="Columna3734" dataDxfId="29265" totalsRowDxfId="12641"/>
    <tableColumn id="3749" name="Columna3735" dataDxfId="29264" totalsRowDxfId="12640"/>
    <tableColumn id="3750" name="Columna3736" dataDxfId="29263" totalsRowDxfId="12639"/>
    <tableColumn id="3751" name="Columna3737" dataDxfId="29262" totalsRowDxfId="12638"/>
    <tableColumn id="3752" name="Columna3738" dataDxfId="29261" totalsRowDxfId="12637"/>
    <tableColumn id="3753" name="Columna3739" dataDxfId="29260" totalsRowDxfId="12636"/>
    <tableColumn id="3754" name="Columna3740" dataDxfId="29259" totalsRowDxfId="12635"/>
    <tableColumn id="3755" name="Columna3741" dataDxfId="29258" totalsRowDxfId="12634"/>
    <tableColumn id="3756" name="Columna3742" dataDxfId="29257" totalsRowDxfId="12633"/>
    <tableColumn id="3757" name="Columna3743" dataDxfId="29256" totalsRowDxfId="12632"/>
    <tableColumn id="3758" name="Columna3744" dataDxfId="29255" totalsRowDxfId="12631"/>
    <tableColumn id="3759" name="Columna3745" dataDxfId="29254" totalsRowDxfId="12630"/>
    <tableColumn id="3760" name="Columna3746" dataDxfId="29253" totalsRowDxfId="12629"/>
    <tableColumn id="3761" name="Columna3747" dataDxfId="29252" totalsRowDxfId="12628"/>
    <tableColumn id="3762" name="Columna3748" dataDxfId="29251" totalsRowDxfId="12627"/>
    <tableColumn id="3763" name="Columna3749" dataDxfId="29250" totalsRowDxfId="12626"/>
    <tableColumn id="3764" name="Columna3750" dataDxfId="29249" totalsRowDxfId="12625"/>
    <tableColumn id="3765" name="Columna3751" dataDxfId="29248" totalsRowDxfId="12624"/>
    <tableColumn id="3766" name="Columna3752" dataDxfId="29247" totalsRowDxfId="12623"/>
    <tableColumn id="3767" name="Columna3753" dataDxfId="29246" totalsRowDxfId="12622"/>
    <tableColumn id="3768" name="Columna3754" dataDxfId="29245" totalsRowDxfId="12621"/>
    <tableColumn id="3769" name="Columna3755" dataDxfId="29244" totalsRowDxfId="12620"/>
    <tableColumn id="3770" name="Columna3756" dataDxfId="29243" totalsRowDxfId="12619"/>
    <tableColumn id="3771" name="Columna3757" dataDxfId="29242" totalsRowDxfId="12618"/>
    <tableColumn id="3772" name="Columna3758" dataDxfId="29241" totalsRowDxfId="12617"/>
    <tableColumn id="3773" name="Columna3759" dataDxfId="29240" totalsRowDxfId="12616"/>
    <tableColumn id="3774" name="Columna3760" dataDxfId="29239" totalsRowDxfId="12615"/>
    <tableColumn id="3775" name="Columna3761" dataDxfId="29238" totalsRowDxfId="12614"/>
    <tableColumn id="3776" name="Columna3762" dataDxfId="29237" totalsRowDxfId="12613"/>
    <tableColumn id="3777" name="Columna3763" dataDxfId="29236" totalsRowDxfId="12612"/>
    <tableColumn id="3778" name="Columna3764" dataDxfId="29235" totalsRowDxfId="12611"/>
    <tableColumn id="3779" name="Columna3765" dataDxfId="29234" totalsRowDxfId="12610"/>
    <tableColumn id="3780" name="Columna3766" dataDxfId="29233" totalsRowDxfId="12609"/>
    <tableColumn id="3781" name="Columna3767" dataDxfId="29232" totalsRowDxfId="12608"/>
    <tableColumn id="3782" name="Columna3768" dataDxfId="29231" totalsRowDxfId="12607"/>
    <tableColumn id="3783" name="Columna3769" dataDxfId="29230" totalsRowDxfId="12606"/>
    <tableColumn id="3784" name="Columna3770" dataDxfId="29229" totalsRowDxfId="12605"/>
    <tableColumn id="3785" name="Columna3771" dataDxfId="29228" totalsRowDxfId="12604"/>
    <tableColumn id="3786" name="Columna3772" dataDxfId="29227" totalsRowDxfId="12603"/>
    <tableColumn id="3787" name="Columna3773" dataDxfId="29226" totalsRowDxfId="12602"/>
    <tableColumn id="3788" name="Columna3774" dataDxfId="29225" totalsRowDxfId="12601"/>
    <tableColumn id="3789" name="Columna3775" dataDxfId="29224" totalsRowDxfId="12600"/>
    <tableColumn id="3790" name="Columna3776" dataDxfId="29223" totalsRowDxfId="12599"/>
    <tableColumn id="3791" name="Columna3777" dataDxfId="29222" totalsRowDxfId="12598"/>
    <tableColumn id="3792" name="Columna3778" dataDxfId="29221" totalsRowDxfId="12597"/>
    <tableColumn id="3793" name="Columna3779" dataDxfId="29220" totalsRowDxfId="12596"/>
    <tableColumn id="3794" name="Columna3780" dataDxfId="29219" totalsRowDxfId="12595"/>
    <tableColumn id="3795" name="Columna3781" dataDxfId="29218" totalsRowDxfId="12594"/>
    <tableColumn id="3796" name="Columna3782" dataDxfId="29217" totalsRowDxfId="12593"/>
    <tableColumn id="3797" name="Columna3783" dataDxfId="29216" totalsRowDxfId="12592"/>
    <tableColumn id="3798" name="Columna3784" dataDxfId="29215" totalsRowDxfId="12591"/>
    <tableColumn id="3799" name="Columna3785" dataDxfId="29214" totalsRowDxfId="12590"/>
    <tableColumn id="3800" name="Columna3786" dataDxfId="29213" totalsRowDxfId="12589"/>
    <tableColumn id="3801" name="Columna3787" dataDxfId="29212" totalsRowDxfId="12588"/>
    <tableColumn id="3802" name="Columna3788" dataDxfId="29211" totalsRowDxfId="12587"/>
    <tableColumn id="3803" name="Columna3789" dataDxfId="29210" totalsRowDxfId="12586"/>
    <tableColumn id="3804" name="Columna3790" dataDxfId="29209" totalsRowDxfId="12585"/>
    <tableColumn id="3805" name="Columna3791" dataDxfId="29208" totalsRowDxfId="12584"/>
    <tableColumn id="3806" name="Columna3792" dataDxfId="29207" totalsRowDxfId="12583"/>
    <tableColumn id="3807" name="Columna3793" dataDxfId="29206" totalsRowDxfId="12582"/>
    <tableColumn id="3808" name="Columna3794" dataDxfId="29205" totalsRowDxfId="12581"/>
    <tableColumn id="3809" name="Columna3795" dataDxfId="29204" totalsRowDxfId="12580"/>
    <tableColumn id="3810" name="Columna3796" dataDxfId="29203" totalsRowDxfId="12579"/>
    <tableColumn id="3811" name="Columna3797" dataDxfId="29202" totalsRowDxfId="12578"/>
    <tableColumn id="3812" name="Columna3798" dataDxfId="29201" totalsRowDxfId="12577"/>
    <tableColumn id="3813" name="Columna3799" dataDxfId="29200" totalsRowDxfId="12576"/>
    <tableColumn id="3814" name="Columna3800" dataDxfId="29199" totalsRowDxfId="12575"/>
    <tableColumn id="3815" name="Columna3801" dataDxfId="29198" totalsRowDxfId="12574"/>
    <tableColumn id="3816" name="Columna3802" dataDxfId="29197" totalsRowDxfId="12573"/>
    <tableColumn id="3817" name="Columna3803" dataDxfId="29196" totalsRowDxfId="12572"/>
    <tableColumn id="3818" name="Columna3804" dataDxfId="29195" totalsRowDxfId="12571"/>
    <tableColumn id="3819" name="Columna3805" dataDxfId="29194" totalsRowDxfId="12570"/>
    <tableColumn id="3820" name="Columna3806" dataDxfId="29193" totalsRowDxfId="12569"/>
    <tableColumn id="3821" name="Columna3807" dataDxfId="29192" totalsRowDxfId="12568"/>
    <tableColumn id="3822" name="Columna3808" dataDxfId="29191" totalsRowDxfId="12567"/>
    <tableColumn id="3823" name="Columna3809" dataDxfId="29190" totalsRowDxfId="12566"/>
    <tableColumn id="3824" name="Columna3810" dataDxfId="29189" totalsRowDxfId="12565"/>
    <tableColumn id="3825" name="Columna3811" dataDxfId="29188" totalsRowDxfId="12564"/>
    <tableColumn id="3826" name="Columna3812" dataDxfId="29187" totalsRowDxfId="12563"/>
    <tableColumn id="3827" name="Columna3813" dataDxfId="29186" totalsRowDxfId="12562"/>
    <tableColumn id="3828" name="Columna3814" dataDxfId="29185" totalsRowDxfId="12561"/>
    <tableColumn id="3829" name="Columna3815" dataDxfId="29184" totalsRowDxfId="12560"/>
    <tableColumn id="3830" name="Columna3816" dataDxfId="29183" totalsRowDxfId="12559"/>
    <tableColumn id="3831" name="Columna3817" dataDxfId="29182" totalsRowDxfId="12558"/>
    <tableColumn id="3832" name="Columna3818" dataDxfId="29181" totalsRowDxfId="12557"/>
    <tableColumn id="3833" name="Columna3819" dataDxfId="29180" totalsRowDxfId="12556"/>
    <tableColumn id="3834" name="Columna3820" dataDxfId="29179" totalsRowDxfId="12555"/>
    <tableColumn id="3835" name="Columna3821" dataDxfId="29178" totalsRowDxfId="12554"/>
    <tableColumn id="3836" name="Columna3822" dataDxfId="29177" totalsRowDxfId="12553"/>
    <tableColumn id="3837" name="Columna3823" dataDxfId="29176" totalsRowDxfId="12552"/>
    <tableColumn id="3838" name="Columna3824" dataDxfId="29175" totalsRowDxfId="12551"/>
    <tableColumn id="3839" name="Columna3825" dataDxfId="29174" totalsRowDxfId="12550"/>
    <tableColumn id="3840" name="Columna3826" dataDxfId="29173" totalsRowDxfId="12549"/>
    <tableColumn id="3841" name="Columna3827" dataDxfId="29172" totalsRowDxfId="12548"/>
    <tableColumn id="3842" name="Columna3828" dataDxfId="29171" totalsRowDxfId="12547"/>
    <tableColumn id="3843" name="Columna3829" dataDxfId="29170" totalsRowDxfId="12546"/>
    <tableColumn id="3844" name="Columna3830" dataDxfId="29169" totalsRowDxfId="12545"/>
    <tableColumn id="3845" name="Columna3831" dataDxfId="29168" totalsRowDxfId="12544"/>
    <tableColumn id="3846" name="Columna3832" dataDxfId="29167" totalsRowDxfId="12543"/>
    <tableColumn id="3847" name="Columna3833" dataDxfId="29166" totalsRowDxfId="12542"/>
    <tableColumn id="3848" name="Columna3834" dataDxfId="29165" totalsRowDxfId="12541"/>
    <tableColumn id="3849" name="Columna3835" dataDxfId="29164" totalsRowDxfId="12540"/>
    <tableColumn id="3850" name="Columna3836" dataDxfId="29163" totalsRowDxfId="12539"/>
    <tableColumn id="3851" name="Columna3837" dataDxfId="29162" totalsRowDxfId="12538"/>
    <tableColumn id="3852" name="Columna3838" dataDxfId="29161" totalsRowDxfId="12537"/>
    <tableColumn id="3853" name="Columna3839" dataDxfId="29160" totalsRowDxfId="12536"/>
    <tableColumn id="3854" name="Columna3840" dataDxfId="29159" totalsRowDxfId="12535"/>
    <tableColumn id="3855" name="Columna3841" dataDxfId="29158" totalsRowDxfId="12534"/>
    <tableColumn id="3856" name="Columna3842" dataDxfId="29157" totalsRowDxfId="12533"/>
    <tableColumn id="3857" name="Columna3843" dataDxfId="29156" totalsRowDxfId="12532"/>
    <tableColumn id="3858" name="Columna3844" dataDxfId="29155" totalsRowDxfId="12531"/>
    <tableColumn id="3859" name="Columna3845" dataDxfId="29154" totalsRowDxfId="12530"/>
    <tableColumn id="3860" name="Columna3846" dataDxfId="29153" totalsRowDxfId="12529"/>
    <tableColumn id="3861" name="Columna3847" dataDxfId="29152" totalsRowDxfId="12528"/>
    <tableColumn id="3862" name="Columna3848" dataDxfId="29151" totalsRowDxfId="12527"/>
    <tableColumn id="3863" name="Columna3849" dataDxfId="29150" totalsRowDxfId="12526"/>
    <tableColumn id="3864" name="Columna3850" dataDxfId="29149" totalsRowDxfId="12525"/>
    <tableColumn id="3865" name="Columna3851" dataDxfId="29148" totalsRowDxfId="12524"/>
    <tableColumn id="3866" name="Columna3852" dataDxfId="29147" totalsRowDxfId="12523"/>
    <tableColumn id="3867" name="Columna3853" dataDxfId="29146" totalsRowDxfId="12522"/>
    <tableColumn id="3868" name="Columna3854" dataDxfId="29145" totalsRowDxfId="12521"/>
    <tableColumn id="3869" name="Columna3855" dataDxfId="29144" totalsRowDxfId="12520"/>
    <tableColumn id="3870" name="Columna3856" dataDxfId="29143" totalsRowDxfId="12519"/>
    <tableColumn id="3871" name="Columna3857" dataDxfId="29142" totalsRowDxfId="12518"/>
    <tableColumn id="3872" name="Columna3858" dataDxfId="29141" totalsRowDxfId="12517"/>
    <tableColumn id="3873" name="Columna3859" dataDxfId="29140" totalsRowDxfId="12516"/>
    <tableColumn id="3874" name="Columna3860" dataDxfId="29139" totalsRowDxfId="12515"/>
    <tableColumn id="3875" name="Columna3861" dataDxfId="29138" totalsRowDxfId="12514"/>
    <tableColumn id="3876" name="Columna3862" dataDxfId="29137" totalsRowDxfId="12513"/>
    <tableColumn id="3877" name="Columna3863" dataDxfId="29136" totalsRowDxfId="12512"/>
    <tableColumn id="3878" name="Columna3864" dataDxfId="29135" totalsRowDxfId="12511"/>
    <tableColumn id="3879" name="Columna3865" dataDxfId="29134" totalsRowDxfId="12510"/>
    <tableColumn id="3880" name="Columna3866" dataDxfId="29133" totalsRowDxfId="12509"/>
    <tableColumn id="3881" name="Columna3867" dataDxfId="29132" totalsRowDxfId="12508"/>
    <tableColumn id="3882" name="Columna3868" dataDxfId="29131" totalsRowDxfId="12507"/>
    <tableColumn id="3883" name="Columna3869" dataDxfId="29130" totalsRowDxfId="12506"/>
    <tableColumn id="3884" name="Columna3870" dataDxfId="29129" totalsRowDxfId="12505"/>
    <tableColumn id="3885" name="Columna3871" dataDxfId="29128" totalsRowDxfId="12504"/>
    <tableColumn id="3886" name="Columna3872" dataDxfId="29127" totalsRowDxfId="12503"/>
    <tableColumn id="3887" name="Columna3873" dataDxfId="29126" totalsRowDxfId="12502"/>
    <tableColumn id="3888" name="Columna3874" dataDxfId="29125" totalsRowDxfId="12501"/>
    <tableColumn id="3889" name="Columna3875" dataDxfId="29124" totalsRowDxfId="12500"/>
    <tableColumn id="3890" name="Columna3876" dataDxfId="29123" totalsRowDxfId="12499"/>
    <tableColumn id="3891" name="Columna3877" dataDxfId="29122" totalsRowDxfId="12498"/>
    <tableColumn id="3892" name="Columna3878" dataDxfId="29121" totalsRowDxfId="12497"/>
    <tableColumn id="3893" name="Columna3879" dataDxfId="29120" totalsRowDxfId="12496"/>
    <tableColumn id="3894" name="Columna3880" dataDxfId="29119" totalsRowDxfId="12495"/>
    <tableColumn id="3895" name="Columna3881" dataDxfId="29118" totalsRowDxfId="12494"/>
    <tableColumn id="3896" name="Columna3882" dataDxfId="29117" totalsRowDxfId="12493"/>
    <tableColumn id="3897" name="Columna3883" dataDxfId="29116" totalsRowDxfId="12492"/>
    <tableColumn id="3898" name="Columna3884" dataDxfId="29115" totalsRowDxfId="12491"/>
    <tableColumn id="3899" name="Columna3885" dataDxfId="29114" totalsRowDxfId="12490"/>
    <tableColumn id="3900" name="Columna3886" dataDxfId="29113" totalsRowDxfId="12489"/>
    <tableColumn id="3901" name="Columna3887" dataDxfId="29112" totalsRowDxfId="12488"/>
    <tableColumn id="3902" name="Columna3888" dataDxfId="29111" totalsRowDxfId="12487"/>
    <tableColumn id="3903" name="Columna3889" dataDxfId="29110" totalsRowDxfId="12486"/>
    <tableColumn id="3904" name="Columna3890" dataDxfId="29109" totalsRowDxfId="12485"/>
    <tableColumn id="3905" name="Columna3891" dataDxfId="29108" totalsRowDxfId="12484"/>
    <tableColumn id="3906" name="Columna3892" dataDxfId="29107" totalsRowDxfId="12483"/>
    <tableColumn id="3907" name="Columna3893" dataDxfId="29106" totalsRowDxfId="12482"/>
    <tableColumn id="3908" name="Columna3894" dataDxfId="29105" totalsRowDxfId="12481"/>
    <tableColumn id="3909" name="Columna3895" dataDxfId="29104" totalsRowDxfId="12480"/>
    <tableColumn id="3910" name="Columna3896" dataDxfId="29103" totalsRowDxfId="12479"/>
    <tableColumn id="3911" name="Columna3897" dataDxfId="29102" totalsRowDxfId="12478"/>
    <tableColumn id="3912" name="Columna3898" dataDxfId="29101" totalsRowDxfId="12477"/>
    <tableColumn id="3913" name="Columna3899" dataDxfId="29100" totalsRowDxfId="12476"/>
    <tableColumn id="3914" name="Columna3900" dataDxfId="29099" totalsRowDxfId="12475"/>
    <tableColumn id="3915" name="Columna3901" dataDxfId="29098" totalsRowDxfId="12474"/>
    <tableColumn id="3916" name="Columna3902" dataDxfId="29097" totalsRowDxfId="12473"/>
    <tableColumn id="3917" name="Columna3903" dataDxfId="29096" totalsRowDxfId="12472"/>
    <tableColumn id="3918" name="Columna3904" dataDxfId="29095" totalsRowDxfId="12471"/>
    <tableColumn id="3919" name="Columna3905" dataDxfId="29094" totalsRowDxfId="12470"/>
    <tableColumn id="3920" name="Columna3906" dataDxfId="29093" totalsRowDxfId="12469"/>
    <tableColumn id="3921" name="Columna3907" dataDxfId="29092" totalsRowDxfId="12468"/>
    <tableColumn id="3922" name="Columna3908" dataDxfId="29091" totalsRowDxfId="12467"/>
    <tableColumn id="3923" name="Columna3909" dataDxfId="29090" totalsRowDxfId="12466"/>
    <tableColumn id="3924" name="Columna3910" dataDxfId="29089" totalsRowDxfId="12465"/>
    <tableColumn id="3925" name="Columna3911" dataDxfId="29088" totalsRowDxfId="12464"/>
    <tableColumn id="3926" name="Columna3912" dataDxfId="29087" totalsRowDxfId="12463"/>
    <tableColumn id="3927" name="Columna3913" dataDxfId="29086" totalsRowDxfId="12462"/>
    <tableColumn id="3928" name="Columna3914" dataDxfId="29085" totalsRowDxfId="12461"/>
    <tableColumn id="3929" name="Columna3915" dataDxfId="29084" totalsRowDxfId="12460"/>
    <tableColumn id="3930" name="Columna3916" dataDxfId="29083" totalsRowDxfId="12459"/>
    <tableColumn id="3931" name="Columna3917" dataDxfId="29082" totalsRowDxfId="12458"/>
    <tableColumn id="3932" name="Columna3918" dataDxfId="29081" totalsRowDxfId="12457"/>
    <tableColumn id="3933" name="Columna3919" dataDxfId="29080" totalsRowDxfId="12456"/>
    <tableColumn id="3934" name="Columna3920" dataDxfId="29079" totalsRowDxfId="12455"/>
    <tableColumn id="3935" name="Columna3921" dataDxfId="29078" totalsRowDxfId="12454"/>
    <tableColumn id="3936" name="Columna3922" dataDxfId="29077" totalsRowDxfId="12453"/>
    <tableColumn id="3937" name="Columna3923" dataDxfId="29076" totalsRowDxfId="12452"/>
    <tableColumn id="3938" name="Columna3924" dataDxfId="29075" totalsRowDxfId="12451"/>
    <tableColumn id="3939" name="Columna3925" dataDxfId="29074" totalsRowDxfId="12450"/>
    <tableColumn id="3940" name="Columna3926" dataDxfId="29073" totalsRowDxfId="12449"/>
    <tableColumn id="3941" name="Columna3927" dataDxfId="29072" totalsRowDxfId="12448"/>
    <tableColumn id="3942" name="Columna3928" dataDxfId="29071" totalsRowDxfId="12447"/>
    <tableColumn id="3943" name="Columna3929" dataDxfId="29070" totalsRowDxfId="12446"/>
    <tableColumn id="3944" name="Columna3930" dataDxfId="29069" totalsRowDxfId="12445"/>
    <tableColumn id="3945" name="Columna3931" dataDxfId="29068" totalsRowDxfId="12444"/>
    <tableColumn id="3946" name="Columna3932" dataDxfId="29067" totalsRowDxfId="12443"/>
    <tableColumn id="3947" name="Columna3933" dataDxfId="29066" totalsRowDxfId="12442"/>
    <tableColumn id="3948" name="Columna3934" dataDxfId="29065" totalsRowDxfId="12441"/>
    <tableColumn id="3949" name="Columna3935" dataDxfId="29064" totalsRowDxfId="12440"/>
    <tableColumn id="3950" name="Columna3936" dataDxfId="29063" totalsRowDxfId="12439"/>
    <tableColumn id="3951" name="Columna3937" dataDxfId="29062" totalsRowDxfId="12438"/>
    <tableColumn id="3952" name="Columna3938" dataDxfId="29061" totalsRowDxfId="12437"/>
    <tableColumn id="3953" name="Columna3939" dataDxfId="29060" totalsRowDxfId="12436"/>
    <tableColumn id="3954" name="Columna3940" dataDxfId="29059" totalsRowDxfId="12435"/>
    <tableColumn id="3955" name="Columna3941" dataDxfId="29058" totalsRowDxfId="12434"/>
    <tableColumn id="3956" name="Columna3942" dataDxfId="29057" totalsRowDxfId="12433"/>
    <tableColumn id="3957" name="Columna3943" dataDxfId="29056" totalsRowDxfId="12432"/>
    <tableColumn id="3958" name="Columna3944" dataDxfId="29055" totalsRowDxfId="12431"/>
    <tableColumn id="3959" name="Columna3945" dataDxfId="29054" totalsRowDxfId="12430"/>
    <tableColumn id="3960" name="Columna3946" dataDxfId="29053" totalsRowDxfId="12429"/>
    <tableColumn id="3961" name="Columna3947" dataDxfId="29052" totalsRowDxfId="12428"/>
    <tableColumn id="3962" name="Columna3948" dataDxfId="29051" totalsRowDxfId="12427"/>
    <tableColumn id="3963" name="Columna3949" dataDxfId="29050" totalsRowDxfId="12426"/>
    <tableColumn id="3964" name="Columna3950" dataDxfId="29049" totalsRowDxfId="12425"/>
    <tableColumn id="3965" name="Columna3951" dataDxfId="29048" totalsRowDxfId="12424"/>
    <tableColumn id="3966" name="Columna3952" dataDxfId="29047" totalsRowDxfId="12423"/>
    <tableColumn id="3967" name="Columna3953" dataDxfId="29046" totalsRowDxfId="12422"/>
    <tableColumn id="3968" name="Columna3954" dataDxfId="29045" totalsRowDxfId="12421"/>
    <tableColumn id="3969" name="Columna3955" dataDxfId="29044" totalsRowDxfId="12420"/>
    <tableColumn id="3970" name="Columna3956" dataDxfId="29043" totalsRowDxfId="12419"/>
    <tableColumn id="3971" name="Columna3957" dataDxfId="29042" totalsRowDxfId="12418"/>
    <tableColumn id="3972" name="Columna3958" dataDxfId="29041" totalsRowDxfId="12417"/>
    <tableColumn id="3973" name="Columna3959" dataDxfId="29040" totalsRowDxfId="12416"/>
    <tableColumn id="3974" name="Columna3960" dataDxfId="29039" totalsRowDxfId="12415"/>
    <tableColumn id="3975" name="Columna3961" dataDxfId="29038" totalsRowDxfId="12414"/>
    <tableColumn id="3976" name="Columna3962" dataDxfId="29037" totalsRowDxfId="12413"/>
    <tableColumn id="3977" name="Columna3963" dataDxfId="29036" totalsRowDxfId="12412"/>
    <tableColumn id="3978" name="Columna3964" dataDxfId="29035" totalsRowDxfId="12411"/>
    <tableColumn id="3979" name="Columna3965" dataDxfId="29034" totalsRowDxfId="12410"/>
    <tableColumn id="3980" name="Columna3966" dataDxfId="29033" totalsRowDxfId="12409"/>
    <tableColumn id="3981" name="Columna3967" dataDxfId="29032" totalsRowDxfId="12408"/>
    <tableColumn id="3982" name="Columna3968" dataDxfId="29031" totalsRowDxfId="12407"/>
    <tableColumn id="3983" name="Columna3969" dataDxfId="29030" totalsRowDxfId="12406"/>
    <tableColumn id="3984" name="Columna3970" dataDxfId="29029" totalsRowDxfId="12405"/>
    <tableColumn id="3985" name="Columna3971" dataDxfId="29028" totalsRowDxfId="12404"/>
    <tableColumn id="3986" name="Columna3972" dataDxfId="29027" totalsRowDxfId="12403"/>
    <tableColumn id="3987" name="Columna3973" dataDxfId="29026" totalsRowDxfId="12402"/>
    <tableColumn id="3988" name="Columna3974" dataDxfId="29025" totalsRowDxfId="12401"/>
    <tableColumn id="3989" name="Columna3975" dataDxfId="29024" totalsRowDxfId="12400"/>
    <tableColumn id="3990" name="Columna3976" dataDxfId="29023" totalsRowDxfId="12399"/>
    <tableColumn id="3991" name="Columna3977" dataDxfId="29022" totalsRowDxfId="12398"/>
    <tableColumn id="3992" name="Columna3978" dataDxfId="29021" totalsRowDxfId="12397"/>
    <tableColumn id="3993" name="Columna3979" dataDxfId="29020" totalsRowDxfId="12396"/>
    <tableColumn id="3994" name="Columna3980" dataDxfId="29019" totalsRowDxfId="12395"/>
    <tableColumn id="3995" name="Columna3981" dataDxfId="29018" totalsRowDxfId="12394"/>
    <tableColumn id="3996" name="Columna3982" dataDxfId="29017" totalsRowDxfId="12393"/>
    <tableColumn id="3997" name="Columna3983" dataDxfId="29016" totalsRowDxfId="12392"/>
    <tableColumn id="3998" name="Columna3984" dataDxfId="29015" totalsRowDxfId="12391"/>
    <tableColumn id="3999" name="Columna3985" dataDxfId="29014" totalsRowDxfId="12390"/>
    <tableColumn id="4000" name="Columna3986" dataDxfId="29013" totalsRowDxfId="12389"/>
    <tableColumn id="4001" name="Columna3987" dataDxfId="29012" totalsRowDxfId="12388"/>
    <tableColumn id="4002" name="Columna3988" dataDxfId="29011" totalsRowDxfId="12387"/>
    <tableColumn id="4003" name="Columna3989" dataDxfId="29010" totalsRowDxfId="12386"/>
    <tableColumn id="4004" name="Columna3990" dataDxfId="29009" totalsRowDxfId="12385"/>
    <tableColumn id="4005" name="Columna3991" dataDxfId="29008" totalsRowDxfId="12384"/>
    <tableColumn id="4006" name="Columna3992" dataDxfId="29007" totalsRowDxfId="12383"/>
    <tableColumn id="4007" name="Columna3993" dataDxfId="29006" totalsRowDxfId="12382"/>
    <tableColumn id="4008" name="Columna3994" dataDxfId="29005" totalsRowDxfId="12381"/>
    <tableColumn id="4009" name="Columna3995" dataDxfId="29004" totalsRowDxfId="12380"/>
    <tableColumn id="4010" name="Columna3996" dataDxfId="29003" totalsRowDxfId="12379"/>
    <tableColumn id="4011" name="Columna3997" dataDxfId="29002" totalsRowDxfId="12378"/>
    <tableColumn id="4012" name="Columna3998" dataDxfId="29001" totalsRowDxfId="12377"/>
    <tableColumn id="4013" name="Columna3999" dataDxfId="29000" totalsRowDxfId="12376"/>
    <tableColumn id="4014" name="Columna4000" dataDxfId="28999" totalsRowDxfId="12375"/>
    <tableColumn id="4015" name="Columna4001" dataDxfId="28998" totalsRowDxfId="12374"/>
    <tableColumn id="4016" name="Columna4002" dataDxfId="28997" totalsRowDxfId="12373"/>
    <tableColumn id="4017" name="Columna4003" dataDxfId="28996" totalsRowDxfId="12372"/>
    <tableColumn id="4018" name="Columna4004" dataDxfId="28995" totalsRowDxfId="12371"/>
    <tableColumn id="4019" name="Columna4005" dataDxfId="28994" totalsRowDxfId="12370"/>
    <tableColumn id="4020" name="Columna4006" dataDxfId="28993" totalsRowDxfId="12369"/>
    <tableColumn id="4021" name="Columna4007" dataDxfId="28992" totalsRowDxfId="12368"/>
    <tableColumn id="4022" name="Columna4008" dataDxfId="28991" totalsRowDxfId="12367"/>
    <tableColumn id="4023" name="Columna4009" dataDxfId="28990" totalsRowDxfId="12366"/>
    <tableColumn id="4024" name="Columna4010" dataDxfId="28989" totalsRowDxfId="12365"/>
    <tableColumn id="4025" name="Columna4011" dataDxfId="28988" totalsRowDxfId="12364"/>
    <tableColumn id="4026" name="Columna4012" dataDxfId="28987" totalsRowDxfId="12363"/>
    <tableColumn id="4027" name="Columna4013" dataDxfId="28986" totalsRowDxfId="12362"/>
    <tableColumn id="4028" name="Columna4014" dataDxfId="28985" totalsRowDxfId="12361"/>
    <tableColumn id="4029" name="Columna4015" dataDxfId="28984" totalsRowDxfId="12360"/>
    <tableColumn id="4030" name="Columna4016" dataDxfId="28983" totalsRowDxfId="12359"/>
    <tableColumn id="4031" name="Columna4017" dataDxfId="28982" totalsRowDxfId="12358"/>
    <tableColumn id="4032" name="Columna4018" dataDxfId="28981" totalsRowDxfId="12357"/>
    <tableColumn id="4033" name="Columna4019" dataDxfId="28980" totalsRowDxfId="12356"/>
    <tableColumn id="4034" name="Columna4020" dataDxfId="28979" totalsRowDxfId="12355"/>
    <tableColumn id="4035" name="Columna4021" dataDxfId="28978" totalsRowDxfId="12354"/>
    <tableColumn id="4036" name="Columna4022" dataDxfId="28977" totalsRowDxfId="12353"/>
    <tableColumn id="4037" name="Columna4023" dataDxfId="28976" totalsRowDxfId="12352"/>
    <tableColumn id="4038" name="Columna4024" dataDxfId="28975" totalsRowDxfId="12351"/>
    <tableColumn id="4039" name="Columna4025" dataDxfId="28974" totalsRowDxfId="12350"/>
    <tableColumn id="4040" name="Columna4026" dataDxfId="28973" totalsRowDxfId="12349"/>
    <tableColumn id="4041" name="Columna4027" dataDxfId="28972" totalsRowDxfId="12348"/>
    <tableColumn id="4042" name="Columna4028" dataDxfId="28971" totalsRowDxfId="12347"/>
    <tableColumn id="4043" name="Columna4029" dataDxfId="28970" totalsRowDxfId="12346"/>
    <tableColumn id="4044" name="Columna4030" dataDxfId="28969" totalsRowDxfId="12345"/>
    <tableColumn id="4045" name="Columna4031" dataDxfId="28968" totalsRowDxfId="12344"/>
    <tableColumn id="4046" name="Columna4032" dataDxfId="28967" totalsRowDxfId="12343"/>
    <tableColumn id="4047" name="Columna4033" dataDxfId="28966" totalsRowDxfId="12342"/>
    <tableColumn id="4048" name="Columna4034" dataDxfId="28965" totalsRowDxfId="12341"/>
    <tableColumn id="4049" name="Columna4035" dataDxfId="28964" totalsRowDxfId="12340"/>
    <tableColumn id="4050" name="Columna4036" dataDxfId="28963" totalsRowDxfId="12339"/>
    <tableColumn id="4051" name="Columna4037" dataDxfId="28962" totalsRowDxfId="12338"/>
    <tableColumn id="4052" name="Columna4038" dataDxfId="28961" totalsRowDxfId="12337"/>
    <tableColumn id="4053" name="Columna4039" dataDxfId="28960" totalsRowDxfId="12336"/>
    <tableColumn id="4054" name="Columna4040" dataDxfId="28959" totalsRowDxfId="12335"/>
    <tableColumn id="4055" name="Columna4041" dataDxfId="28958" totalsRowDxfId="12334"/>
    <tableColumn id="4056" name="Columna4042" dataDxfId="28957" totalsRowDxfId="12333"/>
    <tableColumn id="4057" name="Columna4043" dataDxfId="28956" totalsRowDxfId="12332"/>
    <tableColumn id="4058" name="Columna4044" dataDxfId="28955" totalsRowDxfId="12331"/>
    <tableColumn id="4059" name="Columna4045" dataDxfId="28954" totalsRowDxfId="12330"/>
    <tableColumn id="4060" name="Columna4046" dataDxfId="28953" totalsRowDxfId="12329"/>
    <tableColumn id="4061" name="Columna4047" dataDxfId="28952" totalsRowDxfId="12328"/>
    <tableColumn id="4062" name="Columna4048" dataDxfId="28951" totalsRowDxfId="12327"/>
    <tableColumn id="4063" name="Columna4049" dataDxfId="28950" totalsRowDxfId="12326"/>
    <tableColumn id="4064" name="Columna4050" dataDxfId="28949" totalsRowDxfId="12325"/>
    <tableColumn id="4065" name="Columna4051" dataDxfId="28948" totalsRowDxfId="12324"/>
    <tableColumn id="4066" name="Columna4052" dataDxfId="28947" totalsRowDxfId="12323"/>
    <tableColumn id="4067" name="Columna4053" dataDxfId="28946" totalsRowDxfId="12322"/>
    <tableColumn id="4068" name="Columna4054" dataDxfId="28945" totalsRowDxfId="12321"/>
    <tableColumn id="4069" name="Columna4055" dataDxfId="28944" totalsRowDxfId="12320"/>
    <tableColumn id="4070" name="Columna4056" dataDxfId="28943" totalsRowDxfId="12319"/>
    <tableColumn id="4071" name="Columna4057" dataDxfId="28942" totalsRowDxfId="12318"/>
    <tableColumn id="4072" name="Columna4058" dataDxfId="28941" totalsRowDxfId="12317"/>
    <tableColumn id="4073" name="Columna4059" dataDxfId="28940" totalsRowDxfId="12316"/>
    <tableColumn id="4074" name="Columna4060" dataDxfId="28939" totalsRowDxfId="12315"/>
    <tableColumn id="4075" name="Columna4061" dataDxfId="28938" totalsRowDxfId="12314"/>
    <tableColumn id="4076" name="Columna4062" dataDxfId="28937" totalsRowDxfId="12313"/>
    <tableColumn id="4077" name="Columna4063" dataDxfId="28936" totalsRowDxfId="12312"/>
    <tableColumn id="4078" name="Columna4064" dataDxfId="28935" totalsRowDxfId="12311"/>
    <tableColumn id="4079" name="Columna4065" dataDxfId="28934" totalsRowDxfId="12310"/>
    <tableColumn id="4080" name="Columna4066" dataDxfId="28933" totalsRowDxfId="12309"/>
    <tableColumn id="4081" name="Columna4067" dataDxfId="28932" totalsRowDxfId="12308"/>
    <tableColumn id="4082" name="Columna4068" dataDxfId="28931" totalsRowDxfId="12307"/>
    <tableColumn id="4083" name="Columna4069" dataDxfId="28930" totalsRowDxfId="12306"/>
    <tableColumn id="4084" name="Columna4070" dataDxfId="28929" totalsRowDxfId="12305"/>
    <tableColumn id="4085" name="Columna4071" dataDxfId="28928" totalsRowDxfId="12304"/>
    <tableColumn id="4086" name="Columna4072" dataDxfId="28927" totalsRowDxfId="12303"/>
    <tableColumn id="4087" name="Columna4073" dataDxfId="28926" totalsRowDxfId="12302"/>
    <tableColumn id="4088" name="Columna4074" dataDxfId="28925" totalsRowDxfId="12301"/>
    <tableColumn id="4089" name="Columna4075" dataDxfId="28924" totalsRowDxfId="12300"/>
    <tableColumn id="4090" name="Columna4076" dataDxfId="28923" totalsRowDxfId="12299"/>
    <tableColumn id="4091" name="Columna4077" dataDxfId="28922" totalsRowDxfId="12298"/>
    <tableColumn id="4092" name="Columna4078" dataDxfId="28921" totalsRowDxfId="12297"/>
    <tableColumn id="4093" name="Columna4079" dataDxfId="28920" totalsRowDxfId="12296"/>
    <tableColumn id="4094" name="Columna4080" dataDxfId="28919" totalsRowDxfId="12295"/>
    <tableColumn id="4095" name="Columna4081" dataDxfId="28918" totalsRowDxfId="12294"/>
    <tableColumn id="4096" name="Columna4082" dataDxfId="28917" totalsRowDxfId="12293"/>
    <tableColumn id="4097" name="Columna4083" dataDxfId="28916" totalsRowDxfId="12292"/>
    <tableColumn id="4098" name="Columna4084" dataDxfId="28915" totalsRowDxfId="12291"/>
    <tableColumn id="4099" name="Columna4085" dataDxfId="28914" totalsRowDxfId="12290"/>
    <tableColumn id="4100" name="Columna4086" dataDxfId="28913" totalsRowDxfId="12289"/>
    <tableColumn id="4101" name="Columna4087" dataDxfId="28912" totalsRowDxfId="12288"/>
    <tableColumn id="4102" name="Columna4088" dataDxfId="28911" totalsRowDxfId="12287"/>
    <tableColumn id="4103" name="Columna4089" dataDxfId="28910" totalsRowDxfId="12286"/>
    <tableColumn id="4104" name="Columna4090" dataDxfId="28909" totalsRowDxfId="12285"/>
    <tableColumn id="4105" name="Columna4091" dataDxfId="28908" totalsRowDxfId="12284"/>
    <tableColumn id="4106" name="Columna4092" dataDxfId="28907" totalsRowDxfId="12283"/>
    <tableColumn id="4107" name="Columna4093" dataDxfId="28906" totalsRowDxfId="12282"/>
    <tableColumn id="4108" name="Columna4094" dataDxfId="28905" totalsRowDxfId="12281"/>
    <tableColumn id="4109" name="Columna4095" dataDxfId="28904" totalsRowDxfId="12280"/>
    <tableColumn id="4110" name="Columna4096" dataDxfId="28903" totalsRowDxfId="12279"/>
    <tableColumn id="4111" name="Columna4097" dataDxfId="28902" totalsRowDxfId="12278"/>
    <tableColumn id="4112" name="Columna4098" dataDxfId="28901" totalsRowDxfId="12277"/>
    <tableColumn id="4113" name="Columna4099" dataDxfId="28900" totalsRowDxfId="12276"/>
    <tableColumn id="4114" name="Columna4100" dataDxfId="28899" totalsRowDxfId="12275"/>
    <tableColumn id="4115" name="Columna4101" dataDxfId="28898" totalsRowDxfId="12274"/>
    <tableColumn id="4116" name="Columna4102" dataDxfId="28897" totalsRowDxfId="12273"/>
    <tableColumn id="4117" name="Columna4103" dataDxfId="28896" totalsRowDxfId="12272"/>
    <tableColumn id="4118" name="Columna4104" dataDxfId="28895" totalsRowDxfId="12271"/>
    <tableColumn id="4119" name="Columna4105" dataDxfId="28894" totalsRowDxfId="12270"/>
    <tableColumn id="4120" name="Columna4106" dataDxfId="28893" totalsRowDxfId="12269"/>
    <tableColumn id="4121" name="Columna4107" dataDxfId="28892" totalsRowDxfId="12268"/>
    <tableColumn id="4122" name="Columna4108" dataDxfId="28891" totalsRowDxfId="12267"/>
    <tableColumn id="4123" name="Columna4109" dataDxfId="28890" totalsRowDxfId="12266"/>
    <tableColumn id="4124" name="Columna4110" dataDxfId="28889" totalsRowDxfId="12265"/>
    <tableColumn id="4125" name="Columna4111" dataDxfId="28888" totalsRowDxfId="12264"/>
    <tableColumn id="4126" name="Columna4112" dataDxfId="28887" totalsRowDxfId="12263"/>
    <tableColumn id="4127" name="Columna4113" dataDxfId="28886" totalsRowDxfId="12262"/>
    <tableColumn id="4128" name="Columna4114" dataDxfId="28885" totalsRowDxfId="12261"/>
    <tableColumn id="4129" name="Columna4115" dataDxfId="28884" totalsRowDxfId="12260"/>
    <tableColumn id="4130" name="Columna4116" dataDxfId="28883" totalsRowDxfId="12259"/>
    <tableColumn id="4131" name="Columna4117" dataDxfId="28882" totalsRowDxfId="12258"/>
    <tableColumn id="4132" name="Columna4118" dataDxfId="28881" totalsRowDxfId="12257"/>
    <tableColumn id="4133" name="Columna4119" dataDxfId="28880" totalsRowDxfId="12256"/>
    <tableColumn id="4134" name="Columna4120" dataDxfId="28879" totalsRowDxfId="12255"/>
    <tableColumn id="4135" name="Columna4121" dataDxfId="28878" totalsRowDxfId="12254"/>
    <tableColumn id="4136" name="Columna4122" dataDxfId="28877" totalsRowDxfId="12253"/>
    <tableColumn id="4137" name="Columna4123" dataDxfId="28876" totalsRowDxfId="12252"/>
    <tableColumn id="4138" name="Columna4124" dataDxfId="28875" totalsRowDxfId="12251"/>
    <tableColumn id="4139" name="Columna4125" dataDxfId="28874" totalsRowDxfId="12250"/>
    <tableColumn id="4140" name="Columna4126" dataDxfId="28873" totalsRowDxfId="12249"/>
    <tableColumn id="4141" name="Columna4127" dataDxfId="28872" totalsRowDxfId="12248"/>
    <tableColumn id="4142" name="Columna4128" dataDxfId="28871" totalsRowDxfId="12247"/>
    <tableColumn id="4143" name="Columna4129" dataDxfId="28870" totalsRowDxfId="12246"/>
    <tableColumn id="4144" name="Columna4130" dataDxfId="28869" totalsRowDxfId="12245"/>
    <tableColumn id="4145" name="Columna4131" dataDxfId="28868" totalsRowDxfId="12244"/>
    <tableColumn id="4146" name="Columna4132" dataDxfId="28867" totalsRowDxfId="12243"/>
    <tableColumn id="4147" name="Columna4133" dataDxfId="28866" totalsRowDxfId="12242"/>
    <tableColumn id="4148" name="Columna4134" dataDxfId="28865" totalsRowDxfId="12241"/>
    <tableColumn id="4149" name="Columna4135" dataDxfId="28864" totalsRowDxfId="12240"/>
    <tableColumn id="4150" name="Columna4136" dataDxfId="28863" totalsRowDxfId="12239"/>
    <tableColumn id="4151" name="Columna4137" dataDxfId="28862" totalsRowDxfId="12238"/>
    <tableColumn id="4152" name="Columna4138" dataDxfId="28861" totalsRowDxfId="12237"/>
    <tableColumn id="4153" name="Columna4139" dataDxfId="28860" totalsRowDxfId="12236"/>
    <tableColumn id="4154" name="Columna4140" dataDxfId="28859" totalsRowDxfId="12235"/>
    <tableColumn id="4155" name="Columna4141" dataDxfId="28858" totalsRowDxfId="12234"/>
    <tableColumn id="4156" name="Columna4142" dataDxfId="28857" totalsRowDxfId="12233"/>
    <tableColumn id="4157" name="Columna4143" dataDxfId="28856" totalsRowDxfId="12232"/>
    <tableColumn id="4158" name="Columna4144" dataDxfId="28855" totalsRowDxfId="12231"/>
    <tableColumn id="4159" name="Columna4145" dataDxfId="28854" totalsRowDxfId="12230"/>
    <tableColumn id="4160" name="Columna4146" dataDxfId="28853" totalsRowDxfId="12229"/>
    <tableColumn id="4161" name="Columna4147" dataDxfId="28852" totalsRowDxfId="12228"/>
    <tableColumn id="4162" name="Columna4148" dataDxfId="28851" totalsRowDxfId="12227"/>
    <tableColumn id="4163" name="Columna4149" dataDxfId="28850" totalsRowDxfId="12226"/>
    <tableColumn id="4164" name="Columna4150" dataDxfId="28849" totalsRowDxfId="12225"/>
    <tableColumn id="4165" name="Columna4151" dataDxfId="28848" totalsRowDxfId="12224"/>
    <tableColumn id="4166" name="Columna4152" dataDxfId="28847" totalsRowDxfId="12223"/>
    <tableColumn id="4167" name="Columna4153" dataDxfId="28846" totalsRowDxfId="12222"/>
    <tableColumn id="4168" name="Columna4154" dataDxfId="28845" totalsRowDxfId="12221"/>
    <tableColumn id="4169" name="Columna4155" dataDxfId="28844" totalsRowDxfId="12220"/>
    <tableColumn id="4170" name="Columna4156" dataDxfId="28843" totalsRowDxfId="12219"/>
    <tableColumn id="4171" name="Columna4157" dataDxfId="28842" totalsRowDxfId="12218"/>
    <tableColumn id="4172" name="Columna4158" dataDxfId="28841" totalsRowDxfId="12217"/>
    <tableColumn id="4173" name="Columna4159" dataDxfId="28840" totalsRowDxfId="12216"/>
    <tableColumn id="4174" name="Columna4160" dataDxfId="28839" totalsRowDxfId="12215"/>
    <tableColumn id="4175" name="Columna4161" dataDxfId="28838" totalsRowDxfId="12214"/>
    <tableColumn id="4176" name="Columna4162" dataDxfId="28837" totalsRowDxfId="12213"/>
    <tableColumn id="4177" name="Columna4163" dataDxfId="28836" totalsRowDxfId="12212"/>
    <tableColumn id="4178" name="Columna4164" dataDxfId="28835" totalsRowDxfId="12211"/>
    <tableColumn id="4179" name="Columna4165" dataDxfId="28834" totalsRowDxfId="12210"/>
    <tableColumn id="4180" name="Columna4166" dataDxfId="28833" totalsRowDxfId="12209"/>
    <tableColumn id="4181" name="Columna4167" dataDxfId="28832" totalsRowDxfId="12208"/>
    <tableColumn id="4182" name="Columna4168" dataDxfId="28831" totalsRowDxfId="12207"/>
    <tableColumn id="4183" name="Columna4169" dataDxfId="28830" totalsRowDxfId="12206"/>
    <tableColumn id="4184" name="Columna4170" dataDxfId="28829" totalsRowDxfId="12205"/>
    <tableColumn id="4185" name="Columna4171" dataDxfId="28828" totalsRowDxfId="12204"/>
    <tableColumn id="4186" name="Columna4172" dataDxfId="28827" totalsRowDxfId="12203"/>
    <tableColumn id="4187" name="Columna4173" dataDxfId="28826" totalsRowDxfId="12202"/>
    <tableColumn id="4188" name="Columna4174" dataDxfId="28825" totalsRowDxfId="12201"/>
    <tableColumn id="4189" name="Columna4175" dataDxfId="28824" totalsRowDxfId="12200"/>
    <tableColumn id="4190" name="Columna4176" dataDxfId="28823" totalsRowDxfId="12199"/>
    <tableColumn id="4191" name="Columna4177" dataDxfId="28822" totalsRowDxfId="12198"/>
    <tableColumn id="4192" name="Columna4178" dataDxfId="28821" totalsRowDxfId="12197"/>
    <tableColumn id="4193" name="Columna4179" dataDxfId="28820" totalsRowDxfId="12196"/>
    <tableColumn id="4194" name="Columna4180" dataDxfId="28819" totalsRowDxfId="12195"/>
    <tableColumn id="4195" name="Columna4181" dataDxfId="28818" totalsRowDxfId="12194"/>
    <tableColumn id="4196" name="Columna4182" dataDxfId="28817" totalsRowDxfId="12193"/>
    <tableColumn id="4197" name="Columna4183" dataDxfId="28816" totalsRowDxfId="12192"/>
    <tableColumn id="4198" name="Columna4184" dataDxfId="28815" totalsRowDxfId="12191"/>
    <tableColumn id="4199" name="Columna4185" dataDxfId="28814" totalsRowDxfId="12190"/>
    <tableColumn id="4200" name="Columna4186" dataDxfId="28813" totalsRowDxfId="12189"/>
    <tableColumn id="4201" name="Columna4187" dataDxfId="28812" totalsRowDxfId="12188"/>
    <tableColumn id="4202" name="Columna4188" dataDxfId="28811" totalsRowDxfId="12187"/>
    <tableColumn id="4203" name="Columna4189" dataDxfId="28810" totalsRowDxfId="12186"/>
    <tableColumn id="4204" name="Columna4190" dataDxfId="28809" totalsRowDxfId="12185"/>
    <tableColumn id="4205" name="Columna4191" dataDxfId="28808" totalsRowDxfId="12184"/>
    <tableColumn id="4206" name="Columna4192" dataDxfId="28807" totalsRowDxfId="12183"/>
    <tableColumn id="4207" name="Columna4193" dataDxfId="28806" totalsRowDxfId="12182"/>
    <tableColumn id="4208" name="Columna4194" dataDxfId="28805" totalsRowDxfId="12181"/>
    <tableColumn id="4209" name="Columna4195" dataDxfId="28804" totalsRowDxfId="12180"/>
    <tableColumn id="4210" name="Columna4196" dataDxfId="28803" totalsRowDxfId="12179"/>
    <tableColumn id="4211" name="Columna4197" dataDxfId="28802" totalsRowDxfId="12178"/>
    <tableColumn id="4212" name="Columna4198" dataDxfId="28801" totalsRowDxfId="12177"/>
    <tableColumn id="4213" name="Columna4199" dataDxfId="28800" totalsRowDxfId="12176"/>
    <tableColumn id="4214" name="Columna4200" dataDxfId="28799" totalsRowDxfId="12175"/>
    <tableColumn id="4215" name="Columna4201" dataDxfId="28798" totalsRowDxfId="12174"/>
    <tableColumn id="4216" name="Columna4202" dataDxfId="28797" totalsRowDxfId="12173"/>
    <tableColumn id="4217" name="Columna4203" dataDxfId="28796" totalsRowDxfId="12172"/>
    <tableColumn id="4218" name="Columna4204" dataDxfId="28795" totalsRowDxfId="12171"/>
    <tableColumn id="4219" name="Columna4205" dataDxfId="28794" totalsRowDxfId="12170"/>
    <tableColumn id="4220" name="Columna4206" dataDxfId="28793" totalsRowDxfId="12169"/>
    <tableColumn id="4221" name="Columna4207" dataDxfId="28792" totalsRowDxfId="12168"/>
    <tableColumn id="4222" name="Columna4208" dataDxfId="28791" totalsRowDxfId="12167"/>
    <tableColumn id="4223" name="Columna4209" dataDxfId="28790" totalsRowDxfId="12166"/>
    <tableColumn id="4224" name="Columna4210" dataDxfId="28789" totalsRowDxfId="12165"/>
    <tableColumn id="4225" name="Columna4211" dataDxfId="28788" totalsRowDxfId="12164"/>
    <tableColumn id="4226" name="Columna4212" dataDxfId="28787" totalsRowDxfId="12163"/>
    <tableColumn id="4227" name="Columna4213" dataDxfId="28786" totalsRowDxfId="12162"/>
    <tableColumn id="4228" name="Columna4214" dataDxfId="28785" totalsRowDxfId="12161"/>
    <tableColumn id="4229" name="Columna4215" dataDxfId="28784" totalsRowDxfId="12160"/>
    <tableColumn id="4230" name="Columna4216" dataDxfId="28783" totalsRowDxfId="12159"/>
    <tableColumn id="4231" name="Columna4217" dataDxfId="28782" totalsRowDxfId="12158"/>
    <tableColumn id="4232" name="Columna4218" dataDxfId="28781" totalsRowDxfId="12157"/>
    <tableColumn id="4233" name="Columna4219" dataDxfId="28780" totalsRowDxfId="12156"/>
    <tableColumn id="4234" name="Columna4220" dataDxfId="28779" totalsRowDxfId="12155"/>
    <tableColumn id="4235" name="Columna4221" dataDxfId="28778" totalsRowDxfId="12154"/>
    <tableColumn id="4236" name="Columna4222" dataDxfId="28777" totalsRowDxfId="12153"/>
    <tableColumn id="4237" name="Columna4223" dataDxfId="28776" totalsRowDxfId="12152"/>
    <tableColumn id="4238" name="Columna4224" dataDxfId="28775" totalsRowDxfId="12151"/>
    <tableColumn id="4239" name="Columna4225" dataDxfId="28774" totalsRowDxfId="12150"/>
    <tableColumn id="4240" name="Columna4226" dataDxfId="28773" totalsRowDxfId="12149"/>
    <tableColumn id="4241" name="Columna4227" dataDxfId="28772" totalsRowDxfId="12148"/>
    <tableColumn id="4242" name="Columna4228" dataDxfId="28771" totalsRowDxfId="12147"/>
    <tableColumn id="4243" name="Columna4229" dataDxfId="28770" totalsRowDxfId="12146"/>
    <tableColumn id="4244" name="Columna4230" dataDxfId="28769" totalsRowDxfId="12145"/>
    <tableColumn id="4245" name="Columna4231" dataDxfId="28768" totalsRowDxfId="12144"/>
    <tableColumn id="4246" name="Columna4232" dataDxfId="28767" totalsRowDxfId="12143"/>
    <tableColumn id="4247" name="Columna4233" dataDxfId="28766" totalsRowDxfId="12142"/>
    <tableColumn id="4248" name="Columna4234" dataDxfId="28765" totalsRowDxfId="12141"/>
    <tableColumn id="4249" name="Columna4235" dataDxfId="28764" totalsRowDxfId="12140"/>
    <tableColumn id="4250" name="Columna4236" dataDxfId="28763" totalsRowDxfId="12139"/>
    <tableColumn id="4251" name="Columna4237" dataDxfId="28762" totalsRowDxfId="12138"/>
    <tableColumn id="4252" name="Columna4238" dataDxfId="28761" totalsRowDxfId="12137"/>
    <tableColumn id="4253" name="Columna4239" dataDxfId="28760" totalsRowDxfId="12136"/>
    <tableColumn id="4254" name="Columna4240" dataDxfId="28759" totalsRowDxfId="12135"/>
    <tableColumn id="4255" name="Columna4241" dataDxfId="28758" totalsRowDxfId="12134"/>
    <tableColumn id="4256" name="Columna4242" dataDxfId="28757" totalsRowDxfId="12133"/>
    <tableColumn id="4257" name="Columna4243" dataDxfId="28756" totalsRowDxfId="12132"/>
    <tableColumn id="4258" name="Columna4244" dataDxfId="28755" totalsRowDxfId="12131"/>
    <tableColumn id="4259" name="Columna4245" dataDxfId="28754" totalsRowDxfId="12130"/>
    <tableColumn id="4260" name="Columna4246" dataDxfId="28753" totalsRowDxfId="12129"/>
    <tableColumn id="4261" name="Columna4247" dataDxfId="28752" totalsRowDxfId="12128"/>
    <tableColumn id="4262" name="Columna4248" dataDxfId="28751" totalsRowDxfId="12127"/>
    <tableColumn id="4263" name="Columna4249" dataDxfId="28750" totalsRowDxfId="12126"/>
    <tableColumn id="4264" name="Columna4250" dataDxfId="28749" totalsRowDxfId="12125"/>
    <tableColumn id="4265" name="Columna4251" dataDxfId="28748" totalsRowDxfId="12124"/>
    <tableColumn id="4266" name="Columna4252" dataDxfId="28747" totalsRowDxfId="12123"/>
    <tableColumn id="4267" name="Columna4253" dataDxfId="28746" totalsRowDxfId="12122"/>
    <tableColumn id="4268" name="Columna4254" dataDxfId="28745" totalsRowDxfId="12121"/>
    <tableColumn id="4269" name="Columna4255" dataDxfId="28744" totalsRowDxfId="12120"/>
    <tableColumn id="4270" name="Columna4256" dataDxfId="28743" totalsRowDxfId="12119"/>
    <tableColumn id="4271" name="Columna4257" dataDxfId="28742" totalsRowDxfId="12118"/>
    <tableColumn id="4272" name="Columna4258" dataDxfId="28741" totalsRowDxfId="12117"/>
    <tableColumn id="4273" name="Columna4259" dataDxfId="28740" totalsRowDxfId="12116"/>
    <tableColumn id="4274" name="Columna4260" dataDxfId="28739" totalsRowDxfId="12115"/>
    <tableColumn id="4275" name="Columna4261" dataDxfId="28738" totalsRowDxfId="12114"/>
    <tableColumn id="4276" name="Columna4262" dataDxfId="28737" totalsRowDxfId="12113"/>
    <tableColumn id="4277" name="Columna4263" dataDxfId="28736" totalsRowDxfId="12112"/>
    <tableColumn id="4278" name="Columna4264" dataDxfId="28735" totalsRowDxfId="12111"/>
    <tableColumn id="4279" name="Columna4265" dataDxfId="28734" totalsRowDxfId="12110"/>
    <tableColumn id="4280" name="Columna4266" dataDxfId="28733" totalsRowDxfId="12109"/>
    <tableColumn id="4281" name="Columna4267" dataDxfId="28732" totalsRowDxfId="12108"/>
    <tableColumn id="4282" name="Columna4268" dataDxfId="28731" totalsRowDxfId="12107"/>
    <tableColumn id="4283" name="Columna4269" dataDxfId="28730" totalsRowDxfId="12106"/>
    <tableColumn id="4284" name="Columna4270" dataDxfId="28729" totalsRowDxfId="12105"/>
    <tableColumn id="4285" name="Columna4271" dataDxfId="28728" totalsRowDxfId="12104"/>
    <tableColumn id="4286" name="Columna4272" dataDxfId="28727" totalsRowDxfId="12103"/>
    <tableColumn id="4287" name="Columna4273" dataDxfId="28726" totalsRowDxfId="12102"/>
    <tableColumn id="4288" name="Columna4274" dataDxfId="28725" totalsRowDxfId="12101"/>
    <tableColumn id="4289" name="Columna4275" dataDxfId="28724" totalsRowDxfId="12100"/>
    <tableColumn id="4290" name="Columna4276" dataDxfId="28723" totalsRowDxfId="12099"/>
    <tableColumn id="4291" name="Columna4277" dataDxfId="28722" totalsRowDxfId="12098"/>
    <tableColumn id="4292" name="Columna4278" dataDxfId="28721" totalsRowDxfId="12097"/>
    <tableColumn id="4293" name="Columna4279" dataDxfId="28720" totalsRowDxfId="12096"/>
    <tableColumn id="4294" name="Columna4280" dataDxfId="28719" totalsRowDxfId="12095"/>
    <tableColumn id="4295" name="Columna4281" dataDxfId="28718" totalsRowDxfId="12094"/>
    <tableColumn id="4296" name="Columna4282" dataDxfId="28717" totalsRowDxfId="12093"/>
    <tableColumn id="4297" name="Columna4283" dataDxfId="28716" totalsRowDxfId="12092"/>
    <tableColumn id="4298" name="Columna4284" dataDxfId="28715" totalsRowDxfId="12091"/>
    <tableColumn id="4299" name="Columna4285" dataDxfId="28714" totalsRowDxfId="12090"/>
    <tableColumn id="4300" name="Columna4286" dataDxfId="28713" totalsRowDxfId="12089"/>
    <tableColumn id="4301" name="Columna4287" dataDxfId="28712" totalsRowDxfId="12088"/>
    <tableColumn id="4302" name="Columna4288" dataDxfId="28711" totalsRowDxfId="12087"/>
    <tableColumn id="4303" name="Columna4289" dataDxfId="28710" totalsRowDxfId="12086"/>
    <tableColumn id="4304" name="Columna4290" dataDxfId="28709" totalsRowDxfId="12085"/>
    <tableColumn id="4305" name="Columna4291" dataDxfId="28708" totalsRowDxfId="12084"/>
    <tableColumn id="4306" name="Columna4292" dataDxfId="28707" totalsRowDxfId="12083"/>
    <tableColumn id="4307" name="Columna4293" dataDxfId="28706" totalsRowDxfId="12082"/>
    <tableColumn id="4308" name="Columna4294" dataDxfId="28705" totalsRowDxfId="12081"/>
    <tableColumn id="4309" name="Columna4295" dataDxfId="28704" totalsRowDxfId="12080"/>
    <tableColumn id="4310" name="Columna4296" dataDxfId="28703" totalsRowDxfId="12079"/>
    <tableColumn id="4311" name="Columna4297" dataDxfId="28702" totalsRowDxfId="12078"/>
    <tableColumn id="4312" name="Columna4298" dataDxfId="28701" totalsRowDxfId="12077"/>
    <tableColumn id="4313" name="Columna4299" dataDxfId="28700" totalsRowDxfId="12076"/>
    <tableColumn id="4314" name="Columna4300" dataDxfId="28699" totalsRowDxfId="12075"/>
    <tableColumn id="4315" name="Columna4301" dataDxfId="28698" totalsRowDxfId="12074"/>
    <tableColumn id="4316" name="Columna4302" dataDxfId="28697" totalsRowDxfId="12073"/>
    <tableColumn id="4317" name="Columna4303" dataDxfId="28696" totalsRowDxfId="12072"/>
    <tableColumn id="4318" name="Columna4304" dataDxfId="28695" totalsRowDxfId="12071"/>
    <tableColumn id="4319" name="Columna4305" dataDxfId="28694" totalsRowDxfId="12070"/>
    <tableColumn id="4320" name="Columna4306" dataDxfId="28693" totalsRowDxfId="12069"/>
    <tableColumn id="4321" name="Columna4307" dataDxfId="28692" totalsRowDxfId="12068"/>
    <tableColumn id="4322" name="Columna4308" dataDxfId="28691" totalsRowDxfId="12067"/>
    <tableColumn id="4323" name="Columna4309" dataDxfId="28690" totalsRowDxfId="12066"/>
    <tableColumn id="4324" name="Columna4310" dataDxfId="28689" totalsRowDxfId="12065"/>
    <tableColumn id="4325" name="Columna4311" dataDxfId="28688" totalsRowDxfId="12064"/>
    <tableColumn id="4326" name="Columna4312" dataDxfId="28687" totalsRowDxfId="12063"/>
    <tableColumn id="4327" name="Columna4313" dataDxfId="28686" totalsRowDxfId="12062"/>
    <tableColumn id="4328" name="Columna4314" dataDxfId="28685" totalsRowDxfId="12061"/>
    <tableColumn id="4329" name="Columna4315" dataDxfId="28684" totalsRowDxfId="12060"/>
    <tableColumn id="4330" name="Columna4316" dataDxfId="28683" totalsRowDxfId="12059"/>
    <tableColumn id="4331" name="Columna4317" dataDxfId="28682" totalsRowDxfId="12058"/>
    <tableColumn id="4332" name="Columna4318" dataDxfId="28681" totalsRowDxfId="12057"/>
    <tableColumn id="4333" name="Columna4319" dataDxfId="28680" totalsRowDxfId="12056"/>
    <tableColumn id="4334" name="Columna4320" dataDxfId="28679" totalsRowDxfId="12055"/>
    <tableColumn id="4335" name="Columna4321" dataDxfId="28678" totalsRowDxfId="12054"/>
    <tableColumn id="4336" name="Columna4322" dataDxfId="28677" totalsRowDxfId="12053"/>
    <tableColumn id="4337" name="Columna4323" dataDxfId="28676" totalsRowDxfId="12052"/>
    <tableColumn id="4338" name="Columna4324" dataDxfId="28675" totalsRowDxfId="12051"/>
    <tableColumn id="4339" name="Columna4325" dataDxfId="28674" totalsRowDxfId="12050"/>
    <tableColumn id="4340" name="Columna4326" dataDxfId="28673" totalsRowDxfId="12049"/>
    <tableColumn id="4341" name="Columna4327" dataDxfId="28672" totalsRowDxfId="12048"/>
    <tableColumn id="4342" name="Columna4328" dataDxfId="28671" totalsRowDxfId="12047"/>
    <tableColumn id="4343" name="Columna4329" dataDxfId="28670" totalsRowDxfId="12046"/>
    <tableColumn id="4344" name="Columna4330" dataDxfId="28669" totalsRowDxfId="12045"/>
    <tableColumn id="4345" name="Columna4331" dataDxfId="28668" totalsRowDxfId="12044"/>
    <tableColumn id="4346" name="Columna4332" dataDxfId="28667" totalsRowDxfId="12043"/>
    <tableColumn id="4347" name="Columna4333" dataDxfId="28666" totalsRowDxfId="12042"/>
    <tableColumn id="4348" name="Columna4334" dataDxfId="28665" totalsRowDxfId="12041"/>
    <tableColumn id="4349" name="Columna4335" dataDxfId="28664" totalsRowDxfId="12040"/>
    <tableColumn id="4350" name="Columna4336" dataDxfId="28663" totalsRowDxfId="12039"/>
    <tableColumn id="4351" name="Columna4337" dataDxfId="28662" totalsRowDxfId="12038"/>
    <tableColumn id="4352" name="Columna4338" dataDxfId="28661" totalsRowDxfId="12037"/>
    <tableColumn id="4353" name="Columna4339" dataDxfId="28660" totalsRowDxfId="12036"/>
    <tableColumn id="4354" name="Columna4340" dataDxfId="28659" totalsRowDxfId="12035"/>
    <tableColumn id="4355" name="Columna4341" dataDxfId="28658" totalsRowDxfId="12034"/>
    <tableColumn id="4356" name="Columna4342" dataDxfId="28657" totalsRowDxfId="12033"/>
    <tableColumn id="4357" name="Columna4343" dataDxfId="28656" totalsRowDxfId="12032"/>
    <tableColumn id="4358" name="Columna4344" dataDxfId="28655" totalsRowDxfId="12031"/>
    <tableColumn id="4359" name="Columna4345" dataDxfId="28654" totalsRowDxfId="12030"/>
    <tableColumn id="4360" name="Columna4346" dataDxfId="28653" totalsRowDxfId="12029"/>
    <tableColumn id="4361" name="Columna4347" dataDxfId="28652" totalsRowDxfId="12028"/>
    <tableColumn id="4362" name="Columna4348" dataDxfId="28651" totalsRowDxfId="12027"/>
    <tableColumn id="4363" name="Columna4349" dataDxfId="28650" totalsRowDxfId="12026"/>
    <tableColumn id="4364" name="Columna4350" dataDxfId="28649" totalsRowDxfId="12025"/>
    <tableColumn id="4365" name="Columna4351" dataDxfId="28648" totalsRowDxfId="12024"/>
    <tableColumn id="4366" name="Columna4352" dataDxfId="28647" totalsRowDxfId="12023"/>
    <tableColumn id="4367" name="Columna4353" dataDxfId="28646" totalsRowDxfId="12022"/>
    <tableColumn id="4368" name="Columna4354" dataDxfId="28645" totalsRowDxfId="12021"/>
    <tableColumn id="4369" name="Columna4355" dataDxfId="28644" totalsRowDxfId="12020"/>
    <tableColumn id="4370" name="Columna4356" dataDxfId="28643" totalsRowDxfId="12019"/>
    <tableColumn id="4371" name="Columna4357" dataDxfId="28642" totalsRowDxfId="12018"/>
    <tableColumn id="4372" name="Columna4358" dataDxfId="28641" totalsRowDxfId="12017"/>
    <tableColumn id="4373" name="Columna4359" dataDxfId="28640" totalsRowDxfId="12016"/>
    <tableColumn id="4374" name="Columna4360" dataDxfId="28639" totalsRowDxfId="12015"/>
    <tableColumn id="4375" name="Columna4361" dataDxfId="28638" totalsRowDxfId="12014"/>
    <tableColumn id="4376" name="Columna4362" dataDxfId="28637" totalsRowDxfId="12013"/>
    <tableColumn id="4377" name="Columna4363" dataDxfId="28636" totalsRowDxfId="12012"/>
    <tableColumn id="4378" name="Columna4364" dataDxfId="28635" totalsRowDxfId="12011"/>
    <tableColumn id="4379" name="Columna4365" dataDxfId="28634" totalsRowDxfId="12010"/>
    <tableColumn id="4380" name="Columna4366" dataDxfId="28633" totalsRowDxfId="12009"/>
    <tableColumn id="4381" name="Columna4367" dataDxfId="28632" totalsRowDxfId="12008"/>
    <tableColumn id="4382" name="Columna4368" dataDxfId="28631" totalsRowDxfId="12007"/>
    <tableColumn id="4383" name="Columna4369" dataDxfId="28630" totalsRowDxfId="12006"/>
    <tableColumn id="4384" name="Columna4370" dataDxfId="28629" totalsRowDxfId="12005"/>
    <tableColumn id="4385" name="Columna4371" dataDxfId="28628" totalsRowDxfId="12004"/>
    <tableColumn id="4386" name="Columna4372" dataDxfId="28627" totalsRowDxfId="12003"/>
    <tableColumn id="4387" name="Columna4373" dataDxfId="28626" totalsRowDxfId="12002"/>
    <tableColumn id="4388" name="Columna4374" dataDxfId="28625" totalsRowDxfId="12001"/>
    <tableColumn id="4389" name="Columna4375" dataDxfId="28624" totalsRowDxfId="12000"/>
    <tableColumn id="4390" name="Columna4376" dataDxfId="28623" totalsRowDxfId="11999"/>
    <tableColumn id="4391" name="Columna4377" dataDxfId="28622" totalsRowDxfId="11998"/>
    <tableColumn id="4392" name="Columna4378" dataDxfId="28621" totalsRowDxfId="11997"/>
    <tableColumn id="4393" name="Columna4379" dataDxfId="28620" totalsRowDxfId="11996"/>
    <tableColumn id="4394" name="Columna4380" dataDxfId="28619" totalsRowDxfId="11995"/>
    <tableColumn id="4395" name="Columna4381" dataDxfId="28618" totalsRowDxfId="11994"/>
    <tableColumn id="4396" name="Columna4382" dataDxfId="28617" totalsRowDxfId="11993"/>
    <tableColumn id="4397" name="Columna4383" dataDxfId="28616" totalsRowDxfId="11992"/>
    <tableColumn id="4398" name="Columna4384" dataDxfId="28615" totalsRowDxfId="11991"/>
    <tableColumn id="4399" name="Columna4385" dataDxfId="28614" totalsRowDxfId="11990"/>
    <tableColumn id="4400" name="Columna4386" dataDxfId="28613" totalsRowDxfId="11989"/>
    <tableColumn id="4401" name="Columna4387" dataDxfId="28612" totalsRowDxfId="11988"/>
    <tableColumn id="4402" name="Columna4388" dataDxfId="28611" totalsRowDxfId="11987"/>
    <tableColumn id="4403" name="Columna4389" dataDxfId="28610" totalsRowDxfId="11986"/>
    <tableColumn id="4404" name="Columna4390" dataDxfId="28609" totalsRowDxfId="11985"/>
    <tableColumn id="4405" name="Columna4391" dataDxfId="28608" totalsRowDxfId="11984"/>
    <tableColumn id="4406" name="Columna4392" dataDxfId="28607" totalsRowDxfId="11983"/>
    <tableColumn id="4407" name="Columna4393" dataDxfId="28606" totalsRowDxfId="11982"/>
    <tableColumn id="4408" name="Columna4394" dataDxfId="28605" totalsRowDxfId="11981"/>
    <tableColumn id="4409" name="Columna4395" dataDxfId="28604" totalsRowDxfId="11980"/>
    <tableColumn id="4410" name="Columna4396" dataDxfId="28603" totalsRowDxfId="11979"/>
    <tableColumn id="4411" name="Columna4397" dataDxfId="28602" totalsRowDxfId="11978"/>
    <tableColumn id="4412" name="Columna4398" dataDxfId="28601" totalsRowDxfId="11977"/>
    <tableColumn id="4413" name="Columna4399" dataDxfId="28600" totalsRowDxfId="11976"/>
    <tableColumn id="4414" name="Columna4400" dataDxfId="28599" totalsRowDxfId="11975"/>
    <tableColumn id="4415" name="Columna4401" dataDxfId="28598" totalsRowDxfId="11974"/>
    <tableColumn id="4416" name="Columna4402" dataDxfId="28597" totalsRowDxfId="11973"/>
    <tableColumn id="4417" name="Columna4403" dataDxfId="28596" totalsRowDxfId="11972"/>
    <tableColumn id="4418" name="Columna4404" dataDxfId="28595" totalsRowDxfId="11971"/>
    <tableColumn id="4419" name="Columna4405" dataDxfId="28594" totalsRowDxfId="11970"/>
    <tableColumn id="4420" name="Columna4406" dataDxfId="28593" totalsRowDxfId="11969"/>
    <tableColumn id="4421" name="Columna4407" dataDxfId="28592" totalsRowDxfId="11968"/>
    <tableColumn id="4422" name="Columna4408" dataDxfId="28591" totalsRowDxfId="11967"/>
    <tableColumn id="4423" name="Columna4409" dataDxfId="28590" totalsRowDxfId="11966"/>
    <tableColumn id="4424" name="Columna4410" dataDxfId="28589" totalsRowDxfId="11965"/>
    <tableColumn id="4425" name="Columna4411" dataDxfId="28588" totalsRowDxfId="11964"/>
    <tableColumn id="4426" name="Columna4412" dataDxfId="28587" totalsRowDxfId="11963"/>
    <tableColumn id="4427" name="Columna4413" dataDxfId="28586" totalsRowDxfId="11962"/>
    <tableColumn id="4428" name="Columna4414" dataDxfId="28585" totalsRowDxfId="11961"/>
    <tableColumn id="4429" name="Columna4415" dataDxfId="28584" totalsRowDxfId="11960"/>
    <tableColumn id="4430" name="Columna4416" dataDxfId="28583" totalsRowDxfId="11959"/>
    <tableColumn id="4431" name="Columna4417" dataDxfId="28582" totalsRowDxfId="11958"/>
    <tableColumn id="4432" name="Columna4418" dataDxfId="28581" totalsRowDxfId="11957"/>
    <tableColumn id="4433" name="Columna4419" dataDxfId="28580" totalsRowDxfId="11956"/>
    <tableColumn id="4434" name="Columna4420" dataDxfId="28579" totalsRowDxfId="11955"/>
    <tableColumn id="4435" name="Columna4421" dataDxfId="28578" totalsRowDxfId="11954"/>
    <tableColumn id="4436" name="Columna4422" dataDxfId="28577" totalsRowDxfId="11953"/>
    <tableColumn id="4437" name="Columna4423" dataDxfId="28576" totalsRowDxfId="11952"/>
    <tableColumn id="4438" name="Columna4424" dataDxfId="28575" totalsRowDxfId="11951"/>
    <tableColumn id="4439" name="Columna4425" dataDxfId="28574" totalsRowDxfId="11950"/>
    <tableColumn id="4440" name="Columna4426" dataDxfId="28573" totalsRowDxfId="11949"/>
    <tableColumn id="4441" name="Columna4427" dataDxfId="28572" totalsRowDxfId="11948"/>
    <tableColumn id="4442" name="Columna4428" dataDxfId="28571" totalsRowDxfId="11947"/>
    <tableColumn id="4443" name="Columna4429" dataDxfId="28570" totalsRowDxfId="11946"/>
    <tableColumn id="4444" name="Columna4430" dataDxfId="28569" totalsRowDxfId="11945"/>
    <tableColumn id="4445" name="Columna4431" dataDxfId="28568" totalsRowDxfId="11944"/>
    <tableColumn id="4446" name="Columna4432" dataDxfId="28567" totalsRowDxfId="11943"/>
    <tableColumn id="4447" name="Columna4433" dataDxfId="28566" totalsRowDxfId="11942"/>
    <tableColumn id="4448" name="Columna4434" dataDxfId="28565" totalsRowDxfId="11941"/>
    <tableColumn id="4449" name="Columna4435" dataDxfId="28564" totalsRowDxfId="11940"/>
    <tableColumn id="4450" name="Columna4436" dataDxfId="28563" totalsRowDxfId="11939"/>
    <tableColumn id="4451" name="Columna4437" dataDxfId="28562" totalsRowDxfId="11938"/>
    <tableColumn id="4452" name="Columna4438" dataDxfId="28561" totalsRowDxfId="11937"/>
    <tableColumn id="4453" name="Columna4439" dataDxfId="28560" totalsRowDxfId="11936"/>
    <tableColumn id="4454" name="Columna4440" dataDxfId="28559" totalsRowDxfId="11935"/>
    <tableColumn id="4455" name="Columna4441" dataDxfId="28558" totalsRowDxfId="11934"/>
    <tableColumn id="4456" name="Columna4442" dataDxfId="28557" totalsRowDxfId="11933"/>
    <tableColumn id="4457" name="Columna4443" dataDxfId="28556" totalsRowDxfId="11932"/>
    <tableColumn id="4458" name="Columna4444" dataDxfId="28555" totalsRowDxfId="11931"/>
    <tableColumn id="4459" name="Columna4445" dataDxfId="28554" totalsRowDxfId="11930"/>
    <tableColumn id="4460" name="Columna4446" dataDxfId="28553" totalsRowDxfId="11929"/>
    <tableColumn id="4461" name="Columna4447" dataDxfId="28552" totalsRowDxfId="11928"/>
    <tableColumn id="4462" name="Columna4448" dataDxfId="28551" totalsRowDxfId="11927"/>
    <tableColumn id="4463" name="Columna4449" dataDxfId="28550" totalsRowDxfId="11926"/>
    <tableColumn id="4464" name="Columna4450" dataDxfId="28549" totalsRowDxfId="11925"/>
    <tableColumn id="4465" name="Columna4451" dataDxfId="28548" totalsRowDxfId="11924"/>
    <tableColumn id="4466" name="Columna4452" dataDxfId="28547" totalsRowDxfId="11923"/>
    <tableColumn id="4467" name="Columna4453" dataDxfId="28546" totalsRowDxfId="11922"/>
    <tableColumn id="4468" name="Columna4454" dataDxfId="28545" totalsRowDxfId="11921"/>
    <tableColumn id="4469" name="Columna4455" dataDxfId="28544" totalsRowDxfId="11920"/>
    <tableColumn id="4470" name="Columna4456" dataDxfId="28543" totalsRowDxfId="11919"/>
    <tableColumn id="4471" name="Columna4457" dataDxfId="28542" totalsRowDxfId="11918"/>
    <tableColumn id="4472" name="Columna4458" dataDxfId="28541" totalsRowDxfId="11917"/>
    <tableColumn id="4473" name="Columna4459" dataDxfId="28540" totalsRowDxfId="11916"/>
    <tableColumn id="4474" name="Columna4460" dataDxfId="28539" totalsRowDxfId="11915"/>
    <tableColumn id="4475" name="Columna4461" dataDxfId="28538" totalsRowDxfId="11914"/>
    <tableColumn id="4476" name="Columna4462" dataDxfId="28537" totalsRowDxfId="11913"/>
    <tableColumn id="4477" name="Columna4463" dataDxfId="28536" totalsRowDxfId="11912"/>
    <tableColumn id="4478" name="Columna4464" dataDxfId="28535" totalsRowDxfId="11911"/>
    <tableColumn id="4479" name="Columna4465" dataDxfId="28534" totalsRowDxfId="11910"/>
    <tableColumn id="4480" name="Columna4466" dataDxfId="28533" totalsRowDxfId="11909"/>
    <tableColumn id="4481" name="Columna4467" dataDxfId="28532" totalsRowDxfId="11908"/>
    <tableColumn id="4482" name="Columna4468" dataDxfId="28531" totalsRowDxfId="11907"/>
    <tableColumn id="4483" name="Columna4469" dataDxfId="28530" totalsRowDxfId="11906"/>
    <tableColumn id="4484" name="Columna4470" dataDxfId="28529" totalsRowDxfId="11905"/>
    <tableColumn id="4485" name="Columna4471" dataDxfId="28528" totalsRowDxfId="11904"/>
    <tableColumn id="4486" name="Columna4472" dataDxfId="28527" totalsRowDxfId="11903"/>
    <tableColumn id="4487" name="Columna4473" dataDxfId="28526" totalsRowDxfId="11902"/>
    <tableColumn id="4488" name="Columna4474" dataDxfId="28525" totalsRowDxfId="11901"/>
    <tableColumn id="4489" name="Columna4475" dataDxfId="28524" totalsRowDxfId="11900"/>
    <tableColumn id="4490" name="Columna4476" dataDxfId="28523" totalsRowDxfId="11899"/>
    <tableColumn id="4491" name="Columna4477" dataDxfId="28522" totalsRowDxfId="11898"/>
    <tableColumn id="4492" name="Columna4478" dataDxfId="28521" totalsRowDxfId="11897"/>
    <tableColumn id="4493" name="Columna4479" dataDxfId="28520" totalsRowDxfId="11896"/>
    <tableColumn id="4494" name="Columna4480" dataDxfId="28519" totalsRowDxfId="11895"/>
    <tableColumn id="4495" name="Columna4481" dataDxfId="28518" totalsRowDxfId="11894"/>
    <tableColumn id="4496" name="Columna4482" dataDxfId="28517" totalsRowDxfId="11893"/>
    <tableColumn id="4497" name="Columna4483" dataDxfId="28516" totalsRowDxfId="11892"/>
    <tableColumn id="4498" name="Columna4484" dataDxfId="28515" totalsRowDxfId="11891"/>
    <tableColumn id="4499" name="Columna4485" dataDxfId="28514" totalsRowDxfId="11890"/>
    <tableColumn id="4500" name="Columna4486" dataDxfId="28513" totalsRowDxfId="11889"/>
    <tableColumn id="4501" name="Columna4487" dataDxfId="28512" totalsRowDxfId="11888"/>
    <tableColumn id="4502" name="Columna4488" dataDxfId="28511" totalsRowDxfId="11887"/>
    <tableColumn id="4503" name="Columna4489" dataDxfId="28510" totalsRowDxfId="11886"/>
    <tableColumn id="4504" name="Columna4490" dataDxfId="28509" totalsRowDxfId="11885"/>
    <tableColumn id="4505" name="Columna4491" dataDxfId="28508" totalsRowDxfId="11884"/>
    <tableColumn id="4506" name="Columna4492" dataDxfId="28507" totalsRowDxfId="11883"/>
    <tableColumn id="4507" name="Columna4493" dataDxfId="28506" totalsRowDxfId="11882"/>
    <tableColumn id="4508" name="Columna4494" dataDxfId="28505" totalsRowDxfId="11881"/>
    <tableColumn id="4509" name="Columna4495" dataDxfId="28504" totalsRowDxfId="11880"/>
    <tableColumn id="4510" name="Columna4496" dataDxfId="28503" totalsRowDxfId="11879"/>
    <tableColumn id="4511" name="Columna4497" dataDxfId="28502" totalsRowDxfId="11878"/>
    <tableColumn id="4512" name="Columna4498" dataDxfId="28501" totalsRowDxfId="11877"/>
    <tableColumn id="4513" name="Columna4499" dataDxfId="28500" totalsRowDxfId="11876"/>
    <tableColumn id="4514" name="Columna4500" dataDxfId="28499" totalsRowDxfId="11875"/>
    <tableColumn id="4515" name="Columna4501" dataDxfId="28498" totalsRowDxfId="11874"/>
    <tableColumn id="4516" name="Columna4502" dataDxfId="28497" totalsRowDxfId="11873"/>
    <tableColumn id="4517" name="Columna4503" dataDxfId="28496" totalsRowDxfId="11872"/>
    <tableColumn id="4518" name="Columna4504" dataDxfId="28495" totalsRowDxfId="11871"/>
    <tableColumn id="4519" name="Columna4505" dataDxfId="28494" totalsRowDxfId="11870"/>
    <tableColumn id="4520" name="Columna4506" dataDxfId="28493" totalsRowDxfId="11869"/>
    <tableColumn id="4521" name="Columna4507" dataDxfId="28492" totalsRowDxfId="11868"/>
    <tableColumn id="4522" name="Columna4508" dataDxfId="28491" totalsRowDxfId="11867"/>
    <tableColumn id="4523" name="Columna4509" dataDxfId="28490" totalsRowDxfId="11866"/>
    <tableColumn id="4524" name="Columna4510" dataDxfId="28489" totalsRowDxfId="11865"/>
    <tableColumn id="4525" name="Columna4511" dataDxfId="28488" totalsRowDxfId="11864"/>
    <tableColumn id="4526" name="Columna4512" dataDxfId="28487" totalsRowDxfId="11863"/>
    <tableColumn id="4527" name="Columna4513" dataDxfId="28486" totalsRowDxfId="11862"/>
    <tableColumn id="4528" name="Columna4514" dataDxfId="28485" totalsRowDxfId="11861"/>
    <tableColumn id="4529" name="Columna4515" dataDxfId="28484" totalsRowDxfId="11860"/>
    <tableColumn id="4530" name="Columna4516" dataDxfId="28483" totalsRowDxfId="11859"/>
    <tableColumn id="4531" name="Columna4517" dataDxfId="28482" totalsRowDxfId="11858"/>
    <tableColumn id="4532" name="Columna4518" dataDxfId="28481" totalsRowDxfId="11857"/>
    <tableColumn id="4533" name="Columna4519" dataDxfId="28480" totalsRowDxfId="11856"/>
    <tableColumn id="4534" name="Columna4520" dataDxfId="28479" totalsRowDxfId="11855"/>
    <tableColumn id="4535" name="Columna4521" dataDxfId="28478" totalsRowDxfId="11854"/>
    <tableColumn id="4536" name="Columna4522" dataDxfId="28477" totalsRowDxfId="11853"/>
    <tableColumn id="4537" name="Columna4523" dataDxfId="28476" totalsRowDxfId="11852"/>
    <tableColumn id="4538" name="Columna4524" dataDxfId="28475" totalsRowDxfId="11851"/>
    <tableColumn id="4539" name="Columna4525" dataDxfId="28474" totalsRowDxfId="11850"/>
    <tableColumn id="4540" name="Columna4526" dataDxfId="28473" totalsRowDxfId="11849"/>
    <tableColumn id="4541" name="Columna4527" dataDxfId="28472" totalsRowDxfId="11848"/>
    <tableColumn id="4542" name="Columna4528" dataDxfId="28471" totalsRowDxfId="11847"/>
    <tableColumn id="4543" name="Columna4529" dataDxfId="28470" totalsRowDxfId="11846"/>
    <tableColumn id="4544" name="Columna4530" dataDxfId="28469" totalsRowDxfId="11845"/>
    <tableColumn id="4545" name="Columna4531" dataDxfId="28468" totalsRowDxfId="11844"/>
    <tableColumn id="4546" name="Columna4532" dataDxfId="28467" totalsRowDxfId="11843"/>
    <tableColumn id="4547" name="Columna4533" dataDxfId="28466" totalsRowDxfId="11842"/>
    <tableColumn id="4548" name="Columna4534" dataDxfId="28465" totalsRowDxfId="11841"/>
    <tableColumn id="4549" name="Columna4535" dataDxfId="28464" totalsRowDxfId="11840"/>
    <tableColumn id="4550" name="Columna4536" dataDxfId="28463" totalsRowDxfId="11839"/>
    <tableColumn id="4551" name="Columna4537" dataDxfId="28462" totalsRowDxfId="11838"/>
    <tableColumn id="4552" name="Columna4538" dataDxfId="28461" totalsRowDxfId="11837"/>
    <tableColumn id="4553" name="Columna4539" dataDxfId="28460" totalsRowDxfId="11836"/>
    <tableColumn id="4554" name="Columna4540" dataDxfId="28459" totalsRowDxfId="11835"/>
    <tableColumn id="4555" name="Columna4541" dataDxfId="28458" totalsRowDxfId="11834"/>
    <tableColumn id="4556" name="Columna4542" dataDxfId="28457" totalsRowDxfId="11833"/>
    <tableColumn id="4557" name="Columna4543" dataDxfId="28456" totalsRowDxfId="11832"/>
    <tableColumn id="4558" name="Columna4544" dataDxfId="28455" totalsRowDxfId="11831"/>
    <tableColumn id="4559" name="Columna4545" dataDxfId="28454" totalsRowDxfId="11830"/>
    <tableColumn id="4560" name="Columna4546" dataDxfId="28453" totalsRowDxfId="11829"/>
    <tableColumn id="4561" name="Columna4547" dataDxfId="28452" totalsRowDxfId="11828"/>
    <tableColumn id="4562" name="Columna4548" dataDxfId="28451" totalsRowDxfId="11827"/>
    <tableColumn id="4563" name="Columna4549" dataDxfId="28450" totalsRowDxfId="11826"/>
    <tableColumn id="4564" name="Columna4550" dataDxfId="28449" totalsRowDxfId="11825"/>
    <tableColumn id="4565" name="Columna4551" dataDxfId="28448" totalsRowDxfId="11824"/>
    <tableColumn id="4566" name="Columna4552" dataDxfId="28447" totalsRowDxfId="11823"/>
    <tableColumn id="4567" name="Columna4553" dataDxfId="28446" totalsRowDxfId="11822"/>
    <tableColumn id="4568" name="Columna4554" dataDxfId="28445" totalsRowDxfId="11821"/>
    <tableColumn id="4569" name="Columna4555" dataDxfId="28444" totalsRowDxfId="11820"/>
    <tableColumn id="4570" name="Columna4556" dataDxfId="28443" totalsRowDxfId="11819"/>
    <tableColumn id="4571" name="Columna4557" dataDxfId="28442" totalsRowDxfId="11818"/>
    <tableColumn id="4572" name="Columna4558" dataDxfId="28441" totalsRowDxfId="11817"/>
    <tableColumn id="4573" name="Columna4559" dataDxfId="28440" totalsRowDxfId="11816"/>
    <tableColumn id="4574" name="Columna4560" dataDxfId="28439" totalsRowDxfId="11815"/>
    <tableColumn id="4575" name="Columna4561" dataDxfId="28438" totalsRowDxfId="11814"/>
    <tableColumn id="4576" name="Columna4562" dataDxfId="28437" totalsRowDxfId="11813"/>
    <tableColumn id="4577" name="Columna4563" dataDxfId="28436" totalsRowDxfId="11812"/>
    <tableColumn id="4578" name="Columna4564" dataDxfId="28435" totalsRowDxfId="11811"/>
    <tableColumn id="4579" name="Columna4565" dataDxfId="28434" totalsRowDxfId="11810"/>
    <tableColumn id="4580" name="Columna4566" dataDxfId="28433" totalsRowDxfId="11809"/>
    <tableColumn id="4581" name="Columna4567" dataDxfId="28432" totalsRowDxfId="11808"/>
    <tableColumn id="4582" name="Columna4568" dataDxfId="28431" totalsRowDxfId="11807"/>
    <tableColumn id="4583" name="Columna4569" dataDxfId="28430" totalsRowDxfId="11806"/>
    <tableColumn id="4584" name="Columna4570" dataDxfId="28429" totalsRowDxfId="11805"/>
    <tableColumn id="4585" name="Columna4571" dataDxfId="28428" totalsRowDxfId="11804"/>
    <tableColumn id="4586" name="Columna4572" dataDxfId="28427" totalsRowDxfId="11803"/>
    <tableColumn id="4587" name="Columna4573" dataDxfId="28426" totalsRowDxfId="11802"/>
    <tableColumn id="4588" name="Columna4574" dataDxfId="28425" totalsRowDxfId="11801"/>
    <tableColumn id="4589" name="Columna4575" dataDxfId="28424" totalsRowDxfId="11800"/>
    <tableColumn id="4590" name="Columna4576" dataDxfId="28423" totalsRowDxfId="11799"/>
    <tableColumn id="4591" name="Columna4577" dataDxfId="28422" totalsRowDxfId="11798"/>
    <tableColumn id="4592" name="Columna4578" dataDxfId="28421" totalsRowDxfId="11797"/>
    <tableColumn id="4593" name="Columna4579" dataDxfId="28420" totalsRowDxfId="11796"/>
    <tableColumn id="4594" name="Columna4580" dataDxfId="28419" totalsRowDxfId="11795"/>
    <tableColumn id="4595" name="Columna4581" dataDxfId="28418" totalsRowDxfId="11794"/>
    <tableColumn id="4596" name="Columna4582" dataDxfId="28417" totalsRowDxfId="11793"/>
    <tableColumn id="4597" name="Columna4583" dataDxfId="28416" totalsRowDxfId="11792"/>
    <tableColumn id="4598" name="Columna4584" dataDxfId="28415" totalsRowDxfId="11791"/>
    <tableColumn id="4599" name="Columna4585" dataDxfId="28414" totalsRowDxfId="11790"/>
    <tableColumn id="4600" name="Columna4586" dataDxfId="28413" totalsRowDxfId="11789"/>
    <tableColumn id="4601" name="Columna4587" dataDxfId="28412" totalsRowDxfId="11788"/>
    <tableColumn id="4602" name="Columna4588" dataDxfId="28411" totalsRowDxfId="11787"/>
    <tableColumn id="4603" name="Columna4589" dataDxfId="28410" totalsRowDxfId="11786"/>
    <tableColumn id="4604" name="Columna4590" dataDxfId="28409" totalsRowDxfId="11785"/>
    <tableColumn id="4605" name="Columna4591" dataDxfId="28408" totalsRowDxfId="11784"/>
    <tableColumn id="4606" name="Columna4592" dataDxfId="28407" totalsRowDxfId="11783"/>
    <tableColumn id="4607" name="Columna4593" dataDxfId="28406" totalsRowDxfId="11782"/>
    <tableColumn id="4608" name="Columna4594" dataDxfId="28405" totalsRowDxfId="11781"/>
    <tableColumn id="4609" name="Columna4595" dataDxfId="28404" totalsRowDxfId="11780"/>
    <tableColumn id="4610" name="Columna4596" dataDxfId="28403" totalsRowDxfId="11779"/>
    <tableColumn id="4611" name="Columna4597" dataDxfId="28402" totalsRowDxfId="11778"/>
    <tableColumn id="4612" name="Columna4598" dataDxfId="28401" totalsRowDxfId="11777"/>
    <tableColumn id="4613" name="Columna4599" dataDxfId="28400" totalsRowDxfId="11776"/>
    <tableColumn id="4614" name="Columna4600" dataDxfId="28399" totalsRowDxfId="11775"/>
    <tableColumn id="4615" name="Columna4601" dataDxfId="28398" totalsRowDxfId="11774"/>
    <tableColumn id="4616" name="Columna4602" dataDxfId="28397" totalsRowDxfId="11773"/>
    <tableColumn id="4617" name="Columna4603" dataDxfId="28396" totalsRowDxfId="11772"/>
    <tableColumn id="4618" name="Columna4604" dataDxfId="28395" totalsRowDxfId="11771"/>
    <tableColumn id="4619" name="Columna4605" dataDxfId="28394" totalsRowDxfId="11770"/>
    <tableColumn id="4620" name="Columna4606" dataDxfId="28393" totalsRowDxfId="11769"/>
    <tableColumn id="4621" name="Columna4607" dataDxfId="28392" totalsRowDxfId="11768"/>
    <tableColumn id="4622" name="Columna4608" dataDxfId="28391" totalsRowDxfId="11767"/>
    <tableColumn id="4623" name="Columna4609" dataDxfId="28390" totalsRowDxfId="11766"/>
    <tableColumn id="4624" name="Columna4610" dataDxfId="28389" totalsRowDxfId="11765"/>
    <tableColumn id="4625" name="Columna4611" dataDxfId="28388" totalsRowDxfId="11764"/>
    <tableColumn id="4626" name="Columna4612" dataDxfId="28387" totalsRowDxfId="11763"/>
    <tableColumn id="4627" name="Columna4613" dataDxfId="28386" totalsRowDxfId="11762"/>
    <tableColumn id="4628" name="Columna4614" dataDxfId="28385" totalsRowDxfId="11761"/>
    <tableColumn id="4629" name="Columna4615" dataDxfId="28384" totalsRowDxfId="11760"/>
    <tableColumn id="4630" name="Columna4616" dataDxfId="28383" totalsRowDxfId="11759"/>
    <tableColumn id="4631" name="Columna4617" dataDxfId="28382" totalsRowDxfId="11758"/>
    <tableColumn id="4632" name="Columna4618" dataDxfId="28381" totalsRowDxfId="11757"/>
    <tableColumn id="4633" name="Columna4619" dataDxfId="28380" totalsRowDxfId="11756"/>
    <tableColumn id="4634" name="Columna4620" dataDxfId="28379" totalsRowDxfId="11755"/>
    <tableColumn id="4635" name="Columna4621" dataDxfId="28378" totalsRowDxfId="11754"/>
    <tableColumn id="4636" name="Columna4622" dataDxfId="28377" totalsRowDxfId="11753"/>
    <tableColumn id="4637" name="Columna4623" dataDxfId="28376" totalsRowDxfId="11752"/>
    <tableColumn id="4638" name="Columna4624" dataDxfId="28375" totalsRowDxfId="11751"/>
    <tableColumn id="4639" name="Columna4625" dataDxfId="28374" totalsRowDxfId="11750"/>
    <tableColumn id="4640" name="Columna4626" dataDxfId="28373" totalsRowDxfId="11749"/>
    <tableColumn id="4641" name="Columna4627" dataDxfId="28372" totalsRowDxfId="11748"/>
    <tableColumn id="4642" name="Columna4628" dataDxfId="28371" totalsRowDxfId="11747"/>
    <tableColumn id="4643" name="Columna4629" dataDxfId="28370" totalsRowDxfId="11746"/>
    <tableColumn id="4644" name="Columna4630" dataDxfId="28369" totalsRowDxfId="11745"/>
    <tableColumn id="4645" name="Columna4631" dataDxfId="28368" totalsRowDxfId="11744"/>
    <tableColumn id="4646" name="Columna4632" dataDxfId="28367" totalsRowDxfId="11743"/>
    <tableColumn id="4647" name="Columna4633" dataDxfId="28366" totalsRowDxfId="11742"/>
    <tableColumn id="4648" name="Columna4634" dataDxfId="28365" totalsRowDxfId="11741"/>
    <tableColumn id="4649" name="Columna4635" dataDxfId="28364" totalsRowDxfId="11740"/>
    <tableColumn id="4650" name="Columna4636" dataDxfId="28363" totalsRowDxfId="11739"/>
    <tableColumn id="4651" name="Columna4637" dataDxfId="28362" totalsRowDxfId="11738"/>
    <tableColumn id="4652" name="Columna4638" dataDxfId="28361" totalsRowDxfId="11737"/>
    <tableColumn id="4653" name="Columna4639" dataDxfId="28360" totalsRowDxfId="11736"/>
    <tableColumn id="4654" name="Columna4640" dataDxfId="28359" totalsRowDxfId="11735"/>
    <tableColumn id="4655" name="Columna4641" dataDxfId="28358" totalsRowDxfId="11734"/>
    <tableColumn id="4656" name="Columna4642" dataDxfId="28357" totalsRowDxfId="11733"/>
    <tableColumn id="4657" name="Columna4643" dataDxfId="28356" totalsRowDxfId="11732"/>
    <tableColumn id="4658" name="Columna4644" dataDxfId="28355" totalsRowDxfId="11731"/>
    <tableColumn id="4659" name="Columna4645" dataDxfId="28354" totalsRowDxfId="11730"/>
    <tableColumn id="4660" name="Columna4646" dataDxfId="28353" totalsRowDxfId="11729"/>
    <tableColumn id="4661" name="Columna4647" dataDxfId="28352" totalsRowDxfId="11728"/>
    <tableColumn id="4662" name="Columna4648" dataDxfId="28351" totalsRowDxfId="11727"/>
    <tableColumn id="4663" name="Columna4649" dataDxfId="28350" totalsRowDxfId="11726"/>
    <tableColumn id="4664" name="Columna4650" dataDxfId="28349" totalsRowDxfId="11725"/>
    <tableColumn id="4665" name="Columna4651" dataDxfId="28348" totalsRowDxfId="11724"/>
    <tableColumn id="4666" name="Columna4652" dataDxfId="28347" totalsRowDxfId="11723"/>
    <tableColumn id="4667" name="Columna4653" dataDxfId="28346" totalsRowDxfId="11722"/>
    <tableColumn id="4668" name="Columna4654" dataDxfId="28345" totalsRowDxfId="11721"/>
    <tableColumn id="4669" name="Columna4655" dataDxfId="28344" totalsRowDxfId="11720"/>
    <tableColumn id="4670" name="Columna4656" dataDxfId="28343" totalsRowDxfId="11719"/>
    <tableColumn id="4671" name="Columna4657" dataDxfId="28342" totalsRowDxfId="11718"/>
    <tableColumn id="4672" name="Columna4658" dataDxfId="28341" totalsRowDxfId="11717"/>
    <tableColumn id="4673" name="Columna4659" dataDxfId="28340" totalsRowDxfId="11716"/>
    <tableColumn id="4674" name="Columna4660" dataDxfId="28339" totalsRowDxfId="11715"/>
    <tableColumn id="4675" name="Columna4661" dataDxfId="28338" totalsRowDxfId="11714"/>
    <tableColumn id="4676" name="Columna4662" dataDxfId="28337" totalsRowDxfId="11713"/>
    <tableColumn id="4677" name="Columna4663" dataDxfId="28336" totalsRowDxfId="11712"/>
    <tableColumn id="4678" name="Columna4664" dataDxfId="28335" totalsRowDxfId="11711"/>
    <tableColumn id="4679" name="Columna4665" dataDxfId="28334" totalsRowDxfId="11710"/>
    <tableColumn id="4680" name="Columna4666" dataDxfId="28333" totalsRowDxfId="11709"/>
    <tableColumn id="4681" name="Columna4667" dataDxfId="28332" totalsRowDxfId="11708"/>
    <tableColumn id="4682" name="Columna4668" dataDxfId="28331" totalsRowDxfId="11707"/>
    <tableColumn id="4683" name="Columna4669" dataDxfId="28330" totalsRowDxfId="11706"/>
    <tableColumn id="4684" name="Columna4670" dataDxfId="28329" totalsRowDxfId="11705"/>
    <tableColumn id="4685" name="Columna4671" dataDxfId="28328" totalsRowDxfId="11704"/>
    <tableColumn id="4686" name="Columna4672" dataDxfId="28327" totalsRowDxfId="11703"/>
    <tableColumn id="4687" name="Columna4673" dataDxfId="28326" totalsRowDxfId="11702"/>
    <tableColumn id="4688" name="Columna4674" dataDxfId="28325" totalsRowDxfId="11701"/>
    <tableColumn id="4689" name="Columna4675" dataDxfId="28324" totalsRowDxfId="11700"/>
    <tableColumn id="4690" name="Columna4676" dataDxfId="28323" totalsRowDxfId="11699"/>
    <tableColumn id="4691" name="Columna4677" dataDxfId="28322" totalsRowDxfId="11698"/>
    <tableColumn id="4692" name="Columna4678" dataDxfId="28321" totalsRowDxfId="11697"/>
    <tableColumn id="4693" name="Columna4679" dataDxfId="28320" totalsRowDxfId="11696"/>
    <tableColumn id="4694" name="Columna4680" dataDxfId="28319" totalsRowDxfId="11695"/>
    <tableColumn id="4695" name="Columna4681" dataDxfId="28318" totalsRowDxfId="11694"/>
    <tableColumn id="4696" name="Columna4682" dataDxfId="28317" totalsRowDxfId="11693"/>
    <tableColumn id="4697" name="Columna4683" dataDxfId="28316" totalsRowDxfId="11692"/>
    <tableColumn id="4698" name="Columna4684" dataDxfId="28315" totalsRowDxfId="11691"/>
    <tableColumn id="4699" name="Columna4685" dataDxfId="28314" totalsRowDxfId="11690"/>
    <tableColumn id="4700" name="Columna4686" dataDxfId="28313" totalsRowDxfId="11689"/>
    <tableColumn id="4701" name="Columna4687" dataDxfId="28312" totalsRowDxfId="11688"/>
    <tableColumn id="4702" name="Columna4688" dataDxfId="28311" totalsRowDxfId="11687"/>
    <tableColumn id="4703" name="Columna4689" dataDxfId="28310" totalsRowDxfId="11686"/>
    <tableColumn id="4704" name="Columna4690" dataDxfId="28309" totalsRowDxfId="11685"/>
    <tableColumn id="4705" name="Columna4691" dataDxfId="28308" totalsRowDxfId="11684"/>
    <tableColumn id="4706" name="Columna4692" dataDxfId="28307" totalsRowDxfId="11683"/>
    <tableColumn id="4707" name="Columna4693" dataDxfId="28306" totalsRowDxfId="11682"/>
    <tableColumn id="4708" name="Columna4694" dataDxfId="28305" totalsRowDxfId="11681"/>
    <tableColumn id="4709" name="Columna4695" dataDxfId="28304" totalsRowDxfId="11680"/>
    <tableColumn id="4710" name="Columna4696" dataDxfId="28303" totalsRowDxfId="11679"/>
    <tableColumn id="4711" name="Columna4697" dataDxfId="28302" totalsRowDxfId="11678"/>
    <tableColumn id="4712" name="Columna4698" dataDxfId="28301" totalsRowDxfId="11677"/>
    <tableColumn id="4713" name="Columna4699" dataDxfId="28300" totalsRowDxfId="11676"/>
    <tableColumn id="4714" name="Columna4700" dataDxfId="28299" totalsRowDxfId="11675"/>
    <tableColumn id="4715" name="Columna4701" dataDxfId="28298" totalsRowDxfId="11674"/>
    <tableColumn id="4716" name="Columna4702" dataDxfId="28297" totalsRowDxfId="11673"/>
    <tableColumn id="4717" name="Columna4703" dataDxfId="28296" totalsRowDxfId="11672"/>
    <tableColumn id="4718" name="Columna4704" dataDxfId="28295" totalsRowDxfId="11671"/>
    <tableColumn id="4719" name="Columna4705" dataDxfId="28294" totalsRowDxfId="11670"/>
    <tableColumn id="4720" name="Columna4706" dataDxfId="28293" totalsRowDxfId="11669"/>
    <tableColumn id="4721" name="Columna4707" dataDxfId="28292" totalsRowDxfId="11668"/>
    <tableColumn id="4722" name="Columna4708" dataDxfId="28291" totalsRowDxfId="11667"/>
    <tableColumn id="4723" name="Columna4709" dataDxfId="28290" totalsRowDxfId="11666"/>
    <tableColumn id="4724" name="Columna4710" dataDxfId="28289" totalsRowDxfId="11665"/>
    <tableColumn id="4725" name="Columna4711" dataDxfId="28288" totalsRowDxfId="11664"/>
    <tableColumn id="4726" name="Columna4712" dataDxfId="28287" totalsRowDxfId="11663"/>
    <tableColumn id="4727" name="Columna4713" dataDxfId="28286" totalsRowDxfId="11662"/>
    <tableColumn id="4728" name="Columna4714" dataDxfId="28285" totalsRowDxfId="11661"/>
    <tableColumn id="4729" name="Columna4715" dataDxfId="28284" totalsRowDxfId="11660"/>
    <tableColumn id="4730" name="Columna4716" dataDxfId="28283" totalsRowDxfId="11659"/>
    <tableColumn id="4731" name="Columna4717" dataDxfId="28282" totalsRowDxfId="11658"/>
    <tableColumn id="4732" name="Columna4718" dataDxfId="28281" totalsRowDxfId="11657"/>
    <tableColumn id="4733" name="Columna4719" dataDxfId="28280" totalsRowDxfId="11656"/>
    <tableColumn id="4734" name="Columna4720" dataDxfId="28279" totalsRowDxfId="11655"/>
    <tableColumn id="4735" name="Columna4721" dataDxfId="28278" totalsRowDxfId="11654"/>
    <tableColumn id="4736" name="Columna4722" dataDxfId="28277" totalsRowDxfId="11653"/>
    <tableColumn id="4737" name="Columna4723" dataDxfId="28276" totalsRowDxfId="11652"/>
    <tableColumn id="4738" name="Columna4724" dataDxfId="28275" totalsRowDxfId="11651"/>
    <tableColumn id="4739" name="Columna4725" dataDxfId="28274" totalsRowDxfId="11650"/>
    <tableColumn id="4740" name="Columna4726" dataDxfId="28273" totalsRowDxfId="11649"/>
    <tableColumn id="4741" name="Columna4727" dataDxfId="28272" totalsRowDxfId="11648"/>
    <tableColumn id="4742" name="Columna4728" dataDxfId="28271" totalsRowDxfId="11647"/>
    <tableColumn id="4743" name="Columna4729" dataDxfId="28270" totalsRowDxfId="11646"/>
    <tableColumn id="4744" name="Columna4730" dataDxfId="28269" totalsRowDxfId="11645"/>
    <tableColumn id="4745" name="Columna4731" dataDxfId="28268" totalsRowDxfId="11644"/>
    <tableColumn id="4746" name="Columna4732" dataDxfId="28267" totalsRowDxfId="11643"/>
    <tableColumn id="4747" name="Columna4733" dataDxfId="28266" totalsRowDxfId="11642"/>
    <tableColumn id="4748" name="Columna4734" dataDxfId="28265" totalsRowDxfId="11641"/>
    <tableColumn id="4749" name="Columna4735" dataDxfId="28264" totalsRowDxfId="11640"/>
    <tableColumn id="4750" name="Columna4736" dataDxfId="28263" totalsRowDxfId="11639"/>
    <tableColumn id="4751" name="Columna4737" dataDxfId="28262" totalsRowDxfId="11638"/>
    <tableColumn id="4752" name="Columna4738" dataDxfId="28261" totalsRowDxfId="11637"/>
    <tableColumn id="4753" name="Columna4739" dataDxfId="28260" totalsRowDxfId="11636"/>
    <tableColumn id="4754" name="Columna4740" dataDxfId="28259" totalsRowDxfId="11635"/>
    <tableColumn id="4755" name="Columna4741" dataDxfId="28258" totalsRowDxfId="11634"/>
    <tableColumn id="4756" name="Columna4742" dataDxfId="28257" totalsRowDxfId="11633"/>
    <tableColumn id="4757" name="Columna4743" dataDxfId="28256" totalsRowDxfId="11632"/>
    <tableColumn id="4758" name="Columna4744" dataDxfId="28255" totalsRowDxfId="11631"/>
    <tableColumn id="4759" name="Columna4745" dataDxfId="28254" totalsRowDxfId="11630"/>
    <tableColumn id="4760" name="Columna4746" dataDxfId="28253" totalsRowDxfId="11629"/>
    <tableColumn id="4761" name="Columna4747" dataDxfId="28252" totalsRowDxfId="11628"/>
    <tableColumn id="4762" name="Columna4748" dataDxfId="28251" totalsRowDxfId="11627"/>
    <tableColumn id="4763" name="Columna4749" dataDxfId="28250" totalsRowDxfId="11626"/>
    <tableColumn id="4764" name="Columna4750" dataDxfId="28249" totalsRowDxfId="11625"/>
    <tableColumn id="4765" name="Columna4751" dataDxfId="28248" totalsRowDxfId="11624"/>
    <tableColumn id="4766" name="Columna4752" dataDxfId="28247" totalsRowDxfId="11623"/>
    <tableColumn id="4767" name="Columna4753" dataDxfId="28246" totalsRowDxfId="11622"/>
    <tableColumn id="4768" name="Columna4754" dataDxfId="28245" totalsRowDxfId="11621"/>
    <tableColumn id="4769" name="Columna4755" dataDxfId="28244" totalsRowDxfId="11620"/>
    <tableColumn id="4770" name="Columna4756" dataDxfId="28243" totalsRowDxfId="11619"/>
    <tableColumn id="4771" name="Columna4757" dataDxfId="28242" totalsRowDxfId="11618"/>
    <tableColumn id="4772" name="Columna4758" dataDxfId="28241" totalsRowDxfId="11617"/>
    <tableColumn id="4773" name="Columna4759" dataDxfId="28240" totalsRowDxfId="11616"/>
    <tableColumn id="4774" name="Columna4760" dataDxfId="28239" totalsRowDxfId="11615"/>
    <tableColumn id="4775" name="Columna4761" dataDxfId="28238" totalsRowDxfId="11614"/>
    <tableColumn id="4776" name="Columna4762" dataDxfId="28237" totalsRowDxfId="11613"/>
    <tableColumn id="4777" name="Columna4763" dataDxfId="28236" totalsRowDxfId="11612"/>
    <tableColumn id="4778" name="Columna4764" dataDxfId="28235" totalsRowDxfId="11611"/>
    <tableColumn id="4779" name="Columna4765" dataDxfId="28234" totalsRowDxfId="11610"/>
    <tableColumn id="4780" name="Columna4766" dataDxfId="28233" totalsRowDxfId="11609"/>
    <tableColumn id="4781" name="Columna4767" dataDxfId="28232" totalsRowDxfId="11608"/>
    <tableColumn id="4782" name="Columna4768" dataDxfId="28231" totalsRowDxfId="11607"/>
    <tableColumn id="4783" name="Columna4769" dataDxfId="28230" totalsRowDxfId="11606"/>
    <tableColumn id="4784" name="Columna4770" dataDxfId="28229" totalsRowDxfId="11605"/>
    <tableColumn id="4785" name="Columna4771" dataDxfId="28228" totalsRowDxfId="11604"/>
    <tableColumn id="4786" name="Columna4772" dataDxfId="28227" totalsRowDxfId="11603"/>
    <tableColumn id="4787" name="Columna4773" dataDxfId="28226" totalsRowDxfId="11602"/>
    <tableColumn id="4788" name="Columna4774" dataDxfId="28225" totalsRowDxfId="11601"/>
    <tableColumn id="4789" name="Columna4775" dataDxfId="28224" totalsRowDxfId="11600"/>
    <tableColumn id="4790" name="Columna4776" dataDxfId="28223" totalsRowDxfId="11599"/>
    <tableColumn id="4791" name="Columna4777" dataDxfId="28222" totalsRowDxfId="11598"/>
    <tableColumn id="4792" name="Columna4778" dataDxfId="28221" totalsRowDxfId="11597"/>
    <tableColumn id="4793" name="Columna4779" dataDxfId="28220" totalsRowDxfId="11596"/>
    <tableColumn id="4794" name="Columna4780" dataDxfId="28219" totalsRowDxfId="11595"/>
    <tableColumn id="4795" name="Columna4781" dataDxfId="28218" totalsRowDxfId="11594"/>
    <tableColumn id="4796" name="Columna4782" dataDxfId="28217" totalsRowDxfId="11593"/>
    <tableColumn id="4797" name="Columna4783" dataDxfId="28216" totalsRowDxfId="11592"/>
    <tableColumn id="4798" name="Columna4784" dataDxfId="28215" totalsRowDxfId="11591"/>
    <tableColumn id="4799" name="Columna4785" dataDxfId="28214" totalsRowDxfId="11590"/>
    <tableColumn id="4800" name="Columna4786" dataDxfId="28213" totalsRowDxfId="11589"/>
    <tableColumn id="4801" name="Columna4787" dataDxfId="28212" totalsRowDxfId="11588"/>
    <tableColumn id="4802" name="Columna4788" dataDxfId="28211" totalsRowDxfId="11587"/>
    <tableColumn id="4803" name="Columna4789" dataDxfId="28210" totalsRowDxfId="11586"/>
    <tableColumn id="4804" name="Columna4790" dataDxfId="28209" totalsRowDxfId="11585"/>
    <tableColumn id="4805" name="Columna4791" dataDxfId="28208" totalsRowDxfId="11584"/>
    <tableColumn id="4806" name="Columna4792" dataDxfId="28207" totalsRowDxfId="11583"/>
    <tableColumn id="4807" name="Columna4793" dataDxfId="28206" totalsRowDxfId="11582"/>
    <tableColumn id="4808" name="Columna4794" dataDxfId="28205" totalsRowDxfId="11581"/>
    <tableColumn id="4809" name="Columna4795" dataDxfId="28204" totalsRowDxfId="11580"/>
    <tableColumn id="4810" name="Columna4796" dataDxfId="28203" totalsRowDxfId="11579"/>
    <tableColumn id="4811" name="Columna4797" dataDxfId="28202" totalsRowDxfId="11578"/>
    <tableColumn id="4812" name="Columna4798" dataDxfId="28201" totalsRowDxfId="11577"/>
    <tableColumn id="4813" name="Columna4799" dataDxfId="28200" totalsRowDxfId="11576"/>
    <tableColumn id="4814" name="Columna4800" dataDxfId="28199" totalsRowDxfId="11575"/>
    <tableColumn id="4815" name="Columna4801" dataDxfId="28198" totalsRowDxfId="11574"/>
    <tableColumn id="4816" name="Columna4802" dataDxfId="28197" totalsRowDxfId="11573"/>
    <tableColumn id="4817" name="Columna4803" dataDxfId="28196" totalsRowDxfId="11572"/>
    <tableColumn id="4818" name="Columna4804" dataDxfId="28195" totalsRowDxfId="11571"/>
    <tableColumn id="4819" name="Columna4805" dataDxfId="28194" totalsRowDxfId="11570"/>
    <tableColumn id="4820" name="Columna4806" dataDxfId="28193" totalsRowDxfId="11569"/>
    <tableColumn id="4821" name="Columna4807" dataDxfId="28192" totalsRowDxfId="11568"/>
    <tableColumn id="4822" name="Columna4808" dataDxfId="28191" totalsRowDxfId="11567"/>
    <tableColumn id="4823" name="Columna4809" dataDxfId="28190" totalsRowDxfId="11566"/>
    <tableColumn id="4824" name="Columna4810" dataDxfId="28189" totalsRowDxfId="11565"/>
    <tableColumn id="4825" name="Columna4811" dataDxfId="28188" totalsRowDxfId="11564"/>
    <tableColumn id="4826" name="Columna4812" dataDxfId="28187" totalsRowDxfId="11563"/>
    <tableColumn id="4827" name="Columna4813" dataDxfId="28186" totalsRowDxfId="11562"/>
    <tableColumn id="4828" name="Columna4814" dataDxfId="28185" totalsRowDxfId="11561"/>
    <tableColumn id="4829" name="Columna4815" dataDxfId="28184" totalsRowDxfId="11560"/>
    <tableColumn id="4830" name="Columna4816" dataDxfId="28183" totalsRowDxfId="11559"/>
    <tableColumn id="4831" name="Columna4817" dataDxfId="28182" totalsRowDxfId="11558"/>
    <tableColumn id="4832" name="Columna4818" dataDxfId="28181" totalsRowDxfId="11557"/>
    <tableColumn id="4833" name="Columna4819" dataDxfId="28180" totalsRowDxfId="11556"/>
    <tableColumn id="4834" name="Columna4820" dataDxfId="28179" totalsRowDxfId="11555"/>
    <tableColumn id="4835" name="Columna4821" dataDxfId="28178" totalsRowDxfId="11554"/>
    <tableColumn id="4836" name="Columna4822" dataDxfId="28177" totalsRowDxfId="11553"/>
    <tableColumn id="4837" name="Columna4823" dataDxfId="28176" totalsRowDxfId="11552"/>
    <tableColumn id="4838" name="Columna4824" dataDxfId="28175" totalsRowDxfId="11551"/>
    <tableColumn id="4839" name="Columna4825" dataDxfId="28174" totalsRowDxfId="11550"/>
    <tableColumn id="4840" name="Columna4826" dataDxfId="28173" totalsRowDxfId="11549"/>
    <tableColumn id="4841" name="Columna4827" dataDxfId="28172" totalsRowDxfId="11548"/>
    <tableColumn id="4842" name="Columna4828" dataDxfId="28171" totalsRowDxfId="11547"/>
    <tableColumn id="4843" name="Columna4829" dataDxfId="28170" totalsRowDxfId="11546"/>
    <tableColumn id="4844" name="Columna4830" dataDxfId="28169" totalsRowDxfId="11545"/>
    <tableColumn id="4845" name="Columna4831" dataDxfId="28168" totalsRowDxfId="11544"/>
    <tableColumn id="4846" name="Columna4832" dataDxfId="28167" totalsRowDxfId="11543"/>
    <tableColumn id="4847" name="Columna4833" dataDxfId="28166" totalsRowDxfId="11542"/>
    <tableColumn id="4848" name="Columna4834" dataDxfId="28165" totalsRowDxfId="11541"/>
    <tableColumn id="4849" name="Columna4835" dataDxfId="28164" totalsRowDxfId="11540"/>
    <tableColumn id="4850" name="Columna4836" dataDxfId="28163" totalsRowDxfId="11539"/>
    <tableColumn id="4851" name="Columna4837" dataDxfId="28162" totalsRowDxfId="11538"/>
    <tableColumn id="4852" name="Columna4838" dataDxfId="28161" totalsRowDxfId="11537"/>
    <tableColumn id="4853" name="Columna4839" dataDxfId="28160" totalsRowDxfId="11536"/>
    <tableColumn id="4854" name="Columna4840" dataDxfId="28159" totalsRowDxfId="11535"/>
    <tableColumn id="4855" name="Columna4841" dataDxfId="28158" totalsRowDxfId="11534"/>
    <tableColumn id="4856" name="Columna4842" dataDxfId="28157" totalsRowDxfId="11533"/>
    <tableColumn id="4857" name="Columna4843" dataDxfId="28156" totalsRowDxfId="11532"/>
    <tableColumn id="4858" name="Columna4844" dataDxfId="28155" totalsRowDxfId="11531"/>
    <tableColumn id="4859" name="Columna4845" dataDxfId="28154" totalsRowDxfId="11530"/>
    <tableColumn id="4860" name="Columna4846" dataDxfId="28153" totalsRowDxfId="11529"/>
    <tableColumn id="4861" name="Columna4847" dataDxfId="28152" totalsRowDxfId="11528"/>
    <tableColumn id="4862" name="Columna4848" dataDxfId="28151" totalsRowDxfId="11527"/>
    <tableColumn id="4863" name="Columna4849" dataDxfId="28150" totalsRowDxfId="11526"/>
    <tableColumn id="4864" name="Columna4850" dataDxfId="28149" totalsRowDxfId="11525"/>
    <tableColumn id="4865" name="Columna4851" dataDxfId="28148" totalsRowDxfId="11524"/>
    <tableColumn id="4866" name="Columna4852" dataDxfId="28147" totalsRowDxfId="11523"/>
    <tableColumn id="4867" name="Columna4853" dataDxfId="28146" totalsRowDxfId="11522"/>
    <tableColumn id="4868" name="Columna4854" dataDxfId="28145" totalsRowDxfId="11521"/>
    <tableColumn id="4869" name="Columna4855" dataDxfId="28144" totalsRowDxfId="11520"/>
    <tableColumn id="4870" name="Columna4856" dataDxfId="28143" totalsRowDxfId="11519"/>
    <tableColumn id="4871" name="Columna4857" dataDxfId="28142" totalsRowDxfId="11518"/>
    <tableColumn id="4872" name="Columna4858" dataDxfId="28141" totalsRowDxfId="11517"/>
    <tableColumn id="4873" name="Columna4859" dataDxfId="28140" totalsRowDxfId="11516"/>
    <tableColumn id="4874" name="Columna4860" dataDxfId="28139" totalsRowDxfId="11515"/>
    <tableColumn id="4875" name="Columna4861" dataDxfId="28138" totalsRowDxfId="11514"/>
    <tableColumn id="4876" name="Columna4862" dataDxfId="28137" totalsRowDxfId="11513"/>
    <tableColumn id="4877" name="Columna4863" dataDxfId="28136" totalsRowDxfId="11512"/>
    <tableColumn id="4878" name="Columna4864" dataDxfId="28135" totalsRowDxfId="11511"/>
    <tableColumn id="4879" name="Columna4865" dataDxfId="28134" totalsRowDxfId="11510"/>
    <tableColumn id="4880" name="Columna4866" dataDxfId="28133" totalsRowDxfId="11509"/>
    <tableColumn id="4881" name="Columna4867" dataDxfId="28132" totalsRowDxfId="11508"/>
    <tableColumn id="4882" name="Columna4868" dataDxfId="28131" totalsRowDxfId="11507"/>
    <tableColumn id="4883" name="Columna4869" dataDxfId="28130" totalsRowDxfId="11506"/>
    <tableColumn id="4884" name="Columna4870" dataDxfId="28129" totalsRowDxfId="11505"/>
    <tableColumn id="4885" name="Columna4871" dataDxfId="28128" totalsRowDxfId="11504"/>
    <tableColumn id="4886" name="Columna4872" dataDxfId="28127" totalsRowDxfId="11503"/>
    <tableColumn id="4887" name="Columna4873" dataDxfId="28126" totalsRowDxfId="11502"/>
    <tableColumn id="4888" name="Columna4874" dataDxfId="28125" totalsRowDxfId="11501"/>
    <tableColumn id="4889" name="Columna4875" dataDxfId="28124" totalsRowDxfId="11500"/>
    <tableColumn id="4890" name="Columna4876" dataDxfId="28123" totalsRowDxfId="11499"/>
    <tableColumn id="4891" name="Columna4877" dataDxfId="28122" totalsRowDxfId="11498"/>
    <tableColumn id="4892" name="Columna4878" dataDxfId="28121" totalsRowDxfId="11497"/>
    <tableColumn id="4893" name="Columna4879" dataDxfId="28120" totalsRowDxfId="11496"/>
    <tableColumn id="4894" name="Columna4880" dataDxfId="28119" totalsRowDxfId="11495"/>
    <tableColumn id="4895" name="Columna4881" dataDxfId="28118" totalsRowDxfId="11494"/>
    <tableColumn id="4896" name="Columna4882" dataDxfId="28117" totalsRowDxfId="11493"/>
    <tableColumn id="4897" name="Columna4883" dataDxfId="28116" totalsRowDxfId="11492"/>
    <tableColumn id="4898" name="Columna4884" dataDxfId="28115" totalsRowDxfId="11491"/>
    <tableColumn id="4899" name="Columna4885" dataDxfId="28114" totalsRowDxfId="11490"/>
    <tableColumn id="4900" name="Columna4886" dataDxfId="28113" totalsRowDxfId="11489"/>
    <tableColumn id="4901" name="Columna4887" dataDxfId="28112" totalsRowDxfId="11488"/>
    <tableColumn id="4902" name="Columna4888" dataDxfId="28111" totalsRowDxfId="11487"/>
    <tableColumn id="4903" name="Columna4889" dataDxfId="28110" totalsRowDxfId="11486"/>
    <tableColumn id="4904" name="Columna4890" dataDxfId="28109" totalsRowDxfId="11485"/>
    <tableColumn id="4905" name="Columna4891" dataDxfId="28108" totalsRowDxfId="11484"/>
    <tableColumn id="4906" name="Columna4892" dataDxfId="28107" totalsRowDxfId="11483"/>
    <tableColumn id="4907" name="Columna4893" dataDxfId="28106" totalsRowDxfId="11482"/>
    <tableColumn id="4908" name="Columna4894" dataDxfId="28105" totalsRowDxfId="11481"/>
    <tableColumn id="4909" name="Columna4895" dataDxfId="28104" totalsRowDxfId="11480"/>
    <tableColumn id="4910" name="Columna4896" dataDxfId="28103" totalsRowDxfId="11479"/>
    <tableColumn id="4911" name="Columna4897" dataDxfId="28102" totalsRowDxfId="11478"/>
    <tableColumn id="4912" name="Columna4898" dataDxfId="28101" totalsRowDxfId="11477"/>
    <tableColumn id="4913" name="Columna4899" dataDxfId="28100" totalsRowDxfId="11476"/>
    <tableColumn id="4914" name="Columna4900" dataDxfId="28099" totalsRowDxfId="11475"/>
    <tableColumn id="4915" name="Columna4901" dataDxfId="28098" totalsRowDxfId="11474"/>
    <tableColumn id="4916" name="Columna4902" dataDxfId="28097" totalsRowDxfId="11473"/>
    <tableColumn id="4917" name="Columna4903" dataDxfId="28096" totalsRowDxfId="11472"/>
    <tableColumn id="4918" name="Columna4904" dataDxfId="28095" totalsRowDxfId="11471"/>
    <tableColumn id="4919" name="Columna4905" dataDxfId="28094" totalsRowDxfId="11470"/>
    <tableColumn id="4920" name="Columna4906" dataDxfId="28093" totalsRowDxfId="11469"/>
    <tableColumn id="4921" name="Columna4907" dataDxfId="28092" totalsRowDxfId="11468"/>
    <tableColumn id="4922" name="Columna4908" dataDxfId="28091" totalsRowDxfId="11467"/>
    <tableColumn id="4923" name="Columna4909" dataDxfId="28090" totalsRowDxfId="11466"/>
    <tableColumn id="4924" name="Columna4910" dataDxfId="28089" totalsRowDxfId="11465"/>
    <tableColumn id="4925" name="Columna4911" dataDxfId="28088" totalsRowDxfId="11464"/>
    <tableColumn id="4926" name="Columna4912" dataDxfId="28087" totalsRowDxfId="11463"/>
    <tableColumn id="4927" name="Columna4913" dataDxfId="28086" totalsRowDxfId="11462"/>
    <tableColumn id="4928" name="Columna4914" dataDxfId="28085" totalsRowDxfId="11461"/>
    <tableColumn id="4929" name="Columna4915" dataDxfId="28084" totalsRowDxfId="11460"/>
    <tableColumn id="4930" name="Columna4916" dataDxfId="28083" totalsRowDxfId="11459"/>
    <tableColumn id="4931" name="Columna4917" dataDxfId="28082" totalsRowDxfId="11458"/>
    <tableColumn id="4932" name="Columna4918" dataDxfId="28081" totalsRowDxfId="11457"/>
    <tableColumn id="4933" name="Columna4919" dataDxfId="28080" totalsRowDxfId="11456"/>
    <tableColumn id="4934" name="Columna4920" dataDxfId="28079" totalsRowDxfId="11455"/>
    <tableColumn id="4935" name="Columna4921" dataDxfId="28078" totalsRowDxfId="11454"/>
    <tableColumn id="4936" name="Columna4922" dataDxfId="28077" totalsRowDxfId="11453"/>
    <tableColumn id="4937" name="Columna4923" dataDxfId="28076" totalsRowDxfId="11452"/>
    <tableColumn id="4938" name="Columna4924" dataDxfId="28075" totalsRowDxfId="11451"/>
    <tableColumn id="4939" name="Columna4925" dataDxfId="28074" totalsRowDxfId="11450"/>
    <tableColumn id="4940" name="Columna4926" dataDxfId="28073" totalsRowDxfId="11449"/>
    <tableColumn id="4941" name="Columna4927" dataDxfId="28072" totalsRowDxfId="11448"/>
    <tableColumn id="4942" name="Columna4928" dataDxfId="28071" totalsRowDxfId="11447"/>
    <tableColumn id="4943" name="Columna4929" dataDxfId="28070" totalsRowDxfId="11446"/>
    <tableColumn id="4944" name="Columna4930" dataDxfId="28069" totalsRowDxfId="11445"/>
    <tableColumn id="4945" name="Columna4931" dataDxfId="28068" totalsRowDxfId="11444"/>
    <tableColumn id="4946" name="Columna4932" dataDxfId="28067" totalsRowDxfId="11443"/>
    <tableColumn id="4947" name="Columna4933" dataDxfId="28066" totalsRowDxfId="11442"/>
    <tableColumn id="4948" name="Columna4934" dataDxfId="28065" totalsRowDxfId="11441"/>
    <tableColumn id="4949" name="Columna4935" dataDxfId="28064" totalsRowDxfId="11440"/>
    <tableColumn id="4950" name="Columna4936" dataDxfId="28063" totalsRowDxfId="11439"/>
    <tableColumn id="4951" name="Columna4937" dataDxfId="28062" totalsRowDxfId="11438"/>
    <tableColumn id="4952" name="Columna4938" dataDxfId="28061" totalsRowDxfId="11437"/>
    <tableColumn id="4953" name="Columna4939" dataDxfId="28060" totalsRowDxfId="11436"/>
    <tableColumn id="4954" name="Columna4940" dataDxfId="28059" totalsRowDxfId="11435"/>
    <tableColumn id="4955" name="Columna4941" dataDxfId="28058" totalsRowDxfId="11434"/>
    <tableColumn id="4956" name="Columna4942" dataDxfId="28057" totalsRowDxfId="11433"/>
    <tableColumn id="4957" name="Columna4943" dataDxfId="28056" totalsRowDxfId="11432"/>
    <tableColumn id="4958" name="Columna4944" dataDxfId="28055" totalsRowDxfId="11431"/>
    <tableColumn id="4959" name="Columna4945" dataDxfId="28054" totalsRowDxfId="11430"/>
    <tableColumn id="4960" name="Columna4946" dataDxfId="28053" totalsRowDxfId="11429"/>
    <tableColumn id="4961" name="Columna4947" dataDxfId="28052" totalsRowDxfId="11428"/>
    <tableColumn id="4962" name="Columna4948" dataDxfId="28051" totalsRowDxfId="11427"/>
    <tableColumn id="4963" name="Columna4949" dataDxfId="28050" totalsRowDxfId="11426"/>
    <tableColumn id="4964" name="Columna4950" dataDxfId="28049" totalsRowDxfId="11425"/>
    <tableColumn id="4965" name="Columna4951" dataDxfId="28048" totalsRowDxfId="11424"/>
    <tableColumn id="4966" name="Columna4952" dataDxfId="28047" totalsRowDxfId="11423"/>
    <tableColumn id="4967" name="Columna4953" dataDxfId="28046" totalsRowDxfId="11422"/>
    <tableColumn id="4968" name="Columna4954" dataDxfId="28045" totalsRowDxfId="11421"/>
    <tableColumn id="4969" name="Columna4955" dataDxfId="28044" totalsRowDxfId="11420"/>
    <tableColumn id="4970" name="Columna4956" dataDxfId="28043" totalsRowDxfId="11419"/>
    <tableColumn id="4971" name="Columna4957" dataDxfId="28042" totalsRowDxfId="11418"/>
    <tableColumn id="4972" name="Columna4958" dataDxfId="28041" totalsRowDxfId="11417"/>
    <tableColumn id="4973" name="Columna4959" dataDxfId="28040" totalsRowDxfId="11416"/>
    <tableColumn id="4974" name="Columna4960" dataDxfId="28039" totalsRowDxfId="11415"/>
    <tableColumn id="4975" name="Columna4961" dataDxfId="28038" totalsRowDxfId="11414"/>
    <tableColumn id="4976" name="Columna4962" dataDxfId="28037" totalsRowDxfId="11413"/>
    <tableColumn id="4977" name="Columna4963" dataDxfId="28036" totalsRowDxfId="11412"/>
    <tableColumn id="4978" name="Columna4964" dataDxfId="28035" totalsRowDxfId="11411"/>
    <tableColumn id="4979" name="Columna4965" dataDxfId="28034" totalsRowDxfId="11410"/>
    <tableColumn id="4980" name="Columna4966" dataDxfId="28033" totalsRowDxfId="11409"/>
    <tableColumn id="4981" name="Columna4967" dataDxfId="28032" totalsRowDxfId="11408"/>
    <tableColumn id="4982" name="Columna4968" dataDxfId="28031" totalsRowDxfId="11407"/>
    <tableColumn id="4983" name="Columna4969" dataDxfId="28030" totalsRowDxfId="11406"/>
    <tableColumn id="4984" name="Columna4970" dataDxfId="28029" totalsRowDxfId="11405"/>
    <tableColumn id="4985" name="Columna4971" dataDxfId="28028" totalsRowDxfId="11404"/>
    <tableColumn id="4986" name="Columna4972" dataDxfId="28027" totalsRowDxfId="11403"/>
    <tableColumn id="4987" name="Columna4973" dataDxfId="28026" totalsRowDxfId="11402"/>
    <tableColumn id="4988" name="Columna4974" dataDxfId="28025" totalsRowDxfId="11401"/>
    <tableColumn id="4989" name="Columna4975" dataDxfId="28024" totalsRowDxfId="11400"/>
    <tableColumn id="4990" name="Columna4976" dataDxfId="28023" totalsRowDxfId="11399"/>
    <tableColumn id="4991" name="Columna4977" dataDxfId="28022" totalsRowDxfId="11398"/>
    <tableColumn id="4992" name="Columna4978" dataDxfId="28021" totalsRowDxfId="11397"/>
    <tableColumn id="4993" name="Columna4979" dataDxfId="28020" totalsRowDxfId="11396"/>
    <tableColumn id="4994" name="Columna4980" dataDxfId="28019" totalsRowDxfId="11395"/>
    <tableColumn id="4995" name="Columna4981" dataDxfId="28018" totalsRowDxfId="11394"/>
    <tableColumn id="4996" name="Columna4982" dataDxfId="28017" totalsRowDxfId="11393"/>
    <tableColumn id="4997" name="Columna4983" dataDxfId="28016" totalsRowDxfId="11392"/>
    <tableColumn id="4998" name="Columna4984" dataDxfId="28015" totalsRowDxfId="11391"/>
    <tableColumn id="4999" name="Columna4985" dataDxfId="28014" totalsRowDxfId="11390"/>
    <tableColumn id="5000" name="Columna4986" dataDxfId="28013" totalsRowDxfId="11389"/>
    <tableColumn id="5001" name="Columna4987" dataDxfId="28012" totalsRowDxfId="11388"/>
    <tableColumn id="5002" name="Columna4988" dataDxfId="28011" totalsRowDxfId="11387"/>
    <tableColumn id="5003" name="Columna4989" dataDxfId="28010" totalsRowDxfId="11386"/>
    <tableColumn id="5004" name="Columna4990" dataDxfId="28009" totalsRowDxfId="11385"/>
    <tableColumn id="5005" name="Columna4991" dataDxfId="28008" totalsRowDxfId="11384"/>
    <tableColumn id="5006" name="Columna4992" dataDxfId="28007" totalsRowDxfId="11383"/>
    <tableColumn id="5007" name="Columna4993" dataDxfId="28006" totalsRowDxfId="11382"/>
    <tableColumn id="5008" name="Columna4994" dataDxfId="28005" totalsRowDxfId="11381"/>
    <tableColumn id="5009" name="Columna4995" dataDxfId="28004" totalsRowDxfId="11380"/>
    <tableColumn id="5010" name="Columna4996" dataDxfId="28003" totalsRowDxfId="11379"/>
    <tableColumn id="5011" name="Columna4997" dataDxfId="28002" totalsRowDxfId="11378"/>
    <tableColumn id="5012" name="Columna4998" dataDxfId="28001" totalsRowDxfId="11377"/>
    <tableColumn id="5013" name="Columna4999" dataDxfId="28000" totalsRowDxfId="11376"/>
    <tableColumn id="5014" name="Columna5000" dataDxfId="27999" totalsRowDxfId="11375"/>
    <tableColumn id="5015" name="Columna5001" dataDxfId="27998" totalsRowDxfId="11374"/>
    <tableColumn id="5016" name="Columna5002" dataDxfId="27997" totalsRowDxfId="11373"/>
    <tableColumn id="5017" name="Columna5003" dataDxfId="27996" totalsRowDxfId="11372"/>
    <tableColumn id="5018" name="Columna5004" dataDxfId="27995" totalsRowDxfId="11371"/>
    <tableColumn id="5019" name="Columna5005" dataDxfId="27994" totalsRowDxfId="11370"/>
    <tableColumn id="5020" name="Columna5006" dataDxfId="27993" totalsRowDxfId="11369"/>
    <tableColumn id="5021" name="Columna5007" dataDxfId="27992" totalsRowDxfId="11368"/>
    <tableColumn id="5022" name="Columna5008" dataDxfId="27991" totalsRowDxfId="11367"/>
    <tableColumn id="5023" name="Columna5009" dataDxfId="27990" totalsRowDxfId="11366"/>
    <tableColumn id="5024" name="Columna5010" dataDxfId="27989" totalsRowDxfId="11365"/>
    <tableColumn id="5025" name="Columna5011" dataDxfId="27988" totalsRowDxfId="11364"/>
    <tableColumn id="5026" name="Columna5012" dataDxfId="27987" totalsRowDxfId="11363"/>
    <tableColumn id="5027" name="Columna5013" dataDxfId="27986" totalsRowDxfId="11362"/>
    <tableColumn id="5028" name="Columna5014" dataDxfId="27985" totalsRowDxfId="11361"/>
    <tableColumn id="5029" name="Columna5015" dataDxfId="27984" totalsRowDxfId="11360"/>
    <tableColumn id="5030" name="Columna5016" dataDxfId="27983" totalsRowDxfId="11359"/>
    <tableColumn id="5031" name="Columna5017" dataDxfId="27982" totalsRowDxfId="11358"/>
    <tableColumn id="5032" name="Columna5018" dataDxfId="27981" totalsRowDxfId="11357"/>
    <tableColumn id="5033" name="Columna5019" dataDxfId="27980" totalsRowDxfId="11356"/>
    <tableColumn id="5034" name="Columna5020" dataDxfId="27979" totalsRowDxfId="11355"/>
    <tableColumn id="5035" name="Columna5021" dataDxfId="27978" totalsRowDxfId="11354"/>
    <tableColumn id="5036" name="Columna5022" dataDxfId="27977" totalsRowDxfId="11353"/>
    <tableColumn id="5037" name="Columna5023" dataDxfId="27976" totalsRowDxfId="11352"/>
    <tableColumn id="5038" name="Columna5024" dataDxfId="27975" totalsRowDxfId="11351"/>
    <tableColumn id="5039" name="Columna5025" dataDxfId="27974" totalsRowDxfId="11350"/>
    <tableColumn id="5040" name="Columna5026" dataDxfId="27973" totalsRowDxfId="11349"/>
    <tableColumn id="5041" name="Columna5027" dataDxfId="27972" totalsRowDxfId="11348"/>
    <tableColumn id="5042" name="Columna5028" dataDxfId="27971" totalsRowDxfId="11347"/>
    <tableColumn id="5043" name="Columna5029" dataDxfId="27970" totalsRowDxfId="11346"/>
    <tableColumn id="5044" name="Columna5030" dataDxfId="27969" totalsRowDxfId="11345"/>
    <tableColumn id="5045" name="Columna5031" dataDxfId="27968" totalsRowDxfId="11344"/>
    <tableColumn id="5046" name="Columna5032" dataDxfId="27967" totalsRowDxfId="11343"/>
    <tableColumn id="5047" name="Columna5033" dataDxfId="27966" totalsRowDxfId="11342"/>
    <tableColumn id="5048" name="Columna5034" dataDxfId="27965" totalsRowDxfId="11341"/>
    <tableColumn id="5049" name="Columna5035" dataDxfId="27964" totalsRowDxfId="11340"/>
    <tableColumn id="5050" name="Columna5036" dataDxfId="27963" totalsRowDxfId="11339"/>
    <tableColumn id="5051" name="Columna5037" dataDxfId="27962" totalsRowDxfId="11338"/>
    <tableColumn id="5052" name="Columna5038" dataDxfId="27961" totalsRowDxfId="11337"/>
    <tableColumn id="5053" name="Columna5039" dataDxfId="27960" totalsRowDxfId="11336"/>
    <tableColumn id="5054" name="Columna5040" dataDxfId="27959" totalsRowDxfId="11335"/>
    <tableColumn id="5055" name="Columna5041" dataDxfId="27958" totalsRowDxfId="11334"/>
    <tableColumn id="5056" name="Columna5042" dataDxfId="27957" totalsRowDxfId="11333"/>
    <tableColumn id="5057" name="Columna5043" dataDxfId="27956" totalsRowDxfId="11332"/>
    <tableColumn id="5058" name="Columna5044" dataDxfId="27955" totalsRowDxfId="11331"/>
    <tableColumn id="5059" name="Columna5045" dataDxfId="27954" totalsRowDxfId="11330"/>
    <tableColumn id="5060" name="Columna5046" dataDxfId="27953" totalsRowDxfId="11329"/>
    <tableColumn id="5061" name="Columna5047" dataDxfId="27952" totalsRowDxfId="11328"/>
    <tableColumn id="5062" name="Columna5048" dataDxfId="27951" totalsRowDxfId="11327"/>
    <tableColumn id="5063" name="Columna5049" dataDxfId="27950" totalsRowDxfId="11326"/>
    <tableColumn id="5064" name="Columna5050" dataDxfId="27949" totalsRowDxfId="11325"/>
    <tableColumn id="5065" name="Columna5051" dataDxfId="27948" totalsRowDxfId="11324"/>
    <tableColumn id="5066" name="Columna5052" dataDxfId="27947" totalsRowDxfId="11323"/>
    <tableColumn id="5067" name="Columna5053" dataDxfId="27946" totalsRowDxfId="11322"/>
    <tableColumn id="5068" name="Columna5054" dataDxfId="27945" totalsRowDxfId="11321"/>
    <tableColumn id="5069" name="Columna5055" dataDxfId="27944" totalsRowDxfId="11320"/>
    <tableColumn id="5070" name="Columna5056" dataDxfId="27943" totalsRowDxfId="11319"/>
    <tableColumn id="5071" name="Columna5057" dataDxfId="27942" totalsRowDxfId="11318"/>
    <tableColumn id="5072" name="Columna5058" dataDxfId="27941" totalsRowDxfId="11317"/>
    <tableColumn id="5073" name="Columna5059" dataDxfId="27940" totalsRowDxfId="11316"/>
    <tableColumn id="5074" name="Columna5060" dataDxfId="27939" totalsRowDxfId="11315"/>
    <tableColumn id="5075" name="Columna5061" dataDxfId="27938" totalsRowDxfId="11314"/>
    <tableColumn id="5076" name="Columna5062" dataDxfId="27937" totalsRowDxfId="11313"/>
    <tableColumn id="5077" name="Columna5063" dataDxfId="27936" totalsRowDxfId="11312"/>
    <tableColumn id="5078" name="Columna5064" dataDxfId="27935" totalsRowDxfId="11311"/>
    <tableColumn id="5079" name="Columna5065" dataDxfId="27934" totalsRowDxfId="11310"/>
    <tableColumn id="5080" name="Columna5066" dataDxfId="27933" totalsRowDxfId="11309"/>
    <tableColumn id="5081" name="Columna5067" dataDxfId="27932" totalsRowDxfId="11308"/>
    <tableColumn id="5082" name="Columna5068" dataDxfId="27931" totalsRowDxfId="11307"/>
    <tableColumn id="5083" name="Columna5069" dataDxfId="27930" totalsRowDxfId="11306"/>
    <tableColumn id="5084" name="Columna5070" dataDxfId="27929" totalsRowDxfId="11305"/>
    <tableColumn id="5085" name="Columna5071" dataDxfId="27928" totalsRowDxfId="11304"/>
    <tableColumn id="5086" name="Columna5072" dataDxfId="27927" totalsRowDxfId="11303"/>
    <tableColumn id="5087" name="Columna5073" dataDxfId="27926" totalsRowDxfId="11302"/>
    <tableColumn id="5088" name="Columna5074" dataDxfId="27925" totalsRowDxfId="11301"/>
    <tableColumn id="5089" name="Columna5075" dataDxfId="27924" totalsRowDxfId="11300"/>
    <tableColumn id="5090" name="Columna5076" dataDxfId="27923" totalsRowDxfId="11299"/>
    <tableColumn id="5091" name="Columna5077" dataDxfId="27922" totalsRowDxfId="11298"/>
    <tableColumn id="5092" name="Columna5078" dataDxfId="27921" totalsRowDxfId="11297"/>
    <tableColumn id="5093" name="Columna5079" dataDxfId="27920" totalsRowDxfId="11296"/>
    <tableColumn id="5094" name="Columna5080" dataDxfId="27919" totalsRowDxfId="11295"/>
    <tableColumn id="5095" name="Columna5081" dataDxfId="27918" totalsRowDxfId="11294"/>
    <tableColumn id="5096" name="Columna5082" dataDxfId="27917" totalsRowDxfId="11293"/>
    <tableColumn id="5097" name="Columna5083" dataDxfId="27916" totalsRowDxfId="11292"/>
    <tableColumn id="5098" name="Columna5084" dataDxfId="27915" totalsRowDxfId="11291"/>
    <tableColumn id="5099" name="Columna5085" dataDxfId="27914" totalsRowDxfId="11290"/>
    <tableColumn id="5100" name="Columna5086" dataDxfId="27913" totalsRowDxfId="11289"/>
    <tableColumn id="5101" name="Columna5087" dataDxfId="27912" totalsRowDxfId="11288"/>
    <tableColumn id="5102" name="Columna5088" dataDxfId="27911" totalsRowDxfId="11287"/>
    <tableColumn id="5103" name="Columna5089" dataDxfId="27910" totalsRowDxfId="11286"/>
    <tableColumn id="5104" name="Columna5090" dataDxfId="27909" totalsRowDxfId="11285"/>
    <tableColumn id="5105" name="Columna5091" dataDxfId="27908" totalsRowDxfId="11284"/>
    <tableColumn id="5106" name="Columna5092" dataDxfId="27907" totalsRowDxfId="11283"/>
    <tableColumn id="5107" name="Columna5093" dataDxfId="27906" totalsRowDxfId="11282"/>
    <tableColumn id="5108" name="Columna5094" dataDxfId="27905" totalsRowDxfId="11281"/>
    <tableColumn id="5109" name="Columna5095" dataDxfId="27904" totalsRowDxfId="11280"/>
    <tableColumn id="5110" name="Columna5096" dataDxfId="27903" totalsRowDxfId="11279"/>
    <tableColumn id="5111" name="Columna5097" dataDxfId="27902" totalsRowDxfId="11278"/>
    <tableColumn id="5112" name="Columna5098" dataDxfId="27901" totalsRowDxfId="11277"/>
    <tableColumn id="5113" name="Columna5099" dataDxfId="27900" totalsRowDxfId="11276"/>
    <tableColumn id="5114" name="Columna5100" dataDxfId="27899" totalsRowDxfId="11275"/>
    <tableColumn id="5115" name="Columna5101" dataDxfId="27898" totalsRowDxfId="11274"/>
    <tableColumn id="5116" name="Columna5102" dataDxfId="27897" totalsRowDxfId="11273"/>
    <tableColumn id="5117" name="Columna5103" dataDxfId="27896" totalsRowDxfId="11272"/>
    <tableColumn id="5118" name="Columna5104" dataDxfId="27895" totalsRowDxfId="11271"/>
    <tableColumn id="5119" name="Columna5105" dataDxfId="27894" totalsRowDxfId="11270"/>
    <tableColumn id="5120" name="Columna5106" dataDxfId="27893" totalsRowDxfId="11269"/>
    <tableColumn id="5121" name="Columna5107" dataDxfId="27892" totalsRowDxfId="11268"/>
    <tableColumn id="5122" name="Columna5108" dataDxfId="27891" totalsRowDxfId="11267"/>
    <tableColumn id="5123" name="Columna5109" dataDxfId="27890" totalsRowDxfId="11266"/>
    <tableColumn id="5124" name="Columna5110" dataDxfId="27889" totalsRowDxfId="11265"/>
    <tableColumn id="5125" name="Columna5111" dataDxfId="27888" totalsRowDxfId="11264"/>
    <tableColumn id="5126" name="Columna5112" dataDxfId="27887" totalsRowDxfId="11263"/>
    <tableColumn id="5127" name="Columna5113" dataDxfId="27886" totalsRowDxfId="11262"/>
    <tableColumn id="5128" name="Columna5114" dataDxfId="27885" totalsRowDxfId="11261"/>
    <tableColumn id="5129" name="Columna5115" dataDxfId="27884" totalsRowDxfId="11260"/>
    <tableColumn id="5130" name="Columna5116" dataDxfId="27883" totalsRowDxfId="11259"/>
    <tableColumn id="5131" name="Columna5117" dataDxfId="27882" totalsRowDxfId="11258"/>
    <tableColumn id="5132" name="Columna5118" dataDxfId="27881" totalsRowDxfId="11257"/>
    <tableColumn id="5133" name="Columna5119" dataDxfId="27880" totalsRowDxfId="11256"/>
    <tableColumn id="5134" name="Columna5120" dataDxfId="27879" totalsRowDxfId="11255"/>
    <tableColumn id="5135" name="Columna5121" dataDxfId="27878" totalsRowDxfId="11254"/>
    <tableColumn id="5136" name="Columna5122" dataDxfId="27877" totalsRowDxfId="11253"/>
    <tableColumn id="5137" name="Columna5123" dataDxfId="27876" totalsRowDxfId="11252"/>
    <tableColumn id="5138" name="Columna5124" dataDxfId="27875" totalsRowDxfId="11251"/>
    <tableColumn id="5139" name="Columna5125" dataDxfId="27874" totalsRowDxfId="11250"/>
    <tableColumn id="5140" name="Columna5126" dataDxfId="27873" totalsRowDxfId="11249"/>
    <tableColumn id="5141" name="Columna5127" dataDxfId="27872" totalsRowDxfId="11248"/>
    <tableColumn id="5142" name="Columna5128" dataDxfId="27871" totalsRowDxfId="11247"/>
    <tableColumn id="5143" name="Columna5129" dataDxfId="27870" totalsRowDxfId="11246"/>
    <tableColumn id="5144" name="Columna5130" dataDxfId="27869" totalsRowDxfId="11245"/>
    <tableColumn id="5145" name="Columna5131" dataDxfId="27868" totalsRowDxfId="11244"/>
    <tableColumn id="5146" name="Columna5132" dataDxfId="27867" totalsRowDxfId="11243"/>
    <tableColumn id="5147" name="Columna5133" dataDxfId="27866" totalsRowDxfId="11242"/>
    <tableColumn id="5148" name="Columna5134" dataDxfId="27865" totalsRowDxfId="11241"/>
    <tableColumn id="5149" name="Columna5135" dataDxfId="27864" totalsRowDxfId="11240"/>
    <tableColumn id="5150" name="Columna5136" dataDxfId="27863" totalsRowDxfId="11239"/>
    <tableColumn id="5151" name="Columna5137" dataDxfId="27862" totalsRowDxfId="11238"/>
    <tableColumn id="5152" name="Columna5138" dataDxfId="27861" totalsRowDxfId="11237"/>
    <tableColumn id="5153" name="Columna5139" dataDxfId="27860" totalsRowDxfId="11236"/>
    <tableColumn id="5154" name="Columna5140" dataDxfId="27859" totalsRowDxfId="11235"/>
    <tableColumn id="5155" name="Columna5141" dataDxfId="27858" totalsRowDxfId="11234"/>
    <tableColumn id="5156" name="Columna5142" dataDxfId="27857" totalsRowDxfId="11233"/>
    <tableColumn id="5157" name="Columna5143" dataDxfId="27856" totalsRowDxfId="11232"/>
    <tableColumn id="5158" name="Columna5144" dataDxfId="27855" totalsRowDxfId="11231"/>
    <tableColumn id="5159" name="Columna5145" dataDxfId="27854" totalsRowDxfId="11230"/>
    <tableColumn id="5160" name="Columna5146" dataDxfId="27853" totalsRowDxfId="11229"/>
    <tableColumn id="5161" name="Columna5147" dataDxfId="27852" totalsRowDxfId="11228"/>
    <tableColumn id="5162" name="Columna5148" dataDxfId="27851" totalsRowDxfId="11227"/>
    <tableColumn id="5163" name="Columna5149" dataDxfId="27850" totalsRowDxfId="11226"/>
    <tableColumn id="5164" name="Columna5150" dataDxfId="27849" totalsRowDxfId="11225"/>
    <tableColumn id="5165" name="Columna5151" dataDxfId="27848" totalsRowDxfId="11224"/>
    <tableColumn id="5166" name="Columna5152" dataDxfId="27847" totalsRowDxfId="11223"/>
    <tableColumn id="5167" name="Columna5153" dataDxfId="27846" totalsRowDxfId="11222"/>
    <tableColumn id="5168" name="Columna5154" dataDxfId="27845" totalsRowDxfId="11221"/>
    <tableColumn id="5169" name="Columna5155" dataDxfId="27844" totalsRowDxfId="11220"/>
    <tableColumn id="5170" name="Columna5156" dataDxfId="27843" totalsRowDxfId="11219"/>
    <tableColumn id="5171" name="Columna5157" dataDxfId="27842" totalsRowDxfId="11218"/>
    <tableColumn id="5172" name="Columna5158" dataDxfId="27841" totalsRowDxfId="11217"/>
    <tableColumn id="5173" name="Columna5159" dataDxfId="27840" totalsRowDxfId="11216"/>
    <tableColumn id="5174" name="Columna5160" dataDxfId="27839" totalsRowDxfId="11215"/>
    <tableColumn id="5175" name="Columna5161" dataDxfId="27838" totalsRowDxfId="11214"/>
    <tableColumn id="5176" name="Columna5162" dataDxfId="27837" totalsRowDxfId="11213"/>
    <tableColumn id="5177" name="Columna5163" dataDxfId="27836" totalsRowDxfId="11212"/>
    <tableColumn id="5178" name="Columna5164" dataDxfId="27835" totalsRowDxfId="11211"/>
    <tableColumn id="5179" name="Columna5165" dataDxfId="27834" totalsRowDxfId="11210"/>
    <tableColumn id="5180" name="Columna5166" dataDxfId="27833" totalsRowDxfId="11209"/>
    <tableColumn id="5181" name="Columna5167" dataDxfId="27832" totalsRowDxfId="11208"/>
    <tableColumn id="5182" name="Columna5168" dataDxfId="27831" totalsRowDxfId="11207"/>
    <tableColumn id="5183" name="Columna5169" dataDxfId="27830" totalsRowDxfId="11206"/>
    <tableColumn id="5184" name="Columna5170" dataDxfId="27829" totalsRowDxfId="11205"/>
    <tableColumn id="5185" name="Columna5171" dataDxfId="27828" totalsRowDxfId="11204"/>
    <tableColumn id="5186" name="Columna5172" dataDxfId="27827" totalsRowDxfId="11203"/>
    <tableColumn id="5187" name="Columna5173" dataDxfId="27826" totalsRowDxfId="11202"/>
    <tableColumn id="5188" name="Columna5174" dataDxfId="27825" totalsRowDxfId="11201"/>
    <tableColumn id="5189" name="Columna5175" dataDxfId="27824" totalsRowDxfId="11200"/>
    <tableColumn id="5190" name="Columna5176" dataDxfId="27823" totalsRowDxfId="11199"/>
    <tableColumn id="5191" name="Columna5177" dataDxfId="27822" totalsRowDxfId="11198"/>
    <tableColumn id="5192" name="Columna5178" dataDxfId="27821" totalsRowDxfId="11197"/>
    <tableColumn id="5193" name="Columna5179" dataDxfId="27820" totalsRowDxfId="11196"/>
    <tableColumn id="5194" name="Columna5180" dataDxfId="27819" totalsRowDxfId="11195"/>
    <tableColumn id="5195" name="Columna5181" dataDxfId="27818" totalsRowDxfId="11194"/>
    <tableColumn id="5196" name="Columna5182" dataDxfId="27817" totalsRowDxfId="11193"/>
    <tableColumn id="5197" name="Columna5183" dataDxfId="27816" totalsRowDxfId="11192"/>
    <tableColumn id="5198" name="Columna5184" dataDxfId="27815" totalsRowDxfId="11191"/>
    <tableColumn id="5199" name="Columna5185" dataDxfId="27814" totalsRowDxfId="11190"/>
    <tableColumn id="5200" name="Columna5186" dataDxfId="27813" totalsRowDxfId="11189"/>
    <tableColumn id="5201" name="Columna5187" dataDxfId="27812" totalsRowDxfId="11188"/>
    <tableColumn id="5202" name="Columna5188" dataDxfId="27811" totalsRowDxfId="11187"/>
    <tableColumn id="5203" name="Columna5189" dataDxfId="27810" totalsRowDxfId="11186"/>
    <tableColumn id="5204" name="Columna5190" dataDxfId="27809" totalsRowDxfId="11185"/>
    <tableColumn id="5205" name="Columna5191" dataDxfId="27808" totalsRowDxfId="11184"/>
    <tableColumn id="5206" name="Columna5192" dataDxfId="27807" totalsRowDxfId="11183"/>
    <tableColumn id="5207" name="Columna5193" dataDxfId="27806" totalsRowDxfId="11182"/>
    <tableColumn id="5208" name="Columna5194" dataDxfId="27805" totalsRowDxfId="11181"/>
    <tableColumn id="5209" name="Columna5195" dataDxfId="27804" totalsRowDxfId="11180"/>
    <tableColumn id="5210" name="Columna5196" dataDxfId="27803" totalsRowDxfId="11179"/>
    <tableColumn id="5211" name="Columna5197" dataDxfId="27802" totalsRowDxfId="11178"/>
    <tableColumn id="5212" name="Columna5198" dataDxfId="27801" totalsRowDxfId="11177"/>
    <tableColumn id="5213" name="Columna5199" dataDxfId="27800" totalsRowDxfId="11176"/>
    <tableColumn id="5214" name="Columna5200" dataDxfId="27799" totalsRowDxfId="11175"/>
    <tableColumn id="5215" name="Columna5201" dataDxfId="27798" totalsRowDxfId="11174"/>
    <tableColumn id="5216" name="Columna5202" dataDxfId="27797" totalsRowDxfId="11173"/>
    <tableColumn id="5217" name="Columna5203" dataDxfId="27796" totalsRowDxfId="11172"/>
    <tableColumn id="5218" name="Columna5204" dataDxfId="27795" totalsRowDxfId="11171"/>
    <tableColumn id="5219" name="Columna5205" dataDxfId="27794" totalsRowDxfId="11170"/>
    <tableColumn id="5220" name="Columna5206" dataDxfId="27793" totalsRowDxfId="11169"/>
    <tableColumn id="5221" name="Columna5207" dataDxfId="27792" totalsRowDxfId="11168"/>
    <tableColumn id="5222" name="Columna5208" dataDxfId="27791" totalsRowDxfId="11167"/>
    <tableColumn id="5223" name="Columna5209" dataDxfId="27790" totalsRowDxfId="11166"/>
    <tableColumn id="5224" name="Columna5210" dataDxfId="27789" totalsRowDxfId="11165"/>
    <tableColumn id="5225" name="Columna5211" dataDxfId="27788" totalsRowDxfId="11164"/>
    <tableColumn id="5226" name="Columna5212" dataDxfId="27787" totalsRowDxfId="11163"/>
    <tableColumn id="5227" name="Columna5213" dataDxfId="27786" totalsRowDxfId="11162"/>
    <tableColumn id="5228" name="Columna5214" dataDxfId="27785" totalsRowDxfId="11161"/>
    <tableColumn id="5229" name="Columna5215" dataDxfId="27784" totalsRowDxfId="11160"/>
    <tableColumn id="5230" name="Columna5216" dataDxfId="27783" totalsRowDxfId="11159"/>
    <tableColumn id="5231" name="Columna5217" dataDxfId="27782" totalsRowDxfId="11158"/>
    <tableColumn id="5232" name="Columna5218" dataDxfId="27781" totalsRowDxfId="11157"/>
    <tableColumn id="5233" name="Columna5219" dataDxfId="27780" totalsRowDxfId="11156"/>
    <tableColumn id="5234" name="Columna5220" dataDxfId="27779" totalsRowDxfId="11155"/>
    <tableColumn id="5235" name="Columna5221" dataDxfId="27778" totalsRowDxfId="11154"/>
    <tableColumn id="5236" name="Columna5222" dataDxfId="27777" totalsRowDxfId="11153"/>
    <tableColumn id="5237" name="Columna5223" dataDxfId="27776" totalsRowDxfId="11152"/>
    <tableColumn id="5238" name="Columna5224" dataDxfId="27775" totalsRowDxfId="11151"/>
    <tableColumn id="5239" name="Columna5225" dataDxfId="27774" totalsRowDxfId="11150"/>
    <tableColumn id="5240" name="Columna5226" dataDxfId="27773" totalsRowDxfId="11149"/>
    <tableColumn id="5241" name="Columna5227" dataDxfId="27772" totalsRowDxfId="11148"/>
    <tableColumn id="5242" name="Columna5228" dataDxfId="27771" totalsRowDxfId="11147"/>
    <tableColumn id="5243" name="Columna5229" dataDxfId="27770" totalsRowDxfId="11146"/>
    <tableColumn id="5244" name="Columna5230" dataDxfId="27769" totalsRowDxfId="11145"/>
    <tableColumn id="5245" name="Columna5231" dataDxfId="27768" totalsRowDxfId="11144"/>
    <tableColumn id="5246" name="Columna5232" dataDxfId="27767" totalsRowDxfId="11143"/>
    <tableColumn id="5247" name="Columna5233" dataDxfId="27766" totalsRowDxfId="11142"/>
    <tableColumn id="5248" name="Columna5234" dataDxfId="27765" totalsRowDxfId="11141"/>
    <tableColumn id="5249" name="Columna5235" dataDxfId="27764" totalsRowDxfId="11140"/>
    <tableColumn id="5250" name="Columna5236" dataDxfId="27763" totalsRowDxfId="11139"/>
    <tableColumn id="5251" name="Columna5237" dataDxfId="27762" totalsRowDxfId="11138"/>
    <tableColumn id="5252" name="Columna5238" dataDxfId="27761" totalsRowDxfId="11137"/>
    <tableColumn id="5253" name="Columna5239" dataDxfId="27760" totalsRowDxfId="11136"/>
    <tableColumn id="5254" name="Columna5240" dataDxfId="27759" totalsRowDxfId="11135"/>
    <tableColumn id="5255" name="Columna5241" dataDxfId="27758" totalsRowDxfId="11134"/>
    <tableColumn id="5256" name="Columna5242" dataDxfId="27757" totalsRowDxfId="11133"/>
    <tableColumn id="5257" name="Columna5243" dataDxfId="27756" totalsRowDxfId="11132"/>
    <tableColumn id="5258" name="Columna5244" dataDxfId="27755" totalsRowDxfId="11131"/>
    <tableColumn id="5259" name="Columna5245" dataDxfId="27754" totalsRowDxfId="11130"/>
    <tableColumn id="5260" name="Columna5246" dataDxfId="27753" totalsRowDxfId="11129"/>
    <tableColumn id="5261" name="Columna5247" dataDxfId="27752" totalsRowDxfId="11128"/>
    <tableColumn id="5262" name="Columna5248" dataDxfId="27751" totalsRowDxfId="11127"/>
    <tableColumn id="5263" name="Columna5249" dataDxfId="27750" totalsRowDxfId="11126"/>
    <tableColumn id="5264" name="Columna5250" dataDxfId="27749" totalsRowDxfId="11125"/>
    <tableColumn id="5265" name="Columna5251" dataDxfId="27748" totalsRowDxfId="11124"/>
    <tableColumn id="5266" name="Columna5252" dataDxfId="27747" totalsRowDxfId="11123"/>
    <tableColumn id="5267" name="Columna5253" dataDxfId="27746" totalsRowDxfId="11122"/>
    <tableColumn id="5268" name="Columna5254" dataDxfId="27745" totalsRowDxfId="11121"/>
    <tableColumn id="5269" name="Columna5255" dataDxfId="27744" totalsRowDxfId="11120"/>
    <tableColumn id="5270" name="Columna5256" dataDxfId="27743" totalsRowDxfId="11119"/>
    <tableColumn id="5271" name="Columna5257" dataDxfId="27742" totalsRowDxfId="11118"/>
    <tableColumn id="5272" name="Columna5258" dataDxfId="27741" totalsRowDxfId="11117"/>
    <tableColumn id="5273" name="Columna5259" dataDxfId="27740" totalsRowDxfId="11116"/>
    <tableColumn id="5274" name="Columna5260" dataDxfId="27739" totalsRowDxfId="11115"/>
    <tableColumn id="5275" name="Columna5261" dataDxfId="27738" totalsRowDxfId="11114"/>
    <tableColumn id="5276" name="Columna5262" dataDxfId="27737" totalsRowDxfId="11113"/>
    <tableColumn id="5277" name="Columna5263" dataDxfId="27736" totalsRowDxfId="11112"/>
    <tableColumn id="5278" name="Columna5264" dataDxfId="27735" totalsRowDxfId="11111"/>
    <tableColumn id="5279" name="Columna5265" dataDxfId="27734" totalsRowDxfId="11110"/>
    <tableColumn id="5280" name="Columna5266" dataDxfId="27733" totalsRowDxfId="11109"/>
    <tableColumn id="5281" name="Columna5267" dataDxfId="27732" totalsRowDxfId="11108"/>
    <tableColumn id="5282" name="Columna5268" dataDxfId="27731" totalsRowDxfId="11107"/>
    <tableColumn id="5283" name="Columna5269" dataDxfId="27730" totalsRowDxfId="11106"/>
    <tableColumn id="5284" name="Columna5270" dataDxfId="27729" totalsRowDxfId="11105"/>
    <tableColumn id="5285" name="Columna5271" dataDxfId="27728" totalsRowDxfId="11104"/>
    <tableColumn id="5286" name="Columna5272" dataDxfId="27727" totalsRowDxfId="11103"/>
    <tableColumn id="5287" name="Columna5273" dataDxfId="27726" totalsRowDxfId="11102"/>
    <tableColumn id="5288" name="Columna5274" dataDxfId="27725" totalsRowDxfId="11101"/>
    <tableColumn id="5289" name="Columna5275" dataDxfId="27724" totalsRowDxfId="11100"/>
    <tableColumn id="5290" name="Columna5276" dataDxfId="27723" totalsRowDxfId="11099"/>
    <tableColumn id="5291" name="Columna5277" dataDxfId="27722" totalsRowDxfId="11098"/>
    <tableColumn id="5292" name="Columna5278" dataDxfId="27721" totalsRowDxfId="11097"/>
    <tableColumn id="5293" name="Columna5279" dataDxfId="27720" totalsRowDxfId="11096"/>
    <tableColumn id="5294" name="Columna5280" dataDxfId="27719" totalsRowDxfId="11095"/>
    <tableColumn id="5295" name="Columna5281" dataDxfId="27718" totalsRowDxfId="11094"/>
    <tableColumn id="5296" name="Columna5282" dataDxfId="27717" totalsRowDxfId="11093"/>
    <tableColumn id="5297" name="Columna5283" dataDxfId="27716" totalsRowDxfId="11092"/>
    <tableColumn id="5298" name="Columna5284" dataDxfId="27715" totalsRowDxfId="11091"/>
    <tableColumn id="5299" name="Columna5285" dataDxfId="27714" totalsRowDxfId="11090"/>
    <tableColumn id="5300" name="Columna5286" dataDxfId="27713" totalsRowDxfId="11089"/>
    <tableColumn id="5301" name="Columna5287" dataDxfId="27712" totalsRowDxfId="11088"/>
    <tableColumn id="5302" name="Columna5288" dataDxfId="27711" totalsRowDxfId="11087"/>
    <tableColumn id="5303" name="Columna5289" dataDxfId="27710" totalsRowDxfId="11086"/>
    <tableColumn id="5304" name="Columna5290" dataDxfId="27709" totalsRowDxfId="11085"/>
    <tableColumn id="5305" name="Columna5291" dataDxfId="27708" totalsRowDxfId="11084"/>
    <tableColumn id="5306" name="Columna5292" dataDxfId="27707" totalsRowDxfId="11083"/>
    <tableColumn id="5307" name="Columna5293" dataDxfId="27706" totalsRowDxfId="11082"/>
    <tableColumn id="5308" name="Columna5294" dataDxfId="27705" totalsRowDxfId="11081"/>
    <tableColumn id="5309" name="Columna5295" dataDxfId="27704" totalsRowDxfId="11080"/>
    <tableColumn id="5310" name="Columna5296" dataDxfId="27703" totalsRowDxfId="11079"/>
    <tableColumn id="5311" name="Columna5297" dataDxfId="27702" totalsRowDxfId="11078"/>
    <tableColumn id="5312" name="Columna5298" dataDxfId="27701" totalsRowDxfId="11077"/>
    <tableColumn id="5313" name="Columna5299" dataDxfId="27700" totalsRowDxfId="11076"/>
    <tableColumn id="5314" name="Columna5300" dataDxfId="27699" totalsRowDxfId="11075"/>
    <tableColumn id="5315" name="Columna5301" dataDxfId="27698" totalsRowDxfId="11074"/>
    <tableColumn id="5316" name="Columna5302" dataDxfId="27697" totalsRowDxfId="11073"/>
    <tableColumn id="5317" name="Columna5303" dataDxfId="27696" totalsRowDxfId="11072"/>
    <tableColumn id="5318" name="Columna5304" dataDxfId="27695" totalsRowDxfId="11071"/>
    <tableColumn id="5319" name="Columna5305" dataDxfId="27694" totalsRowDxfId="11070"/>
    <tableColumn id="5320" name="Columna5306" dataDxfId="27693" totalsRowDxfId="11069"/>
    <tableColumn id="5321" name="Columna5307" dataDxfId="27692" totalsRowDxfId="11068"/>
    <tableColumn id="5322" name="Columna5308" dataDxfId="27691" totalsRowDxfId="11067"/>
    <tableColumn id="5323" name="Columna5309" dataDxfId="27690" totalsRowDxfId="11066"/>
    <tableColumn id="5324" name="Columna5310" dataDxfId="27689" totalsRowDxfId="11065"/>
    <tableColumn id="5325" name="Columna5311" dataDxfId="27688" totalsRowDxfId="11064"/>
    <tableColumn id="5326" name="Columna5312" dataDxfId="27687" totalsRowDxfId="11063"/>
    <tableColumn id="5327" name="Columna5313" dataDxfId="27686" totalsRowDxfId="11062"/>
    <tableColumn id="5328" name="Columna5314" dataDxfId="27685" totalsRowDxfId="11061"/>
    <tableColumn id="5329" name="Columna5315" dataDxfId="27684" totalsRowDxfId="11060"/>
    <tableColumn id="5330" name="Columna5316" dataDxfId="27683" totalsRowDxfId="11059"/>
    <tableColumn id="5331" name="Columna5317" dataDxfId="27682" totalsRowDxfId="11058"/>
    <tableColumn id="5332" name="Columna5318" dataDxfId="27681" totalsRowDxfId="11057"/>
    <tableColumn id="5333" name="Columna5319" dataDxfId="27680" totalsRowDxfId="11056"/>
    <tableColumn id="5334" name="Columna5320" dataDxfId="27679" totalsRowDxfId="11055"/>
    <tableColumn id="5335" name="Columna5321" dataDxfId="27678" totalsRowDxfId="11054"/>
    <tableColumn id="5336" name="Columna5322" dataDxfId="27677" totalsRowDxfId="11053"/>
    <tableColumn id="5337" name="Columna5323" dataDxfId="27676" totalsRowDxfId="11052"/>
    <tableColumn id="5338" name="Columna5324" dataDxfId="27675" totalsRowDxfId="11051"/>
    <tableColumn id="5339" name="Columna5325" dataDxfId="27674" totalsRowDxfId="11050"/>
    <tableColumn id="5340" name="Columna5326" dataDxfId="27673" totalsRowDxfId="11049"/>
    <tableColumn id="5341" name="Columna5327" dataDxfId="27672" totalsRowDxfId="11048"/>
    <tableColumn id="5342" name="Columna5328" dataDxfId="27671" totalsRowDxfId="11047"/>
    <tableColumn id="5343" name="Columna5329" dataDxfId="27670" totalsRowDxfId="11046"/>
    <tableColumn id="5344" name="Columna5330" dataDxfId="27669" totalsRowDxfId="11045"/>
    <tableColumn id="5345" name="Columna5331" dataDxfId="27668" totalsRowDxfId="11044"/>
    <tableColumn id="5346" name="Columna5332" dataDxfId="27667" totalsRowDxfId="11043"/>
    <tableColumn id="5347" name="Columna5333" dataDxfId="27666" totalsRowDxfId="11042"/>
    <tableColumn id="5348" name="Columna5334" dataDxfId="27665" totalsRowDxfId="11041"/>
    <tableColumn id="5349" name="Columna5335" dataDxfId="27664" totalsRowDxfId="11040"/>
    <tableColumn id="5350" name="Columna5336" dataDxfId="27663" totalsRowDxfId="11039"/>
    <tableColumn id="5351" name="Columna5337" dataDxfId="27662" totalsRowDxfId="11038"/>
    <tableColumn id="5352" name="Columna5338" dataDxfId="27661" totalsRowDxfId="11037"/>
    <tableColumn id="5353" name="Columna5339" dataDxfId="27660" totalsRowDxfId="11036"/>
    <tableColumn id="5354" name="Columna5340" dataDxfId="27659" totalsRowDxfId="11035"/>
    <tableColumn id="5355" name="Columna5341" dataDxfId="27658" totalsRowDxfId="11034"/>
    <tableColumn id="5356" name="Columna5342" dataDxfId="27657" totalsRowDxfId="11033"/>
    <tableColumn id="5357" name="Columna5343" dataDxfId="27656" totalsRowDxfId="11032"/>
    <tableColumn id="5358" name="Columna5344" dataDxfId="27655" totalsRowDxfId="11031"/>
    <tableColumn id="5359" name="Columna5345" dataDxfId="27654" totalsRowDxfId="11030"/>
    <tableColumn id="5360" name="Columna5346" dataDxfId="27653" totalsRowDxfId="11029"/>
    <tableColumn id="5361" name="Columna5347" dataDxfId="27652" totalsRowDxfId="11028"/>
    <tableColumn id="5362" name="Columna5348" dataDxfId="27651" totalsRowDxfId="11027"/>
    <tableColumn id="5363" name="Columna5349" dataDxfId="27650" totalsRowDxfId="11026"/>
    <tableColumn id="5364" name="Columna5350" dataDxfId="27649" totalsRowDxfId="11025"/>
    <tableColumn id="5365" name="Columna5351" dataDxfId="27648" totalsRowDxfId="11024"/>
    <tableColumn id="5366" name="Columna5352" dataDxfId="27647" totalsRowDxfId="11023"/>
    <tableColumn id="5367" name="Columna5353" dataDxfId="27646" totalsRowDxfId="11022"/>
    <tableColumn id="5368" name="Columna5354" dataDxfId="27645" totalsRowDxfId="11021"/>
    <tableColumn id="5369" name="Columna5355" dataDxfId="27644" totalsRowDxfId="11020"/>
    <tableColumn id="5370" name="Columna5356" dataDxfId="27643" totalsRowDxfId="11019"/>
    <tableColumn id="5371" name="Columna5357" dataDxfId="27642" totalsRowDxfId="11018"/>
    <tableColumn id="5372" name="Columna5358" dataDxfId="27641" totalsRowDxfId="11017"/>
    <tableColumn id="5373" name="Columna5359" dataDxfId="27640" totalsRowDxfId="11016"/>
    <tableColumn id="5374" name="Columna5360" dataDxfId="27639" totalsRowDxfId="11015"/>
    <tableColumn id="5375" name="Columna5361" dataDxfId="27638" totalsRowDxfId="11014"/>
    <tableColumn id="5376" name="Columna5362" dataDxfId="27637" totalsRowDxfId="11013"/>
    <tableColumn id="5377" name="Columna5363" dataDxfId="27636" totalsRowDxfId="11012"/>
    <tableColumn id="5378" name="Columna5364" dataDxfId="27635" totalsRowDxfId="11011"/>
    <tableColumn id="5379" name="Columna5365" dataDxfId="27634" totalsRowDxfId="11010"/>
    <tableColumn id="5380" name="Columna5366" dataDxfId="27633" totalsRowDxfId="11009"/>
    <tableColumn id="5381" name="Columna5367" dataDxfId="27632" totalsRowDxfId="11008"/>
    <tableColumn id="5382" name="Columna5368" dataDxfId="27631" totalsRowDxfId="11007"/>
    <tableColumn id="5383" name="Columna5369" dataDxfId="27630" totalsRowDxfId="11006"/>
    <tableColumn id="5384" name="Columna5370" dataDxfId="27629" totalsRowDxfId="11005"/>
    <tableColumn id="5385" name="Columna5371" dataDxfId="27628" totalsRowDxfId="11004"/>
    <tableColumn id="5386" name="Columna5372" dataDxfId="27627" totalsRowDxfId="11003"/>
    <tableColumn id="5387" name="Columna5373" dataDxfId="27626" totalsRowDxfId="11002"/>
    <tableColumn id="5388" name="Columna5374" dataDxfId="27625" totalsRowDxfId="11001"/>
    <tableColumn id="5389" name="Columna5375" dataDxfId="27624" totalsRowDxfId="11000"/>
    <tableColumn id="5390" name="Columna5376" dataDxfId="27623" totalsRowDxfId="10999"/>
    <tableColumn id="5391" name="Columna5377" dataDxfId="27622" totalsRowDxfId="10998"/>
    <tableColumn id="5392" name="Columna5378" dataDxfId="27621" totalsRowDxfId="10997"/>
    <tableColumn id="5393" name="Columna5379" dataDxfId="27620" totalsRowDxfId="10996"/>
    <tableColumn id="5394" name="Columna5380" dataDxfId="27619" totalsRowDxfId="10995"/>
    <tableColumn id="5395" name="Columna5381" dataDxfId="27618" totalsRowDxfId="10994"/>
    <tableColumn id="5396" name="Columna5382" dataDxfId="27617" totalsRowDxfId="10993"/>
    <tableColumn id="5397" name="Columna5383" dataDxfId="27616" totalsRowDxfId="10992"/>
    <tableColumn id="5398" name="Columna5384" dataDxfId="27615" totalsRowDxfId="10991"/>
    <tableColumn id="5399" name="Columna5385" dataDxfId="27614" totalsRowDxfId="10990"/>
    <tableColumn id="5400" name="Columna5386" dataDxfId="27613" totalsRowDxfId="10989"/>
    <tableColumn id="5401" name="Columna5387" dataDxfId="27612" totalsRowDxfId="10988"/>
    <tableColumn id="5402" name="Columna5388" dataDxfId="27611" totalsRowDxfId="10987"/>
    <tableColumn id="5403" name="Columna5389" dataDxfId="27610" totalsRowDxfId="10986"/>
    <tableColumn id="5404" name="Columna5390" dataDxfId="27609" totalsRowDxfId="10985"/>
    <tableColumn id="5405" name="Columna5391" dataDxfId="27608" totalsRowDxfId="10984"/>
    <tableColumn id="5406" name="Columna5392" dataDxfId="27607" totalsRowDxfId="10983"/>
    <tableColumn id="5407" name="Columna5393" dataDxfId="27606" totalsRowDxfId="10982"/>
    <tableColumn id="5408" name="Columna5394" dataDxfId="27605" totalsRowDxfId="10981"/>
    <tableColumn id="5409" name="Columna5395" dataDxfId="27604" totalsRowDxfId="10980"/>
    <tableColumn id="5410" name="Columna5396" dataDxfId="27603" totalsRowDxfId="10979"/>
    <tableColumn id="5411" name="Columna5397" dataDxfId="27602" totalsRowDxfId="10978"/>
    <tableColumn id="5412" name="Columna5398" dataDxfId="27601" totalsRowDxfId="10977"/>
    <tableColumn id="5413" name="Columna5399" dataDxfId="27600" totalsRowDxfId="10976"/>
    <tableColumn id="5414" name="Columna5400" dataDxfId="27599" totalsRowDxfId="10975"/>
    <tableColumn id="5415" name="Columna5401" dataDxfId="27598" totalsRowDxfId="10974"/>
    <tableColumn id="5416" name="Columna5402" dataDxfId="27597" totalsRowDxfId="10973"/>
    <tableColumn id="5417" name="Columna5403" dataDxfId="27596" totalsRowDxfId="10972"/>
    <tableColumn id="5418" name="Columna5404" dataDxfId="27595" totalsRowDxfId="10971"/>
    <tableColumn id="5419" name="Columna5405" dataDxfId="27594" totalsRowDxfId="10970"/>
    <tableColumn id="5420" name="Columna5406" dataDxfId="27593" totalsRowDxfId="10969"/>
    <tableColumn id="5421" name="Columna5407" dataDxfId="27592" totalsRowDxfId="10968"/>
    <tableColumn id="5422" name="Columna5408" dataDxfId="27591" totalsRowDxfId="10967"/>
    <tableColumn id="5423" name="Columna5409" dataDxfId="27590" totalsRowDxfId="10966"/>
    <tableColumn id="5424" name="Columna5410" dataDxfId="27589" totalsRowDxfId="10965"/>
    <tableColumn id="5425" name="Columna5411" dataDxfId="27588" totalsRowDxfId="10964"/>
    <tableColumn id="5426" name="Columna5412" dataDxfId="27587" totalsRowDxfId="10963"/>
    <tableColumn id="5427" name="Columna5413" dataDxfId="27586" totalsRowDxfId="10962"/>
    <tableColumn id="5428" name="Columna5414" dataDxfId="27585" totalsRowDxfId="10961"/>
    <tableColumn id="5429" name="Columna5415" dataDxfId="27584" totalsRowDxfId="10960"/>
    <tableColumn id="5430" name="Columna5416" dataDxfId="27583" totalsRowDxfId="10959"/>
    <tableColumn id="5431" name="Columna5417" dataDxfId="27582" totalsRowDxfId="10958"/>
    <tableColumn id="5432" name="Columna5418" dataDxfId="27581" totalsRowDxfId="10957"/>
    <tableColumn id="5433" name="Columna5419" dataDxfId="27580" totalsRowDxfId="10956"/>
    <tableColumn id="5434" name="Columna5420" dataDxfId="27579" totalsRowDxfId="10955"/>
    <tableColumn id="5435" name="Columna5421" dataDxfId="27578" totalsRowDxfId="10954"/>
    <tableColumn id="5436" name="Columna5422" dataDxfId="27577" totalsRowDxfId="10953"/>
    <tableColumn id="5437" name="Columna5423" dataDxfId="27576" totalsRowDxfId="10952"/>
    <tableColumn id="5438" name="Columna5424" dataDxfId="27575" totalsRowDxfId="10951"/>
    <tableColumn id="5439" name="Columna5425" dataDxfId="27574" totalsRowDxfId="10950"/>
    <tableColumn id="5440" name="Columna5426" dataDxfId="27573" totalsRowDxfId="10949"/>
    <tableColumn id="5441" name="Columna5427" dataDxfId="27572" totalsRowDxfId="10948"/>
    <tableColumn id="5442" name="Columna5428" dataDxfId="27571" totalsRowDxfId="10947"/>
    <tableColumn id="5443" name="Columna5429" dataDxfId="27570" totalsRowDxfId="10946"/>
    <tableColumn id="5444" name="Columna5430" dataDxfId="27569" totalsRowDxfId="10945"/>
    <tableColumn id="5445" name="Columna5431" dataDxfId="27568" totalsRowDxfId="10944"/>
    <tableColumn id="5446" name="Columna5432" dataDxfId="27567" totalsRowDxfId="10943"/>
    <tableColumn id="5447" name="Columna5433" dataDxfId="27566" totalsRowDxfId="10942"/>
    <tableColumn id="5448" name="Columna5434" dataDxfId="27565" totalsRowDxfId="10941"/>
    <tableColumn id="5449" name="Columna5435" dataDxfId="27564" totalsRowDxfId="10940"/>
    <tableColumn id="5450" name="Columna5436" dataDxfId="27563" totalsRowDxfId="10939"/>
    <tableColumn id="5451" name="Columna5437" dataDxfId="27562" totalsRowDxfId="10938"/>
    <tableColumn id="5452" name="Columna5438" dataDxfId="27561" totalsRowDxfId="10937"/>
    <tableColumn id="5453" name="Columna5439" dataDxfId="27560" totalsRowDxfId="10936"/>
    <tableColumn id="5454" name="Columna5440" dataDxfId="27559" totalsRowDxfId="10935"/>
    <tableColumn id="5455" name="Columna5441" dataDxfId="27558" totalsRowDxfId="10934"/>
    <tableColumn id="5456" name="Columna5442" dataDxfId="27557" totalsRowDxfId="10933"/>
    <tableColumn id="5457" name="Columna5443" dataDxfId="27556" totalsRowDxfId="10932"/>
    <tableColumn id="5458" name="Columna5444" dataDxfId="27555" totalsRowDxfId="10931"/>
    <tableColumn id="5459" name="Columna5445" dataDxfId="27554" totalsRowDxfId="10930"/>
    <tableColumn id="5460" name="Columna5446" dataDxfId="27553" totalsRowDxfId="10929"/>
    <tableColumn id="5461" name="Columna5447" dataDxfId="27552" totalsRowDxfId="10928"/>
    <tableColumn id="5462" name="Columna5448" dataDxfId="27551" totalsRowDxfId="10927"/>
    <tableColumn id="5463" name="Columna5449" dataDxfId="27550" totalsRowDxfId="10926"/>
    <tableColumn id="5464" name="Columna5450" dataDxfId="27549" totalsRowDxfId="10925"/>
    <tableColumn id="5465" name="Columna5451" dataDxfId="27548" totalsRowDxfId="10924"/>
    <tableColumn id="5466" name="Columna5452" dataDxfId="27547" totalsRowDxfId="10923"/>
    <tableColumn id="5467" name="Columna5453" dataDxfId="27546" totalsRowDxfId="10922"/>
    <tableColumn id="5468" name="Columna5454" dataDxfId="27545" totalsRowDxfId="10921"/>
    <tableColumn id="5469" name="Columna5455" dataDxfId="27544" totalsRowDxfId="10920"/>
    <tableColumn id="5470" name="Columna5456" dataDxfId="27543" totalsRowDxfId="10919"/>
    <tableColumn id="5471" name="Columna5457" dataDxfId="27542" totalsRowDxfId="10918"/>
    <tableColumn id="5472" name="Columna5458" dataDxfId="27541" totalsRowDxfId="10917"/>
    <tableColumn id="5473" name="Columna5459" dataDxfId="27540" totalsRowDxfId="10916"/>
    <tableColumn id="5474" name="Columna5460" dataDxfId="27539" totalsRowDxfId="10915"/>
    <tableColumn id="5475" name="Columna5461" dataDxfId="27538" totalsRowDxfId="10914"/>
    <tableColumn id="5476" name="Columna5462" dataDxfId="27537" totalsRowDxfId="10913"/>
    <tableColumn id="5477" name="Columna5463" dataDxfId="27536" totalsRowDxfId="10912"/>
    <tableColumn id="5478" name="Columna5464" dataDxfId="27535" totalsRowDxfId="10911"/>
    <tableColumn id="5479" name="Columna5465" dataDxfId="27534" totalsRowDxfId="10910"/>
    <tableColumn id="5480" name="Columna5466" dataDxfId="27533" totalsRowDxfId="10909"/>
    <tableColumn id="5481" name="Columna5467" dataDxfId="27532" totalsRowDxfId="10908"/>
    <tableColumn id="5482" name="Columna5468" dataDxfId="27531" totalsRowDxfId="10907"/>
    <tableColumn id="5483" name="Columna5469" dataDxfId="27530" totalsRowDxfId="10906"/>
    <tableColumn id="5484" name="Columna5470" dataDxfId="27529" totalsRowDxfId="10905"/>
    <tableColumn id="5485" name="Columna5471" dataDxfId="27528" totalsRowDxfId="10904"/>
    <tableColumn id="5486" name="Columna5472" dataDxfId="27527" totalsRowDxfId="10903"/>
    <tableColumn id="5487" name="Columna5473" dataDxfId="27526" totalsRowDxfId="10902"/>
    <tableColumn id="5488" name="Columna5474" dataDxfId="27525" totalsRowDxfId="10901"/>
    <tableColumn id="5489" name="Columna5475" dataDxfId="27524" totalsRowDxfId="10900"/>
    <tableColumn id="5490" name="Columna5476" dataDxfId="27523" totalsRowDxfId="10899"/>
    <tableColumn id="5491" name="Columna5477" dataDxfId="27522" totalsRowDxfId="10898"/>
    <tableColumn id="5492" name="Columna5478" dataDxfId="27521" totalsRowDxfId="10897"/>
    <tableColumn id="5493" name="Columna5479" dataDxfId="27520" totalsRowDxfId="10896"/>
    <tableColumn id="5494" name="Columna5480" dataDxfId="27519" totalsRowDxfId="10895"/>
    <tableColumn id="5495" name="Columna5481" dataDxfId="27518" totalsRowDxfId="10894"/>
    <tableColumn id="5496" name="Columna5482" dataDxfId="27517" totalsRowDxfId="10893"/>
    <tableColumn id="5497" name="Columna5483" dataDxfId="27516" totalsRowDxfId="10892"/>
    <tableColumn id="5498" name="Columna5484" dataDxfId="27515" totalsRowDxfId="10891"/>
    <tableColumn id="5499" name="Columna5485" dataDxfId="27514" totalsRowDxfId="10890"/>
    <tableColumn id="5500" name="Columna5486" dataDxfId="27513" totalsRowDxfId="10889"/>
    <tableColumn id="5501" name="Columna5487" dataDxfId="27512" totalsRowDxfId="10888"/>
    <tableColumn id="5502" name="Columna5488" dataDxfId="27511" totalsRowDxfId="10887"/>
    <tableColumn id="5503" name="Columna5489" dataDxfId="27510" totalsRowDxfId="10886"/>
    <tableColumn id="5504" name="Columna5490" dataDxfId="27509" totalsRowDxfId="10885"/>
    <tableColumn id="5505" name="Columna5491" dataDxfId="27508" totalsRowDxfId="10884"/>
    <tableColumn id="5506" name="Columna5492" dataDxfId="27507" totalsRowDxfId="10883"/>
    <tableColumn id="5507" name="Columna5493" dataDxfId="27506" totalsRowDxfId="10882"/>
    <tableColumn id="5508" name="Columna5494" dataDxfId="27505" totalsRowDxfId="10881"/>
    <tableColumn id="5509" name="Columna5495" dataDxfId="27504" totalsRowDxfId="10880"/>
    <tableColumn id="5510" name="Columna5496" dataDxfId="27503" totalsRowDxfId="10879"/>
    <tableColumn id="5511" name="Columna5497" dataDxfId="27502" totalsRowDxfId="10878"/>
    <tableColumn id="5512" name="Columna5498" dataDxfId="27501" totalsRowDxfId="10877"/>
    <tableColumn id="5513" name="Columna5499" dataDxfId="27500" totalsRowDxfId="10876"/>
    <tableColumn id="5514" name="Columna5500" dataDxfId="27499" totalsRowDxfId="10875"/>
    <tableColumn id="5515" name="Columna5501" dataDxfId="27498" totalsRowDxfId="10874"/>
    <tableColumn id="5516" name="Columna5502" dataDxfId="27497" totalsRowDxfId="10873"/>
    <tableColumn id="5517" name="Columna5503" dataDxfId="27496" totalsRowDxfId="10872"/>
    <tableColumn id="5518" name="Columna5504" dataDxfId="27495" totalsRowDxfId="10871"/>
    <tableColumn id="5519" name="Columna5505" dataDxfId="27494" totalsRowDxfId="10870"/>
    <tableColumn id="5520" name="Columna5506" dataDxfId="27493" totalsRowDxfId="10869"/>
    <tableColumn id="5521" name="Columna5507" dataDxfId="27492" totalsRowDxfId="10868"/>
    <tableColumn id="5522" name="Columna5508" dataDxfId="27491" totalsRowDxfId="10867"/>
    <tableColumn id="5523" name="Columna5509" dataDxfId="27490" totalsRowDxfId="10866"/>
    <tableColumn id="5524" name="Columna5510" dataDxfId="27489" totalsRowDxfId="10865"/>
    <tableColumn id="5525" name="Columna5511" dataDxfId="27488" totalsRowDxfId="10864"/>
    <tableColumn id="5526" name="Columna5512" dataDxfId="27487" totalsRowDxfId="10863"/>
    <tableColumn id="5527" name="Columna5513" dataDxfId="27486" totalsRowDxfId="10862"/>
    <tableColumn id="5528" name="Columna5514" dataDxfId="27485" totalsRowDxfId="10861"/>
    <tableColumn id="5529" name="Columna5515" dataDxfId="27484" totalsRowDxfId="10860"/>
    <tableColumn id="5530" name="Columna5516" dataDxfId="27483" totalsRowDxfId="10859"/>
    <tableColumn id="5531" name="Columna5517" dataDxfId="27482" totalsRowDxfId="10858"/>
    <tableColumn id="5532" name="Columna5518" dataDxfId="27481" totalsRowDxfId="10857"/>
    <tableColumn id="5533" name="Columna5519" dataDxfId="27480" totalsRowDxfId="10856"/>
    <tableColumn id="5534" name="Columna5520" dataDxfId="27479" totalsRowDxfId="10855"/>
    <tableColumn id="5535" name="Columna5521" dataDxfId="27478" totalsRowDxfId="10854"/>
    <tableColumn id="5536" name="Columna5522" dataDxfId="27477" totalsRowDxfId="10853"/>
    <tableColumn id="5537" name="Columna5523" dataDxfId="27476" totalsRowDxfId="10852"/>
    <tableColumn id="5538" name="Columna5524" dataDxfId="27475" totalsRowDxfId="10851"/>
    <tableColumn id="5539" name="Columna5525" dataDxfId="27474" totalsRowDxfId="10850"/>
    <tableColumn id="5540" name="Columna5526" dataDxfId="27473" totalsRowDxfId="10849"/>
    <tableColumn id="5541" name="Columna5527" dataDxfId="27472" totalsRowDxfId="10848"/>
    <tableColumn id="5542" name="Columna5528" dataDxfId="27471" totalsRowDxfId="10847"/>
    <tableColumn id="5543" name="Columna5529" dataDxfId="27470" totalsRowDxfId="10846"/>
    <tableColumn id="5544" name="Columna5530" dataDxfId="27469" totalsRowDxfId="10845"/>
    <tableColumn id="5545" name="Columna5531" dataDxfId="27468" totalsRowDxfId="10844"/>
    <tableColumn id="5546" name="Columna5532" dataDxfId="27467" totalsRowDxfId="10843"/>
    <tableColumn id="5547" name="Columna5533" dataDxfId="27466" totalsRowDxfId="10842"/>
    <tableColumn id="5548" name="Columna5534" dataDxfId="27465" totalsRowDxfId="10841"/>
    <tableColumn id="5549" name="Columna5535" dataDxfId="27464" totalsRowDxfId="10840"/>
    <tableColumn id="5550" name="Columna5536" dataDxfId="27463" totalsRowDxfId="10839"/>
    <tableColumn id="5551" name="Columna5537" dataDxfId="27462" totalsRowDxfId="10838"/>
    <tableColumn id="5552" name="Columna5538" dataDxfId="27461" totalsRowDxfId="10837"/>
    <tableColumn id="5553" name="Columna5539" dataDxfId="27460" totalsRowDxfId="10836"/>
    <tableColumn id="5554" name="Columna5540" dataDxfId="27459" totalsRowDxfId="10835"/>
    <tableColumn id="5555" name="Columna5541" dataDxfId="27458" totalsRowDxfId="10834"/>
    <tableColumn id="5556" name="Columna5542" dataDxfId="27457" totalsRowDxfId="10833"/>
    <tableColumn id="5557" name="Columna5543" dataDxfId="27456" totalsRowDxfId="10832"/>
    <tableColumn id="5558" name="Columna5544" dataDxfId="27455" totalsRowDxfId="10831"/>
    <tableColumn id="5559" name="Columna5545" dataDxfId="27454" totalsRowDxfId="10830"/>
    <tableColumn id="5560" name="Columna5546" dataDxfId="27453" totalsRowDxfId="10829"/>
    <tableColumn id="5561" name="Columna5547" dataDxfId="27452" totalsRowDxfId="10828"/>
    <tableColumn id="5562" name="Columna5548" dataDxfId="27451" totalsRowDxfId="10827"/>
    <tableColumn id="5563" name="Columna5549" dataDxfId="27450" totalsRowDxfId="10826"/>
    <tableColumn id="5564" name="Columna5550" dataDxfId="27449" totalsRowDxfId="10825"/>
    <tableColumn id="5565" name="Columna5551" dataDxfId="27448" totalsRowDxfId="10824"/>
    <tableColumn id="5566" name="Columna5552" dataDxfId="27447" totalsRowDxfId="10823"/>
    <tableColumn id="5567" name="Columna5553" dataDxfId="27446" totalsRowDxfId="10822"/>
    <tableColumn id="5568" name="Columna5554" dataDxfId="27445" totalsRowDxfId="10821"/>
    <tableColumn id="5569" name="Columna5555" dataDxfId="27444" totalsRowDxfId="10820"/>
    <tableColumn id="5570" name="Columna5556" dataDxfId="27443" totalsRowDxfId="10819"/>
    <tableColumn id="5571" name="Columna5557" dataDxfId="27442" totalsRowDxfId="10818"/>
    <tableColumn id="5572" name="Columna5558" dataDxfId="27441" totalsRowDxfId="10817"/>
    <tableColumn id="5573" name="Columna5559" dataDxfId="27440" totalsRowDxfId="10816"/>
    <tableColumn id="5574" name="Columna5560" dataDxfId="27439" totalsRowDxfId="10815"/>
    <tableColumn id="5575" name="Columna5561" dataDxfId="27438" totalsRowDxfId="10814"/>
    <tableColumn id="5576" name="Columna5562" dataDxfId="27437" totalsRowDxfId="10813"/>
    <tableColumn id="5577" name="Columna5563" dataDxfId="27436" totalsRowDxfId="10812"/>
    <tableColumn id="5578" name="Columna5564" dataDxfId="27435" totalsRowDxfId="10811"/>
    <tableColumn id="5579" name="Columna5565" dataDxfId="27434" totalsRowDxfId="10810"/>
    <tableColumn id="5580" name="Columna5566" dataDxfId="27433" totalsRowDxfId="10809"/>
    <tableColumn id="5581" name="Columna5567" dataDxfId="27432" totalsRowDxfId="10808"/>
    <tableColumn id="5582" name="Columna5568" dataDxfId="27431" totalsRowDxfId="10807"/>
    <tableColumn id="5583" name="Columna5569" dataDxfId="27430" totalsRowDxfId="10806"/>
    <tableColumn id="5584" name="Columna5570" dataDxfId="27429" totalsRowDxfId="10805"/>
    <tableColumn id="5585" name="Columna5571" dataDxfId="27428" totalsRowDxfId="10804"/>
    <tableColumn id="5586" name="Columna5572" dataDxfId="27427" totalsRowDxfId="10803"/>
    <tableColumn id="5587" name="Columna5573" dataDxfId="27426" totalsRowDxfId="10802"/>
    <tableColumn id="5588" name="Columna5574" dataDxfId="27425" totalsRowDxfId="10801"/>
    <tableColumn id="5589" name="Columna5575" dataDxfId="27424" totalsRowDxfId="10800"/>
    <tableColumn id="5590" name="Columna5576" dataDxfId="27423" totalsRowDxfId="10799"/>
    <tableColumn id="5591" name="Columna5577" dataDxfId="27422" totalsRowDxfId="10798"/>
    <tableColumn id="5592" name="Columna5578" dataDxfId="27421" totalsRowDxfId="10797"/>
    <tableColumn id="5593" name="Columna5579" dataDxfId="27420" totalsRowDxfId="10796"/>
    <tableColumn id="5594" name="Columna5580" dataDxfId="27419" totalsRowDxfId="10795"/>
    <tableColumn id="5595" name="Columna5581" dataDxfId="27418" totalsRowDxfId="10794"/>
    <tableColumn id="5596" name="Columna5582" dataDxfId="27417" totalsRowDxfId="10793"/>
    <tableColumn id="5597" name="Columna5583" dataDxfId="27416" totalsRowDxfId="10792"/>
    <tableColumn id="5598" name="Columna5584" dataDxfId="27415" totalsRowDxfId="10791"/>
    <tableColumn id="5599" name="Columna5585" dataDxfId="27414" totalsRowDxfId="10790"/>
    <tableColumn id="5600" name="Columna5586" dataDxfId="27413" totalsRowDxfId="10789"/>
    <tableColumn id="5601" name="Columna5587" dataDxfId="27412" totalsRowDxfId="10788"/>
    <tableColumn id="5602" name="Columna5588" dataDxfId="27411" totalsRowDxfId="10787"/>
    <tableColumn id="5603" name="Columna5589" dataDxfId="27410" totalsRowDxfId="10786"/>
    <tableColumn id="5604" name="Columna5590" dataDxfId="27409" totalsRowDxfId="10785"/>
    <tableColumn id="5605" name="Columna5591" dataDxfId="27408" totalsRowDxfId="10784"/>
    <tableColumn id="5606" name="Columna5592" dataDxfId="27407" totalsRowDxfId="10783"/>
    <tableColumn id="5607" name="Columna5593" dataDxfId="27406" totalsRowDxfId="10782"/>
    <tableColumn id="5608" name="Columna5594" dataDxfId="27405" totalsRowDxfId="10781"/>
    <tableColumn id="5609" name="Columna5595" dataDxfId="27404" totalsRowDxfId="10780"/>
    <tableColumn id="5610" name="Columna5596" dataDxfId="27403" totalsRowDxfId="10779"/>
    <tableColumn id="5611" name="Columna5597" dataDxfId="27402" totalsRowDxfId="10778"/>
    <tableColumn id="5612" name="Columna5598" dataDxfId="27401" totalsRowDxfId="10777"/>
    <tableColumn id="5613" name="Columna5599" dataDxfId="27400" totalsRowDxfId="10776"/>
    <tableColumn id="5614" name="Columna5600" dataDxfId="27399" totalsRowDxfId="10775"/>
    <tableColumn id="5615" name="Columna5601" dataDxfId="27398" totalsRowDxfId="10774"/>
    <tableColumn id="5616" name="Columna5602" dataDxfId="27397" totalsRowDxfId="10773"/>
    <tableColumn id="5617" name="Columna5603" dataDxfId="27396" totalsRowDxfId="10772"/>
    <tableColumn id="5618" name="Columna5604" dataDxfId="27395" totalsRowDxfId="10771"/>
    <tableColumn id="5619" name="Columna5605" dataDxfId="27394" totalsRowDxfId="10770"/>
    <tableColumn id="5620" name="Columna5606" dataDxfId="27393" totalsRowDxfId="10769"/>
    <tableColumn id="5621" name="Columna5607" dataDxfId="27392" totalsRowDxfId="10768"/>
    <tableColumn id="5622" name="Columna5608" dataDxfId="27391" totalsRowDxfId="10767"/>
    <tableColumn id="5623" name="Columna5609" dataDxfId="27390" totalsRowDxfId="10766"/>
    <tableColumn id="5624" name="Columna5610" dataDxfId="27389" totalsRowDxfId="10765"/>
    <tableColumn id="5625" name="Columna5611" dataDxfId="27388" totalsRowDxfId="10764"/>
    <tableColumn id="5626" name="Columna5612" dataDxfId="27387" totalsRowDxfId="10763"/>
    <tableColumn id="5627" name="Columna5613" dataDxfId="27386" totalsRowDxfId="10762"/>
    <tableColumn id="5628" name="Columna5614" dataDxfId="27385" totalsRowDxfId="10761"/>
    <tableColumn id="5629" name="Columna5615" dataDxfId="27384" totalsRowDxfId="10760"/>
    <tableColumn id="5630" name="Columna5616" dataDxfId="27383" totalsRowDxfId="10759"/>
    <tableColumn id="5631" name="Columna5617" dataDxfId="27382" totalsRowDxfId="10758"/>
    <tableColumn id="5632" name="Columna5618" dataDxfId="27381" totalsRowDxfId="10757"/>
    <tableColumn id="5633" name="Columna5619" dataDxfId="27380" totalsRowDxfId="10756"/>
    <tableColumn id="5634" name="Columna5620" dataDxfId="27379" totalsRowDxfId="10755"/>
    <tableColumn id="5635" name="Columna5621" dataDxfId="27378" totalsRowDxfId="10754"/>
    <tableColumn id="5636" name="Columna5622" dataDxfId="27377" totalsRowDxfId="10753"/>
    <tableColumn id="5637" name="Columna5623" dataDxfId="27376" totalsRowDxfId="10752"/>
    <tableColumn id="5638" name="Columna5624" dataDxfId="27375" totalsRowDxfId="10751"/>
    <tableColumn id="5639" name="Columna5625" dataDxfId="27374" totalsRowDxfId="10750"/>
    <tableColumn id="5640" name="Columna5626" dataDxfId="27373" totalsRowDxfId="10749"/>
    <tableColumn id="5641" name="Columna5627" dataDxfId="27372" totalsRowDxfId="10748"/>
    <tableColumn id="5642" name="Columna5628" dataDxfId="27371" totalsRowDxfId="10747"/>
    <tableColumn id="5643" name="Columna5629" dataDxfId="27370" totalsRowDxfId="10746"/>
    <tableColumn id="5644" name="Columna5630" dataDxfId="27369" totalsRowDxfId="10745"/>
    <tableColumn id="5645" name="Columna5631" dataDxfId="27368" totalsRowDxfId="10744"/>
    <tableColumn id="5646" name="Columna5632" dataDxfId="27367" totalsRowDxfId="10743"/>
    <tableColumn id="5647" name="Columna5633" dataDxfId="27366" totalsRowDxfId="10742"/>
    <tableColumn id="5648" name="Columna5634" dataDxfId="27365" totalsRowDxfId="10741"/>
    <tableColumn id="5649" name="Columna5635" dataDxfId="27364" totalsRowDxfId="10740"/>
    <tableColumn id="5650" name="Columna5636" dataDxfId="27363" totalsRowDxfId="10739"/>
    <tableColumn id="5651" name="Columna5637" dataDxfId="27362" totalsRowDxfId="10738"/>
    <tableColumn id="5652" name="Columna5638" dataDxfId="27361" totalsRowDxfId="10737"/>
    <tableColumn id="5653" name="Columna5639" dataDxfId="27360" totalsRowDxfId="10736"/>
    <tableColumn id="5654" name="Columna5640" dataDxfId="27359" totalsRowDxfId="10735"/>
    <tableColumn id="5655" name="Columna5641" dataDxfId="27358" totalsRowDxfId="10734"/>
    <tableColumn id="5656" name="Columna5642" dataDxfId="27357" totalsRowDxfId="10733"/>
    <tableColumn id="5657" name="Columna5643" dataDxfId="27356" totalsRowDxfId="10732"/>
    <tableColumn id="5658" name="Columna5644" dataDxfId="27355" totalsRowDxfId="10731"/>
    <tableColumn id="5659" name="Columna5645" dataDxfId="27354" totalsRowDxfId="10730"/>
    <tableColumn id="5660" name="Columna5646" dataDxfId="27353" totalsRowDxfId="10729"/>
    <tableColumn id="5661" name="Columna5647" dataDxfId="27352" totalsRowDxfId="10728"/>
    <tableColumn id="5662" name="Columna5648" dataDxfId="27351" totalsRowDxfId="10727"/>
    <tableColumn id="5663" name="Columna5649" dataDxfId="27350" totalsRowDxfId="10726"/>
    <tableColumn id="5664" name="Columna5650" dataDxfId="27349" totalsRowDxfId="10725"/>
    <tableColumn id="5665" name="Columna5651" dataDxfId="27348" totalsRowDxfId="10724"/>
    <tableColumn id="5666" name="Columna5652" dataDxfId="27347" totalsRowDxfId="10723"/>
    <tableColumn id="5667" name="Columna5653" dataDxfId="27346" totalsRowDxfId="10722"/>
    <tableColumn id="5668" name="Columna5654" dataDxfId="27345" totalsRowDxfId="10721"/>
    <tableColumn id="5669" name="Columna5655" dataDxfId="27344" totalsRowDxfId="10720"/>
    <tableColumn id="5670" name="Columna5656" dataDxfId="27343" totalsRowDxfId="10719"/>
    <tableColumn id="5671" name="Columna5657" dataDxfId="27342" totalsRowDxfId="10718"/>
    <tableColumn id="5672" name="Columna5658" dataDxfId="27341" totalsRowDxfId="10717"/>
    <tableColumn id="5673" name="Columna5659" dataDxfId="27340" totalsRowDxfId="10716"/>
    <tableColumn id="5674" name="Columna5660" dataDxfId="27339" totalsRowDxfId="10715"/>
    <tableColumn id="5675" name="Columna5661" dataDxfId="27338" totalsRowDxfId="10714"/>
    <tableColumn id="5676" name="Columna5662" dataDxfId="27337" totalsRowDxfId="10713"/>
    <tableColumn id="5677" name="Columna5663" dataDxfId="27336" totalsRowDxfId="10712"/>
    <tableColumn id="5678" name="Columna5664" dataDxfId="27335" totalsRowDxfId="10711"/>
    <tableColumn id="5679" name="Columna5665" dataDxfId="27334" totalsRowDxfId="10710"/>
    <tableColumn id="5680" name="Columna5666" dataDxfId="27333" totalsRowDxfId="10709"/>
    <tableColumn id="5681" name="Columna5667" dataDxfId="27332" totalsRowDxfId="10708"/>
    <tableColumn id="5682" name="Columna5668" dataDxfId="27331" totalsRowDxfId="10707"/>
    <tableColumn id="5683" name="Columna5669" dataDxfId="27330" totalsRowDxfId="10706"/>
    <tableColumn id="5684" name="Columna5670" dataDxfId="27329" totalsRowDxfId="10705"/>
    <tableColumn id="5685" name="Columna5671" dataDxfId="27328" totalsRowDxfId="10704"/>
    <tableColumn id="5686" name="Columna5672" dataDxfId="27327" totalsRowDxfId="10703"/>
    <tableColumn id="5687" name="Columna5673" dataDxfId="27326" totalsRowDxfId="10702"/>
    <tableColumn id="5688" name="Columna5674" dataDxfId="27325" totalsRowDxfId="10701"/>
    <tableColumn id="5689" name="Columna5675" dataDxfId="27324" totalsRowDxfId="10700"/>
    <tableColumn id="5690" name="Columna5676" dataDxfId="27323" totalsRowDxfId="10699"/>
    <tableColumn id="5691" name="Columna5677" dataDxfId="27322" totalsRowDxfId="10698"/>
    <tableColumn id="5692" name="Columna5678" dataDxfId="27321" totalsRowDxfId="10697"/>
    <tableColumn id="5693" name="Columna5679" dataDxfId="27320" totalsRowDxfId="10696"/>
    <tableColumn id="5694" name="Columna5680" dataDxfId="27319" totalsRowDxfId="10695"/>
    <tableColumn id="5695" name="Columna5681" dataDxfId="27318" totalsRowDxfId="10694"/>
    <tableColumn id="5696" name="Columna5682" dataDxfId="27317" totalsRowDxfId="10693"/>
    <tableColumn id="5697" name="Columna5683" dataDxfId="27316" totalsRowDxfId="10692"/>
    <tableColumn id="5698" name="Columna5684" dataDxfId="27315" totalsRowDxfId="10691"/>
    <tableColumn id="5699" name="Columna5685" dataDxfId="27314" totalsRowDxfId="10690"/>
    <tableColumn id="5700" name="Columna5686" dataDxfId="27313" totalsRowDxfId="10689"/>
    <tableColumn id="5701" name="Columna5687" dataDxfId="27312" totalsRowDxfId="10688"/>
    <tableColumn id="5702" name="Columna5688" dataDxfId="27311" totalsRowDxfId="10687"/>
    <tableColumn id="5703" name="Columna5689" dataDxfId="27310" totalsRowDxfId="10686"/>
    <tableColumn id="5704" name="Columna5690" dataDxfId="27309" totalsRowDxfId="10685"/>
    <tableColumn id="5705" name="Columna5691" dataDxfId="27308" totalsRowDxfId="10684"/>
    <tableColumn id="5706" name="Columna5692" dataDxfId="27307" totalsRowDxfId="10683"/>
    <tableColumn id="5707" name="Columna5693" dataDxfId="27306" totalsRowDxfId="10682"/>
    <tableColumn id="5708" name="Columna5694" dataDxfId="27305" totalsRowDxfId="10681"/>
    <tableColumn id="5709" name="Columna5695" dataDxfId="27304" totalsRowDxfId="10680"/>
    <tableColumn id="5710" name="Columna5696" dataDxfId="27303" totalsRowDxfId="10679"/>
    <tableColumn id="5711" name="Columna5697" dataDxfId="27302" totalsRowDxfId="10678"/>
    <tableColumn id="5712" name="Columna5698" dataDxfId="27301" totalsRowDxfId="10677"/>
    <tableColumn id="5713" name="Columna5699" dataDxfId="27300" totalsRowDxfId="10676"/>
    <tableColumn id="5714" name="Columna5700" dataDxfId="27299" totalsRowDxfId="10675"/>
    <tableColumn id="5715" name="Columna5701" dataDxfId="27298" totalsRowDxfId="10674"/>
    <tableColumn id="5716" name="Columna5702" dataDxfId="27297" totalsRowDxfId="10673"/>
    <tableColumn id="5717" name="Columna5703" dataDxfId="27296" totalsRowDxfId="10672"/>
    <tableColumn id="5718" name="Columna5704" dataDxfId="27295" totalsRowDxfId="10671"/>
    <tableColumn id="5719" name="Columna5705" dataDxfId="27294" totalsRowDxfId="10670"/>
    <tableColumn id="5720" name="Columna5706" dataDxfId="27293" totalsRowDxfId="10669"/>
    <tableColumn id="5721" name="Columna5707" dataDxfId="27292" totalsRowDxfId="10668"/>
    <tableColumn id="5722" name="Columna5708" dataDxfId="27291" totalsRowDxfId="10667"/>
    <tableColumn id="5723" name="Columna5709" dataDxfId="27290" totalsRowDxfId="10666"/>
    <tableColumn id="5724" name="Columna5710" dataDxfId="27289" totalsRowDxfId="10665"/>
    <tableColumn id="5725" name="Columna5711" dataDxfId="27288" totalsRowDxfId="10664"/>
    <tableColumn id="5726" name="Columna5712" dataDxfId="27287" totalsRowDxfId="10663"/>
    <tableColumn id="5727" name="Columna5713" dataDxfId="27286" totalsRowDxfId="10662"/>
    <tableColumn id="5728" name="Columna5714" dataDxfId="27285" totalsRowDxfId="10661"/>
    <tableColumn id="5729" name="Columna5715" dataDxfId="27284" totalsRowDxfId="10660"/>
    <tableColumn id="5730" name="Columna5716" dataDxfId="27283" totalsRowDxfId="10659"/>
    <tableColumn id="5731" name="Columna5717" dataDxfId="27282" totalsRowDxfId="10658"/>
    <tableColumn id="5732" name="Columna5718" dataDxfId="27281" totalsRowDxfId="10657"/>
    <tableColumn id="5733" name="Columna5719" dataDxfId="27280" totalsRowDxfId="10656"/>
    <tableColumn id="5734" name="Columna5720" dataDxfId="27279" totalsRowDxfId="10655"/>
    <tableColumn id="5735" name="Columna5721" dataDxfId="27278" totalsRowDxfId="10654"/>
    <tableColumn id="5736" name="Columna5722" dataDxfId="27277" totalsRowDxfId="10653"/>
    <tableColumn id="5737" name="Columna5723" dataDxfId="27276" totalsRowDxfId="10652"/>
    <tableColumn id="5738" name="Columna5724" dataDxfId="27275" totalsRowDxfId="10651"/>
    <tableColumn id="5739" name="Columna5725" dataDxfId="27274" totalsRowDxfId="10650"/>
    <tableColumn id="5740" name="Columna5726" dataDxfId="27273" totalsRowDxfId="10649"/>
    <tableColumn id="5741" name="Columna5727" dataDxfId="27272" totalsRowDxfId="10648"/>
    <tableColumn id="5742" name="Columna5728" dataDxfId="27271" totalsRowDxfId="10647"/>
    <tableColumn id="5743" name="Columna5729" dataDxfId="27270" totalsRowDxfId="10646"/>
    <tableColumn id="5744" name="Columna5730" dataDxfId="27269" totalsRowDxfId="10645"/>
    <tableColumn id="5745" name="Columna5731" dataDxfId="27268" totalsRowDxfId="10644"/>
    <tableColumn id="5746" name="Columna5732" dataDxfId="27267" totalsRowDxfId="10643"/>
    <tableColumn id="5747" name="Columna5733" dataDxfId="27266" totalsRowDxfId="10642"/>
    <tableColumn id="5748" name="Columna5734" dataDxfId="27265" totalsRowDxfId="10641"/>
    <tableColumn id="5749" name="Columna5735" dataDxfId="27264" totalsRowDxfId="10640"/>
    <tableColumn id="5750" name="Columna5736" dataDxfId="27263" totalsRowDxfId="10639"/>
    <tableColumn id="5751" name="Columna5737" dataDxfId="27262" totalsRowDxfId="10638"/>
    <tableColumn id="5752" name="Columna5738" dataDxfId="27261" totalsRowDxfId="10637"/>
    <tableColumn id="5753" name="Columna5739" dataDxfId="27260" totalsRowDxfId="10636"/>
    <tableColumn id="5754" name="Columna5740" dataDxfId="27259" totalsRowDxfId="10635"/>
    <tableColumn id="5755" name="Columna5741" dataDxfId="27258" totalsRowDxfId="10634"/>
    <tableColumn id="5756" name="Columna5742" dataDxfId="27257" totalsRowDxfId="10633"/>
    <tableColumn id="5757" name="Columna5743" dataDxfId="27256" totalsRowDxfId="10632"/>
    <tableColumn id="5758" name="Columna5744" dataDxfId="27255" totalsRowDxfId="10631"/>
    <tableColumn id="5759" name="Columna5745" dataDxfId="27254" totalsRowDxfId="10630"/>
    <tableColumn id="5760" name="Columna5746" dataDxfId="27253" totalsRowDxfId="10629"/>
    <tableColumn id="5761" name="Columna5747" dataDxfId="27252" totalsRowDxfId="10628"/>
    <tableColumn id="5762" name="Columna5748" dataDxfId="27251" totalsRowDxfId="10627"/>
    <tableColumn id="5763" name="Columna5749" dataDxfId="27250" totalsRowDxfId="10626"/>
    <tableColumn id="5764" name="Columna5750" dataDxfId="27249" totalsRowDxfId="10625"/>
    <tableColumn id="5765" name="Columna5751" dataDxfId="27248" totalsRowDxfId="10624"/>
    <tableColumn id="5766" name="Columna5752" dataDxfId="27247" totalsRowDxfId="10623"/>
    <tableColumn id="5767" name="Columna5753" dataDxfId="27246" totalsRowDxfId="10622"/>
    <tableColumn id="5768" name="Columna5754" dataDxfId="27245" totalsRowDxfId="10621"/>
    <tableColumn id="5769" name="Columna5755" dataDxfId="27244" totalsRowDxfId="10620"/>
    <tableColumn id="5770" name="Columna5756" dataDxfId="27243" totalsRowDxfId="10619"/>
    <tableColumn id="5771" name="Columna5757" dataDxfId="27242" totalsRowDxfId="10618"/>
    <tableColumn id="5772" name="Columna5758" dataDxfId="27241" totalsRowDxfId="10617"/>
    <tableColumn id="5773" name="Columna5759" dataDxfId="27240" totalsRowDxfId="10616"/>
    <tableColumn id="5774" name="Columna5760" dataDxfId="27239" totalsRowDxfId="10615"/>
    <tableColumn id="5775" name="Columna5761" dataDxfId="27238" totalsRowDxfId="10614"/>
    <tableColumn id="5776" name="Columna5762" dataDxfId="27237" totalsRowDxfId="10613"/>
    <tableColumn id="5777" name="Columna5763" dataDxfId="27236" totalsRowDxfId="10612"/>
    <tableColumn id="5778" name="Columna5764" dataDxfId="27235" totalsRowDxfId="10611"/>
    <tableColumn id="5779" name="Columna5765" dataDxfId="27234" totalsRowDxfId="10610"/>
    <tableColumn id="5780" name="Columna5766" dataDxfId="27233" totalsRowDxfId="10609"/>
    <tableColumn id="5781" name="Columna5767" dataDxfId="27232" totalsRowDxfId="10608"/>
    <tableColumn id="5782" name="Columna5768" dataDxfId="27231" totalsRowDxfId="10607"/>
    <tableColumn id="5783" name="Columna5769" dataDxfId="27230" totalsRowDxfId="10606"/>
    <tableColumn id="5784" name="Columna5770" dataDxfId="27229" totalsRowDxfId="10605"/>
    <tableColumn id="5785" name="Columna5771" dataDxfId="27228" totalsRowDxfId="10604"/>
    <tableColumn id="5786" name="Columna5772" dataDxfId="27227" totalsRowDxfId="10603"/>
    <tableColumn id="5787" name="Columna5773" dataDxfId="27226" totalsRowDxfId="10602"/>
    <tableColumn id="5788" name="Columna5774" dataDxfId="27225" totalsRowDxfId="10601"/>
    <tableColumn id="5789" name="Columna5775" dataDxfId="27224" totalsRowDxfId="10600"/>
    <tableColumn id="5790" name="Columna5776" dataDxfId="27223" totalsRowDxfId="10599"/>
    <tableColumn id="5791" name="Columna5777" dataDxfId="27222" totalsRowDxfId="10598"/>
    <tableColumn id="5792" name="Columna5778" dataDxfId="27221" totalsRowDxfId="10597"/>
    <tableColumn id="5793" name="Columna5779" dataDxfId="27220" totalsRowDxfId="10596"/>
    <tableColumn id="5794" name="Columna5780" dataDxfId="27219" totalsRowDxfId="10595"/>
    <tableColumn id="5795" name="Columna5781" dataDxfId="27218" totalsRowDxfId="10594"/>
    <tableColumn id="5796" name="Columna5782" dataDxfId="27217" totalsRowDxfId="10593"/>
    <tableColumn id="5797" name="Columna5783" dataDxfId="27216" totalsRowDxfId="10592"/>
    <tableColumn id="5798" name="Columna5784" dataDxfId="27215" totalsRowDxfId="10591"/>
    <tableColumn id="5799" name="Columna5785" dataDxfId="27214" totalsRowDxfId="10590"/>
    <tableColumn id="5800" name="Columna5786" dataDxfId="27213" totalsRowDxfId="10589"/>
    <tableColumn id="5801" name="Columna5787" dataDxfId="27212" totalsRowDxfId="10588"/>
    <tableColumn id="5802" name="Columna5788" dataDxfId="27211" totalsRowDxfId="10587"/>
    <tableColumn id="5803" name="Columna5789" dataDxfId="27210" totalsRowDxfId="10586"/>
    <tableColumn id="5804" name="Columna5790" dataDxfId="27209" totalsRowDxfId="10585"/>
    <tableColumn id="5805" name="Columna5791" dataDxfId="27208" totalsRowDxfId="10584"/>
    <tableColumn id="5806" name="Columna5792" dataDxfId="27207" totalsRowDxfId="10583"/>
    <tableColumn id="5807" name="Columna5793" dataDxfId="27206" totalsRowDxfId="10582"/>
    <tableColumn id="5808" name="Columna5794" dataDxfId="27205" totalsRowDxfId="10581"/>
    <tableColumn id="5809" name="Columna5795" dataDxfId="27204" totalsRowDxfId="10580"/>
    <tableColumn id="5810" name="Columna5796" dataDxfId="27203" totalsRowDxfId="10579"/>
    <tableColumn id="5811" name="Columna5797" dataDxfId="27202" totalsRowDxfId="10578"/>
    <tableColumn id="5812" name="Columna5798" dataDxfId="27201" totalsRowDxfId="10577"/>
    <tableColumn id="5813" name="Columna5799" dataDxfId="27200" totalsRowDxfId="10576"/>
    <tableColumn id="5814" name="Columna5800" dataDxfId="27199" totalsRowDxfId="10575"/>
    <tableColumn id="5815" name="Columna5801" dataDxfId="27198" totalsRowDxfId="10574"/>
    <tableColumn id="5816" name="Columna5802" dataDxfId="27197" totalsRowDxfId="10573"/>
    <tableColumn id="5817" name="Columna5803" dataDxfId="27196" totalsRowDxfId="10572"/>
    <tableColumn id="5818" name="Columna5804" dataDxfId="27195" totalsRowDxfId="10571"/>
    <tableColumn id="5819" name="Columna5805" dataDxfId="27194" totalsRowDxfId="10570"/>
    <tableColumn id="5820" name="Columna5806" dataDxfId="27193" totalsRowDxfId="10569"/>
    <tableColumn id="5821" name="Columna5807" dataDxfId="27192" totalsRowDxfId="10568"/>
    <tableColumn id="5822" name="Columna5808" dataDxfId="27191" totalsRowDxfId="10567"/>
    <tableColumn id="5823" name="Columna5809" dataDxfId="27190" totalsRowDxfId="10566"/>
    <tableColumn id="5824" name="Columna5810" dataDxfId="27189" totalsRowDxfId="10565"/>
    <tableColumn id="5825" name="Columna5811" dataDxfId="27188" totalsRowDxfId="10564"/>
    <tableColumn id="5826" name="Columna5812" dataDxfId="27187" totalsRowDxfId="10563"/>
    <tableColumn id="5827" name="Columna5813" dataDxfId="27186" totalsRowDxfId="10562"/>
    <tableColumn id="5828" name="Columna5814" dataDxfId="27185" totalsRowDxfId="10561"/>
    <tableColumn id="5829" name="Columna5815" dataDxfId="27184" totalsRowDxfId="10560"/>
    <tableColumn id="5830" name="Columna5816" dataDxfId="27183" totalsRowDxfId="10559"/>
    <tableColumn id="5831" name="Columna5817" dataDxfId="27182" totalsRowDxfId="10558"/>
    <tableColumn id="5832" name="Columna5818" dataDxfId="27181" totalsRowDxfId="10557"/>
    <tableColumn id="5833" name="Columna5819" dataDxfId="27180" totalsRowDxfId="10556"/>
    <tableColumn id="5834" name="Columna5820" dataDxfId="27179" totalsRowDxfId="10555"/>
    <tableColumn id="5835" name="Columna5821" dataDxfId="27178" totalsRowDxfId="10554"/>
    <tableColumn id="5836" name="Columna5822" dataDxfId="27177" totalsRowDxfId="10553"/>
    <tableColumn id="5837" name="Columna5823" dataDxfId="27176" totalsRowDxfId="10552"/>
    <tableColumn id="5838" name="Columna5824" dataDxfId="27175" totalsRowDxfId="10551"/>
    <tableColumn id="5839" name="Columna5825" dataDxfId="27174" totalsRowDxfId="10550"/>
    <tableColumn id="5840" name="Columna5826" dataDxfId="27173" totalsRowDxfId="10549"/>
    <tableColumn id="5841" name="Columna5827" dataDxfId="27172" totalsRowDxfId="10548"/>
    <tableColumn id="5842" name="Columna5828" dataDxfId="27171" totalsRowDxfId="10547"/>
    <tableColumn id="5843" name="Columna5829" dataDxfId="27170" totalsRowDxfId="10546"/>
    <tableColumn id="5844" name="Columna5830" dataDxfId="27169" totalsRowDxfId="10545"/>
    <tableColumn id="5845" name="Columna5831" dataDxfId="27168" totalsRowDxfId="10544"/>
    <tableColumn id="5846" name="Columna5832" dataDxfId="27167" totalsRowDxfId="10543"/>
    <tableColumn id="5847" name="Columna5833" dataDxfId="27166" totalsRowDxfId="10542"/>
    <tableColumn id="5848" name="Columna5834" dataDxfId="27165" totalsRowDxfId="10541"/>
    <tableColumn id="5849" name="Columna5835" dataDxfId="27164" totalsRowDxfId="10540"/>
    <tableColumn id="5850" name="Columna5836" dataDxfId="27163" totalsRowDxfId="10539"/>
    <tableColumn id="5851" name="Columna5837" dataDxfId="27162" totalsRowDxfId="10538"/>
    <tableColumn id="5852" name="Columna5838" dataDxfId="27161" totalsRowDxfId="10537"/>
    <tableColumn id="5853" name="Columna5839" dataDxfId="27160" totalsRowDxfId="10536"/>
    <tableColumn id="5854" name="Columna5840" dataDxfId="27159" totalsRowDxfId="10535"/>
    <tableColumn id="5855" name="Columna5841" dataDxfId="27158" totalsRowDxfId="10534"/>
    <tableColumn id="5856" name="Columna5842" dataDxfId="27157" totalsRowDxfId="10533"/>
    <tableColumn id="5857" name="Columna5843" dataDxfId="27156" totalsRowDxfId="10532"/>
    <tableColumn id="5858" name="Columna5844" dataDxfId="27155" totalsRowDxfId="10531"/>
    <tableColumn id="5859" name="Columna5845" dataDxfId="27154" totalsRowDxfId="10530"/>
    <tableColumn id="5860" name="Columna5846" dataDxfId="27153" totalsRowDxfId="10529"/>
    <tableColumn id="5861" name="Columna5847" dataDxfId="27152" totalsRowDxfId="10528"/>
    <tableColumn id="5862" name="Columna5848" dataDxfId="27151" totalsRowDxfId="10527"/>
    <tableColumn id="5863" name="Columna5849" dataDxfId="27150" totalsRowDxfId="10526"/>
    <tableColumn id="5864" name="Columna5850" dataDxfId="27149" totalsRowDxfId="10525"/>
    <tableColumn id="5865" name="Columna5851" dataDxfId="27148" totalsRowDxfId="10524"/>
    <tableColumn id="5866" name="Columna5852" dataDxfId="27147" totalsRowDxfId="10523"/>
    <tableColumn id="5867" name="Columna5853" dataDxfId="27146" totalsRowDxfId="10522"/>
    <tableColumn id="5868" name="Columna5854" dataDxfId="27145" totalsRowDxfId="10521"/>
    <tableColumn id="5869" name="Columna5855" dataDxfId="27144" totalsRowDxfId="10520"/>
    <tableColumn id="5870" name="Columna5856" dataDxfId="27143" totalsRowDxfId="10519"/>
    <tableColumn id="5871" name="Columna5857" dataDxfId="27142" totalsRowDxfId="10518"/>
    <tableColumn id="5872" name="Columna5858" dataDxfId="27141" totalsRowDxfId="10517"/>
    <tableColumn id="5873" name="Columna5859" dataDxfId="27140" totalsRowDxfId="10516"/>
    <tableColumn id="5874" name="Columna5860" dataDxfId="27139" totalsRowDxfId="10515"/>
    <tableColumn id="5875" name="Columna5861" dataDxfId="27138" totalsRowDxfId="10514"/>
    <tableColumn id="5876" name="Columna5862" dataDxfId="27137" totalsRowDxfId="10513"/>
    <tableColumn id="5877" name="Columna5863" dataDxfId="27136" totalsRowDxfId="10512"/>
    <tableColumn id="5878" name="Columna5864" dataDxfId="27135" totalsRowDxfId="10511"/>
    <tableColumn id="5879" name="Columna5865" dataDxfId="27134" totalsRowDxfId="10510"/>
    <tableColumn id="5880" name="Columna5866" dataDxfId="27133" totalsRowDxfId="10509"/>
    <tableColumn id="5881" name="Columna5867" dataDxfId="27132" totalsRowDxfId="10508"/>
    <tableColumn id="5882" name="Columna5868" dataDxfId="27131" totalsRowDxfId="10507"/>
    <tableColumn id="5883" name="Columna5869" dataDxfId="27130" totalsRowDxfId="10506"/>
    <tableColumn id="5884" name="Columna5870" dataDxfId="27129" totalsRowDxfId="10505"/>
    <tableColumn id="5885" name="Columna5871" dataDxfId="27128" totalsRowDxfId="10504"/>
    <tableColumn id="5886" name="Columna5872" dataDxfId="27127" totalsRowDxfId="10503"/>
    <tableColumn id="5887" name="Columna5873" dataDxfId="27126" totalsRowDxfId="10502"/>
    <tableColumn id="5888" name="Columna5874" dataDxfId="27125" totalsRowDxfId="10501"/>
    <tableColumn id="5889" name="Columna5875" dataDxfId="27124" totalsRowDxfId="10500"/>
    <tableColumn id="5890" name="Columna5876" dataDxfId="27123" totalsRowDxfId="10499"/>
    <tableColumn id="5891" name="Columna5877" dataDxfId="27122" totalsRowDxfId="10498"/>
    <tableColumn id="5892" name="Columna5878" dataDxfId="27121" totalsRowDxfId="10497"/>
    <tableColumn id="5893" name="Columna5879" dataDxfId="27120" totalsRowDxfId="10496"/>
    <tableColumn id="5894" name="Columna5880" dataDxfId="27119" totalsRowDxfId="10495"/>
    <tableColumn id="5895" name="Columna5881" dataDxfId="27118" totalsRowDxfId="10494"/>
    <tableColumn id="5896" name="Columna5882" dataDxfId="27117" totalsRowDxfId="10493"/>
    <tableColumn id="5897" name="Columna5883" dataDxfId="27116" totalsRowDxfId="10492"/>
    <tableColumn id="5898" name="Columna5884" dataDxfId="27115" totalsRowDxfId="10491"/>
    <tableColumn id="5899" name="Columna5885" dataDxfId="27114" totalsRowDxfId="10490"/>
    <tableColumn id="5900" name="Columna5886" dataDxfId="27113" totalsRowDxfId="10489"/>
    <tableColumn id="5901" name="Columna5887" dataDxfId="27112" totalsRowDxfId="10488"/>
    <tableColumn id="5902" name="Columna5888" dataDxfId="27111" totalsRowDxfId="10487"/>
    <tableColumn id="5903" name="Columna5889" dataDxfId="27110" totalsRowDxfId="10486"/>
    <tableColumn id="5904" name="Columna5890" dataDxfId="27109" totalsRowDxfId="10485"/>
    <tableColumn id="5905" name="Columna5891" dataDxfId="27108" totalsRowDxfId="10484"/>
    <tableColumn id="5906" name="Columna5892" dataDxfId="27107" totalsRowDxfId="10483"/>
    <tableColumn id="5907" name="Columna5893" dataDxfId="27106" totalsRowDxfId="10482"/>
    <tableColumn id="5908" name="Columna5894" dataDxfId="27105" totalsRowDxfId="10481"/>
    <tableColumn id="5909" name="Columna5895" dataDxfId="27104" totalsRowDxfId="10480"/>
    <tableColumn id="5910" name="Columna5896" dataDxfId="27103" totalsRowDxfId="10479"/>
    <tableColumn id="5911" name="Columna5897" dataDxfId="27102" totalsRowDxfId="10478"/>
    <tableColumn id="5912" name="Columna5898" dataDxfId="27101" totalsRowDxfId="10477"/>
    <tableColumn id="5913" name="Columna5899" dataDxfId="27100" totalsRowDxfId="10476"/>
    <tableColumn id="5914" name="Columna5900" dataDxfId="27099" totalsRowDxfId="10475"/>
    <tableColumn id="5915" name="Columna5901" dataDxfId="27098" totalsRowDxfId="10474"/>
    <tableColumn id="5916" name="Columna5902" dataDxfId="27097" totalsRowDxfId="10473"/>
    <tableColumn id="5917" name="Columna5903" dataDxfId="27096" totalsRowDxfId="10472"/>
    <tableColumn id="5918" name="Columna5904" dataDxfId="27095" totalsRowDxfId="10471"/>
    <tableColumn id="5919" name="Columna5905" dataDxfId="27094" totalsRowDxfId="10470"/>
    <tableColumn id="5920" name="Columna5906" dataDxfId="27093" totalsRowDxfId="10469"/>
    <tableColumn id="5921" name="Columna5907" dataDxfId="27092" totalsRowDxfId="10468"/>
    <tableColumn id="5922" name="Columna5908" dataDxfId="27091" totalsRowDxfId="10467"/>
    <tableColumn id="5923" name="Columna5909" dataDxfId="27090" totalsRowDxfId="10466"/>
    <tableColumn id="5924" name="Columna5910" dataDxfId="27089" totalsRowDxfId="10465"/>
    <tableColumn id="5925" name="Columna5911" dataDxfId="27088" totalsRowDxfId="10464"/>
    <tableColumn id="5926" name="Columna5912" dataDxfId="27087" totalsRowDxfId="10463"/>
    <tableColumn id="5927" name="Columna5913" dataDxfId="27086" totalsRowDxfId="10462"/>
    <tableColumn id="5928" name="Columna5914" dataDxfId="27085" totalsRowDxfId="10461"/>
    <tableColumn id="5929" name="Columna5915" dataDxfId="27084" totalsRowDxfId="10460"/>
    <tableColumn id="5930" name="Columna5916" dataDxfId="27083" totalsRowDxfId="10459"/>
    <tableColumn id="5931" name="Columna5917" dataDxfId="27082" totalsRowDxfId="10458"/>
    <tableColumn id="5932" name="Columna5918" dataDxfId="27081" totalsRowDxfId="10457"/>
    <tableColumn id="5933" name="Columna5919" dataDxfId="27080" totalsRowDxfId="10456"/>
    <tableColumn id="5934" name="Columna5920" dataDxfId="27079" totalsRowDxfId="10455"/>
    <tableColumn id="5935" name="Columna5921" dataDxfId="27078" totalsRowDxfId="10454"/>
    <tableColumn id="5936" name="Columna5922" dataDxfId="27077" totalsRowDxfId="10453"/>
    <tableColumn id="5937" name="Columna5923" dataDxfId="27076" totalsRowDxfId="10452"/>
    <tableColumn id="5938" name="Columna5924" dataDxfId="27075" totalsRowDxfId="10451"/>
    <tableColumn id="5939" name="Columna5925" dataDxfId="27074" totalsRowDxfId="10450"/>
    <tableColumn id="5940" name="Columna5926" dataDxfId="27073" totalsRowDxfId="10449"/>
    <tableColumn id="5941" name="Columna5927" dataDxfId="27072" totalsRowDxfId="10448"/>
    <tableColumn id="5942" name="Columna5928" dataDxfId="27071" totalsRowDxfId="10447"/>
    <tableColumn id="5943" name="Columna5929" dataDxfId="27070" totalsRowDxfId="10446"/>
    <tableColumn id="5944" name="Columna5930" dataDxfId="27069" totalsRowDxfId="10445"/>
    <tableColumn id="5945" name="Columna5931" dataDxfId="27068" totalsRowDxfId="10444"/>
    <tableColumn id="5946" name="Columna5932" dataDxfId="27067" totalsRowDxfId="10443"/>
    <tableColumn id="5947" name="Columna5933" dataDxfId="27066" totalsRowDxfId="10442"/>
    <tableColumn id="5948" name="Columna5934" dataDxfId="27065" totalsRowDxfId="10441"/>
    <tableColumn id="5949" name="Columna5935" dataDxfId="27064" totalsRowDxfId="10440"/>
    <tableColumn id="5950" name="Columna5936" dataDxfId="27063" totalsRowDxfId="10439"/>
    <tableColumn id="5951" name="Columna5937" dataDxfId="27062" totalsRowDxfId="10438"/>
    <tableColumn id="5952" name="Columna5938" dataDxfId="27061" totalsRowDxfId="10437"/>
    <tableColumn id="5953" name="Columna5939" dataDxfId="27060" totalsRowDxfId="10436"/>
    <tableColumn id="5954" name="Columna5940" dataDxfId="27059" totalsRowDxfId="10435"/>
    <tableColumn id="5955" name="Columna5941" dataDxfId="27058" totalsRowDxfId="10434"/>
    <tableColumn id="5956" name="Columna5942" dataDxfId="27057" totalsRowDxfId="10433"/>
    <tableColumn id="5957" name="Columna5943" dataDxfId="27056" totalsRowDxfId="10432"/>
    <tableColumn id="5958" name="Columna5944" dataDxfId="27055" totalsRowDxfId="10431"/>
    <tableColumn id="5959" name="Columna5945" dataDxfId="27054" totalsRowDxfId="10430"/>
    <tableColumn id="5960" name="Columna5946" dataDxfId="27053" totalsRowDxfId="10429"/>
    <tableColumn id="5961" name="Columna5947" dataDxfId="27052" totalsRowDxfId="10428"/>
    <tableColumn id="5962" name="Columna5948" dataDxfId="27051" totalsRowDxfId="10427"/>
    <tableColumn id="5963" name="Columna5949" dataDxfId="27050" totalsRowDxfId="10426"/>
    <tableColumn id="5964" name="Columna5950" dataDxfId="27049" totalsRowDxfId="10425"/>
    <tableColumn id="5965" name="Columna5951" dataDxfId="27048" totalsRowDxfId="10424"/>
    <tableColumn id="5966" name="Columna5952" dataDxfId="27047" totalsRowDxfId="10423"/>
    <tableColumn id="5967" name="Columna5953" dataDxfId="27046" totalsRowDxfId="10422"/>
    <tableColumn id="5968" name="Columna5954" dataDxfId="27045" totalsRowDxfId="10421"/>
    <tableColumn id="5969" name="Columna5955" dataDxfId="27044" totalsRowDxfId="10420"/>
    <tableColumn id="5970" name="Columna5956" dataDxfId="27043" totalsRowDxfId="10419"/>
    <tableColumn id="5971" name="Columna5957" dataDxfId="27042" totalsRowDxfId="10418"/>
    <tableColumn id="5972" name="Columna5958" dataDxfId="27041" totalsRowDxfId="10417"/>
    <tableColumn id="5973" name="Columna5959" dataDxfId="27040" totalsRowDxfId="10416"/>
    <tableColumn id="5974" name="Columna5960" dataDxfId="27039" totalsRowDxfId="10415"/>
    <tableColumn id="5975" name="Columna5961" dataDxfId="27038" totalsRowDxfId="10414"/>
    <tableColumn id="5976" name="Columna5962" dataDxfId="27037" totalsRowDxfId="10413"/>
    <tableColumn id="5977" name="Columna5963" dataDxfId="27036" totalsRowDxfId="10412"/>
    <tableColumn id="5978" name="Columna5964" dataDxfId="27035" totalsRowDxfId="10411"/>
    <tableColumn id="5979" name="Columna5965" dataDxfId="27034" totalsRowDxfId="10410"/>
    <tableColumn id="5980" name="Columna5966" dataDxfId="27033" totalsRowDxfId="10409"/>
    <tableColumn id="5981" name="Columna5967" dataDxfId="27032" totalsRowDxfId="10408"/>
    <tableColumn id="5982" name="Columna5968" dataDxfId="27031" totalsRowDxfId="10407"/>
    <tableColumn id="5983" name="Columna5969" dataDxfId="27030" totalsRowDxfId="10406"/>
    <tableColumn id="5984" name="Columna5970" dataDxfId="27029" totalsRowDxfId="10405"/>
    <tableColumn id="5985" name="Columna5971" dataDxfId="27028" totalsRowDxfId="10404"/>
    <tableColumn id="5986" name="Columna5972" dataDxfId="27027" totalsRowDxfId="10403"/>
    <tableColumn id="5987" name="Columna5973" dataDxfId="27026" totalsRowDxfId="10402"/>
    <tableColumn id="5988" name="Columna5974" dataDxfId="27025" totalsRowDxfId="10401"/>
    <tableColumn id="5989" name="Columna5975" dataDxfId="27024" totalsRowDxfId="10400"/>
    <tableColumn id="5990" name="Columna5976" dataDxfId="27023" totalsRowDxfId="10399"/>
    <tableColumn id="5991" name="Columna5977" dataDxfId="27022" totalsRowDxfId="10398"/>
    <tableColumn id="5992" name="Columna5978" dataDxfId="27021" totalsRowDxfId="10397"/>
    <tableColumn id="5993" name="Columna5979" dataDxfId="27020" totalsRowDxfId="10396"/>
    <tableColumn id="5994" name="Columna5980" dataDxfId="27019" totalsRowDxfId="10395"/>
    <tableColumn id="5995" name="Columna5981" dataDxfId="27018" totalsRowDxfId="10394"/>
    <tableColumn id="5996" name="Columna5982" dataDxfId="27017" totalsRowDxfId="10393"/>
    <tableColumn id="5997" name="Columna5983" dataDxfId="27016" totalsRowDxfId="10392"/>
    <tableColumn id="5998" name="Columna5984" dataDxfId="27015" totalsRowDxfId="10391"/>
    <tableColumn id="5999" name="Columna5985" dataDxfId="27014" totalsRowDxfId="10390"/>
    <tableColumn id="6000" name="Columna5986" dataDxfId="27013" totalsRowDxfId="10389"/>
    <tableColumn id="6001" name="Columna5987" dataDxfId="27012" totalsRowDxfId="10388"/>
    <tableColumn id="6002" name="Columna5988" dataDxfId="27011" totalsRowDxfId="10387"/>
    <tableColumn id="6003" name="Columna5989" dataDxfId="27010" totalsRowDxfId="10386"/>
    <tableColumn id="6004" name="Columna5990" dataDxfId="27009" totalsRowDxfId="10385"/>
    <tableColumn id="6005" name="Columna5991" dataDxfId="27008" totalsRowDxfId="10384"/>
    <tableColumn id="6006" name="Columna5992" dataDxfId="27007" totalsRowDxfId="10383"/>
    <tableColumn id="6007" name="Columna5993" dataDxfId="27006" totalsRowDxfId="10382"/>
    <tableColumn id="6008" name="Columna5994" dataDxfId="27005" totalsRowDxfId="10381"/>
    <tableColumn id="6009" name="Columna5995" dataDxfId="27004" totalsRowDxfId="10380"/>
    <tableColumn id="6010" name="Columna5996" dataDxfId="27003" totalsRowDxfId="10379"/>
    <tableColumn id="6011" name="Columna5997" dataDxfId="27002" totalsRowDxfId="10378"/>
    <tableColumn id="6012" name="Columna5998" dataDxfId="27001" totalsRowDxfId="10377"/>
    <tableColumn id="6013" name="Columna5999" dataDxfId="27000" totalsRowDxfId="10376"/>
    <tableColumn id="6014" name="Columna6000" dataDxfId="26999" totalsRowDxfId="10375"/>
    <tableColumn id="6015" name="Columna6001" dataDxfId="26998" totalsRowDxfId="10374"/>
    <tableColumn id="6016" name="Columna6002" dataDxfId="26997" totalsRowDxfId="10373"/>
    <tableColumn id="6017" name="Columna6003" dataDxfId="26996" totalsRowDxfId="10372"/>
    <tableColumn id="6018" name="Columna6004" dataDxfId="26995" totalsRowDxfId="10371"/>
    <tableColumn id="6019" name="Columna6005" dataDxfId="26994" totalsRowDxfId="10370"/>
    <tableColumn id="6020" name="Columna6006" dataDxfId="26993" totalsRowDxfId="10369"/>
    <tableColumn id="6021" name="Columna6007" dataDxfId="26992" totalsRowDxfId="10368"/>
    <tableColumn id="6022" name="Columna6008" dataDxfId="26991" totalsRowDxfId="10367"/>
    <tableColumn id="6023" name="Columna6009" dataDxfId="26990" totalsRowDxfId="10366"/>
    <tableColumn id="6024" name="Columna6010" dataDxfId="26989" totalsRowDxfId="10365"/>
    <tableColumn id="6025" name="Columna6011" dataDxfId="26988" totalsRowDxfId="10364"/>
    <tableColumn id="6026" name="Columna6012" dataDxfId="26987" totalsRowDxfId="10363"/>
    <tableColumn id="6027" name="Columna6013" dataDxfId="26986" totalsRowDxfId="10362"/>
    <tableColumn id="6028" name="Columna6014" dataDxfId="26985" totalsRowDxfId="10361"/>
    <tableColumn id="6029" name="Columna6015" dataDxfId="26984" totalsRowDxfId="10360"/>
    <tableColumn id="6030" name="Columna6016" dataDxfId="26983" totalsRowDxfId="10359"/>
    <tableColumn id="6031" name="Columna6017" dataDxfId="26982" totalsRowDxfId="10358"/>
    <tableColumn id="6032" name="Columna6018" dataDxfId="26981" totalsRowDxfId="10357"/>
    <tableColumn id="6033" name="Columna6019" dataDxfId="26980" totalsRowDxfId="10356"/>
    <tableColumn id="6034" name="Columna6020" dataDxfId="26979" totalsRowDxfId="10355"/>
    <tableColumn id="6035" name="Columna6021" dataDxfId="26978" totalsRowDxfId="10354"/>
    <tableColumn id="6036" name="Columna6022" dataDxfId="26977" totalsRowDxfId="10353"/>
    <tableColumn id="6037" name="Columna6023" dataDxfId="26976" totalsRowDxfId="10352"/>
    <tableColumn id="6038" name="Columna6024" dataDxfId="26975" totalsRowDxfId="10351"/>
    <tableColumn id="6039" name="Columna6025" dataDxfId="26974" totalsRowDxfId="10350"/>
    <tableColumn id="6040" name="Columna6026" dataDxfId="26973" totalsRowDxfId="10349"/>
    <tableColumn id="6041" name="Columna6027" dataDxfId="26972" totalsRowDxfId="10348"/>
    <tableColumn id="6042" name="Columna6028" dataDxfId="26971" totalsRowDxfId="10347"/>
    <tableColumn id="6043" name="Columna6029" dataDxfId="26970" totalsRowDxfId="10346"/>
    <tableColumn id="6044" name="Columna6030" dataDxfId="26969" totalsRowDxfId="10345"/>
    <tableColumn id="6045" name="Columna6031" dataDxfId="26968" totalsRowDxfId="10344"/>
    <tableColumn id="6046" name="Columna6032" dataDxfId="26967" totalsRowDxfId="10343"/>
    <tableColumn id="6047" name="Columna6033" dataDxfId="26966" totalsRowDxfId="10342"/>
    <tableColumn id="6048" name="Columna6034" dataDxfId="26965" totalsRowDxfId="10341"/>
    <tableColumn id="6049" name="Columna6035" dataDxfId="26964" totalsRowDxfId="10340"/>
    <tableColumn id="6050" name="Columna6036" dataDxfId="26963" totalsRowDxfId="10339"/>
    <tableColumn id="6051" name="Columna6037" dataDxfId="26962" totalsRowDxfId="10338"/>
    <tableColumn id="6052" name="Columna6038" dataDxfId="26961" totalsRowDxfId="10337"/>
    <tableColumn id="6053" name="Columna6039" dataDxfId="26960" totalsRowDxfId="10336"/>
    <tableColumn id="6054" name="Columna6040" dataDxfId="26959" totalsRowDxfId="10335"/>
    <tableColumn id="6055" name="Columna6041" dataDxfId="26958" totalsRowDxfId="10334"/>
    <tableColumn id="6056" name="Columna6042" dataDxfId="26957" totalsRowDxfId="10333"/>
    <tableColumn id="6057" name="Columna6043" dataDxfId="26956" totalsRowDxfId="10332"/>
    <tableColumn id="6058" name="Columna6044" dataDxfId="26955" totalsRowDxfId="10331"/>
    <tableColumn id="6059" name="Columna6045" dataDxfId="26954" totalsRowDxfId="10330"/>
    <tableColumn id="6060" name="Columna6046" dataDxfId="26953" totalsRowDxfId="10329"/>
    <tableColumn id="6061" name="Columna6047" dataDxfId="26952" totalsRowDxfId="10328"/>
    <tableColumn id="6062" name="Columna6048" dataDxfId="26951" totalsRowDxfId="10327"/>
    <tableColumn id="6063" name="Columna6049" dataDxfId="26950" totalsRowDxfId="10326"/>
    <tableColumn id="6064" name="Columna6050" dataDxfId="26949" totalsRowDxfId="10325"/>
    <tableColumn id="6065" name="Columna6051" dataDxfId="26948" totalsRowDxfId="10324"/>
    <tableColumn id="6066" name="Columna6052" dataDxfId="26947" totalsRowDxfId="10323"/>
    <tableColumn id="6067" name="Columna6053" dataDxfId="26946" totalsRowDxfId="10322"/>
    <tableColumn id="6068" name="Columna6054" dataDxfId="26945" totalsRowDxfId="10321"/>
    <tableColumn id="6069" name="Columna6055" dataDxfId="26944" totalsRowDxfId="10320"/>
    <tableColumn id="6070" name="Columna6056" dataDxfId="26943" totalsRowDxfId="10319"/>
    <tableColumn id="6071" name="Columna6057" dataDxfId="26942" totalsRowDxfId="10318"/>
    <tableColumn id="6072" name="Columna6058" dataDxfId="26941" totalsRowDxfId="10317"/>
    <tableColumn id="6073" name="Columna6059" dataDxfId="26940" totalsRowDxfId="10316"/>
    <tableColumn id="6074" name="Columna6060" dataDxfId="26939" totalsRowDxfId="10315"/>
    <tableColumn id="6075" name="Columna6061" dataDxfId="26938" totalsRowDxfId="10314"/>
    <tableColumn id="6076" name="Columna6062" dataDxfId="26937" totalsRowDxfId="10313"/>
    <tableColumn id="6077" name="Columna6063" dataDxfId="26936" totalsRowDxfId="10312"/>
    <tableColumn id="6078" name="Columna6064" dataDxfId="26935" totalsRowDxfId="10311"/>
    <tableColumn id="6079" name="Columna6065" dataDxfId="26934" totalsRowDxfId="10310"/>
    <tableColumn id="6080" name="Columna6066" dataDxfId="26933" totalsRowDxfId="10309"/>
    <tableColumn id="6081" name="Columna6067" dataDxfId="26932" totalsRowDxfId="10308"/>
    <tableColumn id="6082" name="Columna6068" dataDxfId="26931" totalsRowDxfId="10307"/>
    <tableColumn id="6083" name="Columna6069" dataDxfId="26930" totalsRowDxfId="10306"/>
    <tableColumn id="6084" name="Columna6070" dataDxfId="26929" totalsRowDxfId="10305"/>
    <tableColumn id="6085" name="Columna6071" dataDxfId="26928" totalsRowDxfId="10304"/>
    <tableColumn id="6086" name="Columna6072" dataDxfId="26927" totalsRowDxfId="10303"/>
    <tableColumn id="6087" name="Columna6073" dataDxfId="26926" totalsRowDxfId="10302"/>
    <tableColumn id="6088" name="Columna6074" dataDxfId="26925" totalsRowDxfId="10301"/>
    <tableColumn id="6089" name="Columna6075" dataDxfId="26924" totalsRowDxfId="10300"/>
    <tableColumn id="6090" name="Columna6076" dataDxfId="26923" totalsRowDxfId="10299"/>
    <tableColumn id="6091" name="Columna6077" dataDxfId="26922" totalsRowDxfId="10298"/>
    <tableColumn id="6092" name="Columna6078" dataDxfId="26921" totalsRowDxfId="10297"/>
    <tableColumn id="6093" name="Columna6079" dataDxfId="26920" totalsRowDxfId="10296"/>
    <tableColumn id="6094" name="Columna6080" dataDxfId="26919" totalsRowDxfId="10295"/>
    <tableColumn id="6095" name="Columna6081" dataDxfId="26918" totalsRowDxfId="10294"/>
    <tableColumn id="6096" name="Columna6082" dataDxfId="26917" totalsRowDxfId="10293"/>
    <tableColumn id="6097" name="Columna6083" dataDxfId="26916" totalsRowDxfId="10292"/>
    <tableColumn id="6098" name="Columna6084" dataDxfId="26915" totalsRowDxfId="10291"/>
    <tableColumn id="6099" name="Columna6085" dataDxfId="26914" totalsRowDxfId="10290"/>
    <tableColumn id="6100" name="Columna6086" dataDxfId="26913" totalsRowDxfId="10289"/>
    <tableColumn id="6101" name="Columna6087" dataDxfId="26912" totalsRowDxfId="10288"/>
    <tableColumn id="6102" name="Columna6088" dataDxfId="26911" totalsRowDxfId="10287"/>
    <tableColumn id="6103" name="Columna6089" dataDxfId="26910" totalsRowDxfId="10286"/>
    <tableColumn id="6104" name="Columna6090" dataDxfId="26909" totalsRowDxfId="10285"/>
    <tableColumn id="6105" name="Columna6091" dataDxfId="26908" totalsRowDxfId="10284"/>
    <tableColumn id="6106" name="Columna6092" dataDxfId="26907" totalsRowDxfId="10283"/>
    <tableColumn id="6107" name="Columna6093" dataDxfId="26906" totalsRowDxfId="10282"/>
    <tableColumn id="6108" name="Columna6094" dataDxfId="26905" totalsRowDxfId="10281"/>
    <tableColumn id="6109" name="Columna6095" dataDxfId="26904" totalsRowDxfId="10280"/>
    <tableColumn id="6110" name="Columna6096" dataDxfId="26903" totalsRowDxfId="10279"/>
    <tableColumn id="6111" name="Columna6097" dataDxfId="26902" totalsRowDxfId="10278"/>
    <tableColumn id="6112" name="Columna6098" dataDxfId="26901" totalsRowDxfId="10277"/>
    <tableColumn id="6113" name="Columna6099" dataDxfId="26900" totalsRowDxfId="10276"/>
    <tableColumn id="6114" name="Columna6100" dataDxfId="26899" totalsRowDxfId="10275"/>
    <tableColumn id="6115" name="Columna6101" dataDxfId="26898" totalsRowDxfId="10274"/>
    <tableColumn id="6116" name="Columna6102" dataDxfId="26897" totalsRowDxfId="10273"/>
    <tableColumn id="6117" name="Columna6103" dataDxfId="26896" totalsRowDxfId="10272"/>
    <tableColumn id="6118" name="Columna6104" dataDxfId="26895" totalsRowDxfId="10271"/>
    <tableColumn id="6119" name="Columna6105" dataDxfId="26894" totalsRowDxfId="10270"/>
    <tableColumn id="6120" name="Columna6106" dataDxfId="26893" totalsRowDxfId="10269"/>
    <tableColumn id="6121" name="Columna6107" dataDxfId="26892" totalsRowDxfId="10268"/>
    <tableColumn id="6122" name="Columna6108" dataDxfId="26891" totalsRowDxfId="10267"/>
    <tableColumn id="6123" name="Columna6109" dataDxfId="26890" totalsRowDxfId="10266"/>
    <tableColumn id="6124" name="Columna6110" dataDxfId="26889" totalsRowDxfId="10265"/>
    <tableColumn id="6125" name="Columna6111" dataDxfId="26888" totalsRowDxfId="10264"/>
    <tableColumn id="6126" name="Columna6112" dataDxfId="26887" totalsRowDxfId="10263"/>
    <tableColumn id="6127" name="Columna6113" dataDxfId="26886" totalsRowDxfId="10262"/>
    <tableColumn id="6128" name="Columna6114" dataDxfId="26885" totalsRowDxfId="10261"/>
    <tableColumn id="6129" name="Columna6115" dataDxfId="26884" totalsRowDxfId="10260"/>
    <tableColumn id="6130" name="Columna6116" dataDxfId="26883" totalsRowDxfId="10259"/>
    <tableColumn id="6131" name="Columna6117" dataDxfId="26882" totalsRowDxfId="10258"/>
    <tableColumn id="6132" name="Columna6118" dataDxfId="26881" totalsRowDxfId="10257"/>
    <tableColumn id="6133" name="Columna6119" dataDxfId="26880" totalsRowDxfId="10256"/>
    <tableColumn id="6134" name="Columna6120" dataDxfId="26879" totalsRowDxfId="10255"/>
    <tableColumn id="6135" name="Columna6121" dataDxfId="26878" totalsRowDxfId="10254"/>
    <tableColumn id="6136" name="Columna6122" dataDxfId="26877" totalsRowDxfId="10253"/>
    <tableColumn id="6137" name="Columna6123" dataDxfId="26876" totalsRowDxfId="10252"/>
    <tableColumn id="6138" name="Columna6124" dataDxfId="26875" totalsRowDxfId="10251"/>
    <tableColumn id="6139" name="Columna6125" dataDxfId="26874" totalsRowDxfId="10250"/>
    <tableColumn id="6140" name="Columna6126" dataDxfId="26873" totalsRowDxfId="10249"/>
    <tableColumn id="6141" name="Columna6127" dataDxfId="26872" totalsRowDxfId="10248"/>
    <tableColumn id="6142" name="Columna6128" dataDxfId="26871" totalsRowDxfId="10247"/>
    <tableColumn id="6143" name="Columna6129" dataDxfId="26870" totalsRowDxfId="10246"/>
    <tableColumn id="6144" name="Columna6130" dataDxfId="26869" totalsRowDxfId="10245"/>
    <tableColumn id="6145" name="Columna6131" dataDxfId="26868" totalsRowDxfId="10244"/>
    <tableColumn id="6146" name="Columna6132" dataDxfId="26867" totalsRowDxfId="10243"/>
    <tableColumn id="6147" name="Columna6133" dataDxfId="26866" totalsRowDxfId="10242"/>
    <tableColumn id="6148" name="Columna6134" dataDxfId="26865" totalsRowDxfId="10241"/>
    <tableColumn id="6149" name="Columna6135" dataDxfId="26864" totalsRowDxfId="10240"/>
    <tableColumn id="6150" name="Columna6136" dataDxfId="26863" totalsRowDxfId="10239"/>
    <tableColumn id="6151" name="Columna6137" dataDxfId="26862" totalsRowDxfId="10238"/>
    <tableColumn id="6152" name="Columna6138" dataDxfId="26861" totalsRowDxfId="10237"/>
    <tableColumn id="6153" name="Columna6139" dataDxfId="26860" totalsRowDxfId="10236"/>
    <tableColumn id="6154" name="Columna6140" dataDxfId="26859" totalsRowDxfId="10235"/>
    <tableColumn id="6155" name="Columna6141" dataDxfId="26858" totalsRowDxfId="10234"/>
    <tableColumn id="6156" name="Columna6142" dataDxfId="26857" totalsRowDxfId="10233"/>
    <tableColumn id="6157" name="Columna6143" dataDxfId="26856" totalsRowDxfId="10232"/>
    <tableColumn id="6158" name="Columna6144" dataDxfId="26855" totalsRowDxfId="10231"/>
    <tableColumn id="6159" name="Columna6145" dataDxfId="26854" totalsRowDxfId="10230"/>
    <tableColumn id="6160" name="Columna6146" dataDxfId="26853" totalsRowDxfId="10229"/>
    <tableColumn id="6161" name="Columna6147" dataDxfId="26852" totalsRowDxfId="10228"/>
    <tableColumn id="6162" name="Columna6148" dataDxfId="26851" totalsRowDxfId="10227"/>
    <tableColumn id="6163" name="Columna6149" dataDxfId="26850" totalsRowDxfId="10226"/>
    <tableColumn id="6164" name="Columna6150" dataDxfId="26849" totalsRowDxfId="10225"/>
    <tableColumn id="6165" name="Columna6151" dataDxfId="26848" totalsRowDxfId="10224"/>
    <tableColumn id="6166" name="Columna6152" dataDxfId="26847" totalsRowDxfId="10223"/>
    <tableColumn id="6167" name="Columna6153" dataDxfId="26846" totalsRowDxfId="10222"/>
    <tableColumn id="6168" name="Columna6154" dataDxfId="26845" totalsRowDxfId="10221"/>
    <tableColumn id="6169" name="Columna6155" dataDxfId="26844" totalsRowDxfId="10220"/>
    <tableColumn id="6170" name="Columna6156" dataDxfId="26843" totalsRowDxfId="10219"/>
    <tableColumn id="6171" name="Columna6157" dataDxfId="26842" totalsRowDxfId="10218"/>
    <tableColumn id="6172" name="Columna6158" dataDxfId="26841" totalsRowDxfId="10217"/>
    <tableColumn id="6173" name="Columna6159" dataDxfId="26840" totalsRowDxfId="10216"/>
    <tableColumn id="6174" name="Columna6160" dataDxfId="26839" totalsRowDxfId="10215"/>
    <tableColumn id="6175" name="Columna6161" dataDxfId="26838" totalsRowDxfId="10214"/>
    <tableColumn id="6176" name="Columna6162" dataDxfId="26837" totalsRowDxfId="10213"/>
    <tableColumn id="6177" name="Columna6163" dataDxfId="26836" totalsRowDxfId="10212"/>
    <tableColumn id="6178" name="Columna6164" dataDxfId="26835" totalsRowDxfId="10211"/>
    <tableColumn id="6179" name="Columna6165" dataDxfId="26834" totalsRowDxfId="10210"/>
    <tableColumn id="6180" name="Columna6166" dataDxfId="26833" totalsRowDxfId="10209"/>
    <tableColumn id="6181" name="Columna6167" dataDxfId="26832" totalsRowDxfId="10208"/>
    <tableColumn id="6182" name="Columna6168" dataDxfId="26831" totalsRowDxfId="10207"/>
    <tableColumn id="6183" name="Columna6169" dataDxfId="26830" totalsRowDxfId="10206"/>
    <tableColumn id="6184" name="Columna6170" dataDxfId="26829" totalsRowDxfId="10205"/>
    <tableColumn id="6185" name="Columna6171" dataDxfId="26828" totalsRowDxfId="10204"/>
    <tableColumn id="6186" name="Columna6172" dataDxfId="26827" totalsRowDxfId="10203"/>
    <tableColumn id="6187" name="Columna6173" dataDxfId="26826" totalsRowDxfId="10202"/>
    <tableColumn id="6188" name="Columna6174" dataDxfId="26825" totalsRowDxfId="10201"/>
    <tableColumn id="6189" name="Columna6175" dataDxfId="26824" totalsRowDxfId="10200"/>
    <tableColumn id="6190" name="Columna6176" dataDxfId="26823" totalsRowDxfId="10199"/>
    <tableColumn id="6191" name="Columna6177" dataDxfId="26822" totalsRowDxfId="10198"/>
    <tableColumn id="6192" name="Columna6178" dataDxfId="26821" totalsRowDxfId="10197"/>
    <tableColumn id="6193" name="Columna6179" dataDxfId="26820" totalsRowDxfId="10196"/>
    <tableColumn id="6194" name="Columna6180" dataDxfId="26819" totalsRowDxfId="10195"/>
    <tableColumn id="6195" name="Columna6181" dataDxfId="26818" totalsRowDxfId="10194"/>
    <tableColumn id="6196" name="Columna6182" dataDxfId="26817" totalsRowDxfId="10193"/>
    <tableColumn id="6197" name="Columna6183" dataDxfId="26816" totalsRowDxfId="10192"/>
    <tableColumn id="6198" name="Columna6184" dataDxfId="26815" totalsRowDxfId="10191"/>
    <tableColumn id="6199" name="Columna6185" dataDxfId="26814" totalsRowDxfId="10190"/>
    <tableColumn id="6200" name="Columna6186" dataDxfId="26813" totalsRowDxfId="10189"/>
    <tableColumn id="6201" name="Columna6187" dataDxfId="26812" totalsRowDxfId="10188"/>
    <tableColumn id="6202" name="Columna6188" dataDxfId="26811" totalsRowDxfId="10187"/>
    <tableColumn id="6203" name="Columna6189" dataDxfId="26810" totalsRowDxfId="10186"/>
    <tableColumn id="6204" name="Columna6190" dataDxfId="26809" totalsRowDxfId="10185"/>
    <tableColumn id="6205" name="Columna6191" dataDxfId="26808" totalsRowDxfId="10184"/>
    <tableColumn id="6206" name="Columna6192" dataDxfId="26807" totalsRowDxfId="10183"/>
    <tableColumn id="6207" name="Columna6193" dataDxfId="26806" totalsRowDxfId="10182"/>
    <tableColumn id="6208" name="Columna6194" dataDxfId="26805" totalsRowDxfId="10181"/>
    <tableColumn id="6209" name="Columna6195" dataDxfId="26804" totalsRowDxfId="10180"/>
    <tableColumn id="6210" name="Columna6196" dataDxfId="26803" totalsRowDxfId="10179"/>
    <tableColumn id="6211" name="Columna6197" dataDxfId="26802" totalsRowDxfId="10178"/>
    <tableColumn id="6212" name="Columna6198" dataDxfId="26801" totalsRowDxfId="10177"/>
    <tableColumn id="6213" name="Columna6199" dataDxfId="26800" totalsRowDxfId="10176"/>
    <tableColumn id="6214" name="Columna6200" dataDxfId="26799" totalsRowDxfId="10175"/>
    <tableColumn id="6215" name="Columna6201" dataDxfId="26798" totalsRowDxfId="10174"/>
    <tableColumn id="6216" name="Columna6202" dataDxfId="26797" totalsRowDxfId="10173"/>
    <tableColumn id="6217" name="Columna6203" dataDxfId="26796" totalsRowDxfId="10172"/>
    <tableColumn id="6218" name="Columna6204" dataDxfId="26795" totalsRowDxfId="10171"/>
    <tableColumn id="6219" name="Columna6205" dataDxfId="26794" totalsRowDxfId="10170"/>
    <tableColumn id="6220" name="Columna6206" dataDxfId="26793" totalsRowDxfId="10169"/>
    <tableColumn id="6221" name="Columna6207" dataDxfId="26792" totalsRowDxfId="10168"/>
    <tableColumn id="6222" name="Columna6208" dataDxfId="26791" totalsRowDxfId="10167"/>
    <tableColumn id="6223" name="Columna6209" dataDxfId="26790" totalsRowDxfId="10166"/>
    <tableColumn id="6224" name="Columna6210" dataDxfId="26789" totalsRowDxfId="10165"/>
    <tableColumn id="6225" name="Columna6211" dataDxfId="26788" totalsRowDxfId="10164"/>
    <tableColumn id="6226" name="Columna6212" dataDxfId="26787" totalsRowDxfId="10163"/>
    <tableColumn id="6227" name="Columna6213" dataDxfId="26786" totalsRowDxfId="10162"/>
    <tableColumn id="6228" name="Columna6214" dataDxfId="26785" totalsRowDxfId="10161"/>
    <tableColumn id="6229" name="Columna6215" dataDxfId="26784" totalsRowDxfId="10160"/>
    <tableColumn id="6230" name="Columna6216" dataDxfId="26783" totalsRowDxfId="10159"/>
    <tableColumn id="6231" name="Columna6217" dataDxfId="26782" totalsRowDxfId="10158"/>
    <tableColumn id="6232" name="Columna6218" dataDxfId="26781" totalsRowDxfId="10157"/>
    <tableColumn id="6233" name="Columna6219" dataDxfId="26780" totalsRowDxfId="10156"/>
    <tableColumn id="6234" name="Columna6220" dataDxfId="26779" totalsRowDxfId="10155"/>
    <tableColumn id="6235" name="Columna6221" dataDxfId="26778" totalsRowDxfId="10154"/>
    <tableColumn id="6236" name="Columna6222" dataDxfId="26777" totalsRowDxfId="10153"/>
    <tableColumn id="6237" name="Columna6223" dataDxfId="26776" totalsRowDxfId="10152"/>
    <tableColumn id="6238" name="Columna6224" dataDxfId="26775" totalsRowDxfId="10151"/>
    <tableColumn id="6239" name="Columna6225" dataDxfId="26774" totalsRowDxfId="10150"/>
    <tableColumn id="6240" name="Columna6226" dataDxfId="26773" totalsRowDxfId="10149"/>
    <tableColumn id="6241" name="Columna6227" dataDxfId="26772" totalsRowDxfId="10148"/>
    <tableColumn id="6242" name="Columna6228" dataDxfId="26771" totalsRowDxfId="10147"/>
    <tableColumn id="6243" name="Columna6229" dataDxfId="26770" totalsRowDxfId="10146"/>
    <tableColumn id="6244" name="Columna6230" dataDxfId="26769" totalsRowDxfId="10145"/>
    <tableColumn id="6245" name="Columna6231" dataDxfId="26768" totalsRowDxfId="10144"/>
    <tableColumn id="6246" name="Columna6232" dataDxfId="26767" totalsRowDxfId="10143"/>
    <tableColumn id="6247" name="Columna6233" dataDxfId="26766" totalsRowDxfId="10142"/>
    <tableColumn id="6248" name="Columna6234" dataDxfId="26765" totalsRowDxfId="10141"/>
    <tableColumn id="6249" name="Columna6235" dataDxfId="26764" totalsRowDxfId="10140"/>
    <tableColumn id="6250" name="Columna6236" dataDxfId="26763" totalsRowDxfId="10139"/>
    <tableColumn id="6251" name="Columna6237" dataDxfId="26762" totalsRowDxfId="10138"/>
    <tableColumn id="6252" name="Columna6238" dataDxfId="26761" totalsRowDxfId="10137"/>
    <tableColumn id="6253" name="Columna6239" dataDxfId="26760" totalsRowDxfId="10136"/>
    <tableColumn id="6254" name="Columna6240" dataDxfId="26759" totalsRowDxfId="10135"/>
    <tableColumn id="6255" name="Columna6241" dataDxfId="26758" totalsRowDxfId="10134"/>
    <tableColumn id="6256" name="Columna6242" dataDxfId="26757" totalsRowDxfId="10133"/>
    <tableColumn id="6257" name="Columna6243" dataDxfId="26756" totalsRowDxfId="10132"/>
    <tableColumn id="6258" name="Columna6244" dataDxfId="26755" totalsRowDxfId="10131"/>
    <tableColumn id="6259" name="Columna6245" dataDxfId="26754" totalsRowDxfId="10130"/>
    <tableColumn id="6260" name="Columna6246" dataDxfId="26753" totalsRowDxfId="10129"/>
    <tableColumn id="6261" name="Columna6247" dataDxfId="26752" totalsRowDxfId="10128"/>
    <tableColumn id="6262" name="Columna6248" dataDxfId="26751" totalsRowDxfId="10127"/>
    <tableColumn id="6263" name="Columna6249" dataDxfId="26750" totalsRowDxfId="10126"/>
    <tableColumn id="6264" name="Columna6250" dataDxfId="26749" totalsRowDxfId="10125"/>
    <tableColumn id="6265" name="Columna6251" dataDxfId="26748" totalsRowDxfId="10124"/>
    <tableColumn id="6266" name="Columna6252" dataDxfId="26747" totalsRowDxfId="10123"/>
    <tableColumn id="6267" name="Columna6253" dataDxfId="26746" totalsRowDxfId="10122"/>
    <tableColumn id="6268" name="Columna6254" dataDxfId="26745" totalsRowDxfId="10121"/>
    <tableColumn id="6269" name="Columna6255" dataDxfId="26744" totalsRowDxfId="10120"/>
    <tableColumn id="6270" name="Columna6256" dataDxfId="26743" totalsRowDxfId="10119"/>
    <tableColumn id="6271" name="Columna6257" dataDxfId="26742" totalsRowDxfId="10118"/>
    <tableColumn id="6272" name="Columna6258" dataDxfId="26741" totalsRowDxfId="10117"/>
    <tableColumn id="6273" name="Columna6259" dataDxfId="26740" totalsRowDxfId="10116"/>
    <tableColumn id="6274" name="Columna6260" dataDxfId="26739" totalsRowDxfId="10115"/>
    <tableColumn id="6275" name="Columna6261" dataDxfId="26738" totalsRowDxfId="10114"/>
    <tableColumn id="6276" name="Columna6262" dataDxfId="26737" totalsRowDxfId="10113"/>
    <tableColumn id="6277" name="Columna6263" dataDxfId="26736" totalsRowDxfId="10112"/>
    <tableColumn id="6278" name="Columna6264" dataDxfId="26735" totalsRowDxfId="10111"/>
    <tableColumn id="6279" name="Columna6265" dataDxfId="26734" totalsRowDxfId="10110"/>
    <tableColumn id="6280" name="Columna6266" dataDxfId="26733" totalsRowDxfId="10109"/>
    <tableColumn id="6281" name="Columna6267" dataDxfId="26732" totalsRowDxfId="10108"/>
    <tableColumn id="6282" name="Columna6268" dataDxfId="26731" totalsRowDxfId="10107"/>
    <tableColumn id="6283" name="Columna6269" dataDxfId="26730" totalsRowDxfId="10106"/>
    <tableColumn id="6284" name="Columna6270" dataDxfId="26729" totalsRowDxfId="10105"/>
    <tableColumn id="6285" name="Columna6271" dataDxfId="26728" totalsRowDxfId="10104"/>
    <tableColumn id="6286" name="Columna6272" dataDxfId="26727" totalsRowDxfId="10103"/>
    <tableColumn id="6287" name="Columna6273" dataDxfId="26726" totalsRowDxfId="10102"/>
    <tableColumn id="6288" name="Columna6274" dataDxfId="26725" totalsRowDxfId="10101"/>
    <tableColumn id="6289" name="Columna6275" dataDxfId="26724" totalsRowDxfId="10100"/>
    <tableColumn id="6290" name="Columna6276" dataDxfId="26723" totalsRowDxfId="10099"/>
    <tableColumn id="6291" name="Columna6277" dataDxfId="26722" totalsRowDxfId="10098"/>
    <tableColumn id="6292" name="Columna6278" dataDxfId="26721" totalsRowDxfId="10097"/>
    <tableColumn id="6293" name="Columna6279" dataDxfId="26720" totalsRowDxfId="10096"/>
    <tableColumn id="6294" name="Columna6280" dataDxfId="26719" totalsRowDxfId="10095"/>
    <tableColumn id="6295" name="Columna6281" dataDxfId="26718" totalsRowDxfId="10094"/>
    <tableColumn id="6296" name="Columna6282" dataDxfId="26717" totalsRowDxfId="10093"/>
    <tableColumn id="6297" name="Columna6283" dataDxfId="26716" totalsRowDxfId="10092"/>
    <tableColumn id="6298" name="Columna6284" dataDxfId="26715" totalsRowDxfId="10091"/>
    <tableColumn id="6299" name="Columna6285" dataDxfId="26714" totalsRowDxfId="10090"/>
    <tableColumn id="6300" name="Columna6286" dataDxfId="26713" totalsRowDxfId="10089"/>
    <tableColumn id="6301" name="Columna6287" dataDxfId="26712" totalsRowDxfId="10088"/>
    <tableColumn id="6302" name="Columna6288" dataDxfId="26711" totalsRowDxfId="10087"/>
    <tableColumn id="6303" name="Columna6289" dataDxfId="26710" totalsRowDxfId="10086"/>
    <tableColumn id="6304" name="Columna6290" dataDxfId="26709" totalsRowDxfId="10085"/>
    <tableColumn id="6305" name="Columna6291" dataDxfId="26708" totalsRowDxfId="10084"/>
    <tableColumn id="6306" name="Columna6292" dataDxfId="26707" totalsRowDxfId="10083"/>
    <tableColumn id="6307" name="Columna6293" dataDxfId="26706" totalsRowDxfId="10082"/>
    <tableColumn id="6308" name="Columna6294" dataDxfId="26705" totalsRowDxfId="10081"/>
    <tableColumn id="6309" name="Columna6295" dataDxfId="26704" totalsRowDxfId="10080"/>
    <tableColumn id="6310" name="Columna6296" dataDxfId="26703" totalsRowDxfId="10079"/>
    <tableColumn id="6311" name="Columna6297" dataDxfId="26702" totalsRowDxfId="10078"/>
    <tableColumn id="6312" name="Columna6298" dataDxfId="26701" totalsRowDxfId="10077"/>
    <tableColumn id="6313" name="Columna6299" dataDxfId="26700" totalsRowDxfId="10076"/>
    <tableColumn id="6314" name="Columna6300" dataDxfId="26699" totalsRowDxfId="10075"/>
    <tableColumn id="6315" name="Columna6301" dataDxfId="26698" totalsRowDxfId="10074"/>
    <tableColumn id="6316" name="Columna6302" dataDxfId="26697" totalsRowDxfId="10073"/>
    <tableColumn id="6317" name="Columna6303" dataDxfId="26696" totalsRowDxfId="10072"/>
    <tableColumn id="6318" name="Columna6304" dataDxfId="26695" totalsRowDxfId="10071"/>
    <tableColumn id="6319" name="Columna6305" dataDxfId="26694" totalsRowDxfId="10070"/>
    <tableColumn id="6320" name="Columna6306" dataDxfId="26693" totalsRowDxfId="10069"/>
    <tableColumn id="6321" name="Columna6307" dataDxfId="26692" totalsRowDxfId="10068"/>
    <tableColumn id="6322" name="Columna6308" dataDxfId="26691" totalsRowDxfId="10067"/>
    <tableColumn id="6323" name="Columna6309" dataDxfId="26690" totalsRowDxfId="10066"/>
    <tableColumn id="6324" name="Columna6310" dataDxfId="26689" totalsRowDxfId="10065"/>
    <tableColumn id="6325" name="Columna6311" dataDxfId="26688" totalsRowDxfId="10064"/>
    <tableColumn id="6326" name="Columna6312" dataDxfId="26687" totalsRowDxfId="10063"/>
    <tableColumn id="6327" name="Columna6313" dataDxfId="26686" totalsRowDxfId="10062"/>
    <tableColumn id="6328" name="Columna6314" dataDxfId="26685" totalsRowDxfId="10061"/>
    <tableColumn id="6329" name="Columna6315" dataDxfId="26684" totalsRowDxfId="10060"/>
    <tableColumn id="6330" name="Columna6316" dataDxfId="26683" totalsRowDxfId="10059"/>
    <tableColumn id="6331" name="Columna6317" dataDxfId="26682" totalsRowDxfId="10058"/>
    <tableColumn id="6332" name="Columna6318" dataDxfId="26681" totalsRowDxfId="10057"/>
    <tableColumn id="6333" name="Columna6319" dataDxfId="26680" totalsRowDxfId="10056"/>
    <tableColumn id="6334" name="Columna6320" dataDxfId="26679" totalsRowDxfId="10055"/>
    <tableColumn id="6335" name="Columna6321" dataDxfId="26678" totalsRowDxfId="10054"/>
    <tableColumn id="6336" name="Columna6322" dataDxfId="26677" totalsRowDxfId="10053"/>
    <tableColumn id="6337" name="Columna6323" dataDxfId="26676" totalsRowDxfId="10052"/>
    <tableColumn id="6338" name="Columna6324" dataDxfId="26675" totalsRowDxfId="10051"/>
    <tableColumn id="6339" name="Columna6325" dataDxfId="26674" totalsRowDxfId="10050"/>
    <tableColumn id="6340" name="Columna6326" dataDxfId="26673" totalsRowDxfId="10049"/>
    <tableColumn id="6341" name="Columna6327" dataDxfId="26672" totalsRowDxfId="10048"/>
    <tableColumn id="6342" name="Columna6328" dataDxfId="26671" totalsRowDxfId="10047"/>
    <tableColumn id="6343" name="Columna6329" dataDxfId="26670" totalsRowDxfId="10046"/>
    <tableColumn id="6344" name="Columna6330" dataDxfId="26669" totalsRowDxfId="10045"/>
    <tableColumn id="6345" name="Columna6331" dataDxfId="26668" totalsRowDxfId="10044"/>
    <tableColumn id="6346" name="Columna6332" dataDxfId="26667" totalsRowDxfId="10043"/>
    <tableColumn id="6347" name="Columna6333" dataDxfId="26666" totalsRowDxfId="10042"/>
    <tableColumn id="6348" name="Columna6334" dataDxfId="26665" totalsRowDxfId="10041"/>
    <tableColumn id="6349" name="Columna6335" dataDxfId="26664" totalsRowDxfId="10040"/>
    <tableColumn id="6350" name="Columna6336" dataDxfId="26663" totalsRowDxfId="10039"/>
    <tableColumn id="6351" name="Columna6337" dataDxfId="26662" totalsRowDxfId="10038"/>
    <tableColumn id="6352" name="Columna6338" dataDxfId="26661" totalsRowDxfId="10037"/>
    <tableColumn id="6353" name="Columna6339" dataDxfId="26660" totalsRowDxfId="10036"/>
    <tableColumn id="6354" name="Columna6340" dataDxfId="26659" totalsRowDxfId="10035"/>
    <tableColumn id="6355" name="Columna6341" dataDxfId="26658" totalsRowDxfId="10034"/>
    <tableColumn id="6356" name="Columna6342" dataDxfId="26657" totalsRowDxfId="10033"/>
    <tableColumn id="6357" name="Columna6343" dataDxfId="26656" totalsRowDxfId="10032"/>
    <tableColumn id="6358" name="Columna6344" dataDxfId="26655" totalsRowDxfId="10031"/>
    <tableColumn id="6359" name="Columna6345" dataDxfId="26654" totalsRowDxfId="10030"/>
    <tableColumn id="6360" name="Columna6346" dataDxfId="26653" totalsRowDxfId="10029"/>
    <tableColumn id="6361" name="Columna6347" dataDxfId="26652" totalsRowDxfId="10028"/>
    <tableColumn id="6362" name="Columna6348" dataDxfId="26651" totalsRowDxfId="10027"/>
    <tableColumn id="6363" name="Columna6349" dataDxfId="26650" totalsRowDxfId="10026"/>
    <tableColumn id="6364" name="Columna6350" dataDxfId="26649" totalsRowDxfId="10025"/>
    <tableColumn id="6365" name="Columna6351" dataDxfId="26648" totalsRowDxfId="10024"/>
    <tableColumn id="6366" name="Columna6352" dataDxfId="26647" totalsRowDxfId="10023"/>
    <tableColumn id="6367" name="Columna6353" dataDxfId="26646" totalsRowDxfId="10022"/>
    <tableColumn id="6368" name="Columna6354" dataDxfId="26645" totalsRowDxfId="10021"/>
    <tableColumn id="6369" name="Columna6355" dataDxfId="26644" totalsRowDxfId="10020"/>
    <tableColumn id="6370" name="Columna6356" dataDxfId="26643" totalsRowDxfId="10019"/>
    <tableColumn id="6371" name="Columna6357" dataDxfId="26642" totalsRowDxfId="10018"/>
    <tableColumn id="6372" name="Columna6358" dataDxfId="26641" totalsRowDxfId="10017"/>
    <tableColumn id="6373" name="Columna6359" dataDxfId="26640" totalsRowDxfId="10016"/>
    <tableColumn id="6374" name="Columna6360" dataDxfId="26639" totalsRowDxfId="10015"/>
    <tableColumn id="6375" name="Columna6361" dataDxfId="26638" totalsRowDxfId="10014"/>
    <tableColumn id="6376" name="Columna6362" dataDxfId="26637" totalsRowDxfId="10013"/>
    <tableColumn id="6377" name="Columna6363" dataDxfId="26636" totalsRowDxfId="10012"/>
    <tableColumn id="6378" name="Columna6364" dataDxfId="26635" totalsRowDxfId="10011"/>
    <tableColumn id="6379" name="Columna6365" dataDxfId="26634" totalsRowDxfId="10010"/>
    <tableColumn id="6380" name="Columna6366" dataDxfId="26633" totalsRowDxfId="10009"/>
    <tableColumn id="6381" name="Columna6367" dataDxfId="26632" totalsRowDxfId="10008"/>
    <tableColumn id="6382" name="Columna6368" dataDxfId="26631" totalsRowDxfId="10007"/>
    <tableColumn id="6383" name="Columna6369" dataDxfId="26630" totalsRowDxfId="10006"/>
    <tableColumn id="6384" name="Columna6370" dataDxfId="26629" totalsRowDxfId="10005"/>
    <tableColumn id="6385" name="Columna6371" dataDxfId="26628" totalsRowDxfId="10004"/>
    <tableColumn id="6386" name="Columna6372" dataDxfId="26627" totalsRowDxfId="10003"/>
    <tableColumn id="6387" name="Columna6373" dataDxfId="26626" totalsRowDxfId="10002"/>
    <tableColumn id="6388" name="Columna6374" dataDxfId="26625" totalsRowDxfId="10001"/>
    <tableColumn id="6389" name="Columna6375" dataDxfId="26624" totalsRowDxfId="10000"/>
    <tableColumn id="6390" name="Columna6376" dataDxfId="26623" totalsRowDxfId="9999"/>
    <tableColumn id="6391" name="Columna6377" dataDxfId="26622" totalsRowDxfId="9998"/>
    <tableColumn id="6392" name="Columna6378" dataDxfId="26621" totalsRowDxfId="9997"/>
    <tableColumn id="6393" name="Columna6379" dataDxfId="26620" totalsRowDxfId="9996"/>
    <tableColumn id="6394" name="Columna6380" dataDxfId="26619" totalsRowDxfId="9995"/>
    <tableColumn id="6395" name="Columna6381" dataDxfId="26618" totalsRowDxfId="9994"/>
    <tableColumn id="6396" name="Columna6382" dataDxfId="26617" totalsRowDxfId="9993"/>
    <tableColumn id="6397" name="Columna6383" dataDxfId="26616" totalsRowDxfId="9992"/>
    <tableColumn id="6398" name="Columna6384" dataDxfId="26615" totalsRowDxfId="9991"/>
    <tableColumn id="6399" name="Columna6385" dataDxfId="26614" totalsRowDxfId="9990"/>
    <tableColumn id="6400" name="Columna6386" dataDxfId="26613" totalsRowDxfId="9989"/>
    <tableColumn id="6401" name="Columna6387" dataDxfId="26612" totalsRowDxfId="9988"/>
    <tableColumn id="6402" name="Columna6388" dataDxfId="26611" totalsRowDxfId="9987"/>
    <tableColumn id="6403" name="Columna6389" dataDxfId="26610" totalsRowDxfId="9986"/>
    <tableColumn id="6404" name="Columna6390" dataDxfId="26609" totalsRowDxfId="9985"/>
    <tableColumn id="6405" name="Columna6391" dataDxfId="26608" totalsRowDxfId="9984"/>
    <tableColumn id="6406" name="Columna6392" dataDxfId="26607" totalsRowDxfId="9983"/>
    <tableColumn id="6407" name="Columna6393" dataDxfId="26606" totalsRowDxfId="9982"/>
    <tableColumn id="6408" name="Columna6394" dataDxfId="26605" totalsRowDxfId="9981"/>
    <tableColumn id="6409" name="Columna6395" dataDxfId="26604" totalsRowDxfId="9980"/>
    <tableColumn id="6410" name="Columna6396" dataDxfId="26603" totalsRowDxfId="9979"/>
    <tableColumn id="6411" name="Columna6397" dataDxfId="26602" totalsRowDxfId="9978"/>
    <tableColumn id="6412" name="Columna6398" dataDxfId="26601" totalsRowDxfId="9977"/>
    <tableColumn id="6413" name="Columna6399" dataDxfId="26600" totalsRowDxfId="9976"/>
    <tableColumn id="6414" name="Columna6400" dataDxfId="26599" totalsRowDxfId="9975"/>
    <tableColumn id="6415" name="Columna6401" dataDxfId="26598" totalsRowDxfId="9974"/>
    <tableColumn id="6416" name="Columna6402" dataDxfId="26597" totalsRowDxfId="9973"/>
    <tableColumn id="6417" name="Columna6403" dataDxfId="26596" totalsRowDxfId="9972"/>
    <tableColumn id="6418" name="Columna6404" dataDxfId="26595" totalsRowDxfId="9971"/>
    <tableColumn id="6419" name="Columna6405" dataDxfId="26594" totalsRowDxfId="9970"/>
    <tableColumn id="6420" name="Columna6406" dataDxfId="26593" totalsRowDxfId="9969"/>
    <tableColumn id="6421" name="Columna6407" dataDxfId="26592" totalsRowDxfId="9968"/>
    <tableColumn id="6422" name="Columna6408" dataDxfId="26591" totalsRowDxfId="9967"/>
    <tableColumn id="6423" name="Columna6409" dataDxfId="26590" totalsRowDxfId="9966"/>
    <tableColumn id="6424" name="Columna6410" dataDxfId="26589" totalsRowDxfId="9965"/>
    <tableColumn id="6425" name="Columna6411" dataDxfId="26588" totalsRowDxfId="9964"/>
    <tableColumn id="6426" name="Columna6412" dataDxfId="26587" totalsRowDxfId="9963"/>
    <tableColumn id="6427" name="Columna6413" dataDxfId="26586" totalsRowDxfId="9962"/>
    <tableColumn id="6428" name="Columna6414" dataDxfId="26585" totalsRowDxfId="9961"/>
    <tableColumn id="6429" name="Columna6415" dataDxfId="26584" totalsRowDxfId="9960"/>
    <tableColumn id="6430" name="Columna6416" dataDxfId="26583" totalsRowDxfId="9959"/>
    <tableColumn id="6431" name="Columna6417" dataDxfId="26582" totalsRowDxfId="9958"/>
    <tableColumn id="6432" name="Columna6418" dataDxfId="26581" totalsRowDxfId="9957"/>
    <tableColumn id="6433" name="Columna6419" dataDxfId="26580" totalsRowDxfId="9956"/>
    <tableColumn id="6434" name="Columna6420" dataDxfId="26579" totalsRowDxfId="9955"/>
    <tableColumn id="6435" name="Columna6421" dataDxfId="26578" totalsRowDxfId="9954"/>
    <tableColumn id="6436" name="Columna6422" dataDxfId="26577" totalsRowDxfId="9953"/>
    <tableColumn id="6437" name="Columna6423" dataDxfId="26576" totalsRowDxfId="9952"/>
    <tableColumn id="6438" name="Columna6424" dataDxfId="26575" totalsRowDxfId="9951"/>
    <tableColumn id="6439" name="Columna6425" dataDxfId="26574" totalsRowDxfId="9950"/>
    <tableColumn id="6440" name="Columna6426" dataDxfId="26573" totalsRowDxfId="9949"/>
    <tableColumn id="6441" name="Columna6427" dataDxfId="26572" totalsRowDxfId="9948"/>
    <tableColumn id="6442" name="Columna6428" dataDxfId="26571" totalsRowDxfId="9947"/>
    <tableColumn id="6443" name="Columna6429" dataDxfId="26570" totalsRowDxfId="9946"/>
    <tableColumn id="6444" name="Columna6430" dataDxfId="26569" totalsRowDxfId="9945"/>
    <tableColumn id="6445" name="Columna6431" dataDxfId="26568" totalsRowDxfId="9944"/>
    <tableColumn id="6446" name="Columna6432" dataDxfId="26567" totalsRowDxfId="9943"/>
    <tableColumn id="6447" name="Columna6433" dataDxfId="26566" totalsRowDxfId="9942"/>
    <tableColumn id="6448" name="Columna6434" dataDxfId="26565" totalsRowDxfId="9941"/>
    <tableColumn id="6449" name="Columna6435" dataDxfId="26564" totalsRowDxfId="9940"/>
    <tableColumn id="6450" name="Columna6436" dataDxfId="26563" totalsRowDxfId="9939"/>
    <tableColumn id="6451" name="Columna6437" dataDxfId="26562" totalsRowDxfId="9938"/>
    <tableColumn id="6452" name="Columna6438" dataDxfId="26561" totalsRowDxfId="9937"/>
    <tableColumn id="6453" name="Columna6439" dataDxfId="26560" totalsRowDxfId="9936"/>
    <tableColumn id="6454" name="Columna6440" dataDxfId="26559" totalsRowDxfId="9935"/>
    <tableColumn id="6455" name="Columna6441" dataDxfId="26558" totalsRowDxfId="9934"/>
    <tableColumn id="6456" name="Columna6442" dataDxfId="26557" totalsRowDxfId="9933"/>
    <tableColumn id="6457" name="Columna6443" dataDxfId="26556" totalsRowDxfId="9932"/>
    <tableColumn id="6458" name="Columna6444" dataDxfId="26555" totalsRowDxfId="9931"/>
    <tableColumn id="6459" name="Columna6445" dataDxfId="26554" totalsRowDxfId="9930"/>
    <tableColumn id="6460" name="Columna6446" dataDxfId="26553" totalsRowDxfId="9929"/>
    <tableColumn id="6461" name="Columna6447" dataDxfId="26552" totalsRowDxfId="9928"/>
    <tableColumn id="6462" name="Columna6448" dataDxfId="26551" totalsRowDxfId="9927"/>
    <tableColumn id="6463" name="Columna6449" dataDxfId="26550" totalsRowDxfId="9926"/>
    <tableColumn id="6464" name="Columna6450" dataDxfId="26549" totalsRowDxfId="9925"/>
    <tableColumn id="6465" name="Columna6451" dataDxfId="26548" totalsRowDxfId="9924"/>
    <tableColumn id="6466" name="Columna6452" dataDxfId="26547" totalsRowDxfId="9923"/>
    <tableColumn id="6467" name="Columna6453" dataDxfId="26546" totalsRowDxfId="9922"/>
    <tableColumn id="6468" name="Columna6454" dataDxfId="26545" totalsRowDxfId="9921"/>
    <tableColumn id="6469" name="Columna6455" dataDxfId="26544" totalsRowDxfId="9920"/>
    <tableColumn id="6470" name="Columna6456" dataDxfId="26543" totalsRowDxfId="9919"/>
    <tableColumn id="6471" name="Columna6457" dataDxfId="26542" totalsRowDxfId="9918"/>
    <tableColumn id="6472" name="Columna6458" dataDxfId="26541" totalsRowDxfId="9917"/>
    <tableColumn id="6473" name="Columna6459" dataDxfId="26540" totalsRowDxfId="9916"/>
    <tableColumn id="6474" name="Columna6460" dataDxfId="26539" totalsRowDxfId="9915"/>
    <tableColumn id="6475" name="Columna6461" dataDxfId="26538" totalsRowDxfId="9914"/>
    <tableColumn id="6476" name="Columna6462" dataDxfId="26537" totalsRowDxfId="9913"/>
    <tableColumn id="6477" name="Columna6463" dataDxfId="26536" totalsRowDxfId="9912"/>
    <tableColumn id="6478" name="Columna6464" dataDxfId="26535" totalsRowDxfId="9911"/>
    <tableColumn id="6479" name="Columna6465" dataDxfId="26534" totalsRowDxfId="9910"/>
    <tableColumn id="6480" name="Columna6466" dataDxfId="26533" totalsRowDxfId="9909"/>
    <tableColumn id="6481" name="Columna6467" dataDxfId="26532" totalsRowDxfId="9908"/>
    <tableColumn id="6482" name="Columna6468" dataDxfId="26531" totalsRowDxfId="9907"/>
    <tableColumn id="6483" name="Columna6469" dataDxfId="26530" totalsRowDxfId="9906"/>
    <tableColumn id="6484" name="Columna6470" dataDxfId="26529" totalsRowDxfId="9905"/>
    <tableColumn id="6485" name="Columna6471" dataDxfId="26528" totalsRowDxfId="9904"/>
    <tableColumn id="6486" name="Columna6472" dataDxfId="26527" totalsRowDxfId="9903"/>
    <tableColumn id="6487" name="Columna6473" dataDxfId="26526" totalsRowDxfId="9902"/>
    <tableColumn id="6488" name="Columna6474" dataDxfId="26525" totalsRowDxfId="9901"/>
    <tableColumn id="6489" name="Columna6475" dataDxfId="26524" totalsRowDxfId="9900"/>
    <tableColumn id="6490" name="Columna6476" dataDxfId="26523" totalsRowDxfId="9899"/>
    <tableColumn id="6491" name="Columna6477" dataDxfId="26522" totalsRowDxfId="9898"/>
    <tableColumn id="6492" name="Columna6478" dataDxfId="26521" totalsRowDxfId="9897"/>
    <tableColumn id="6493" name="Columna6479" dataDxfId="26520" totalsRowDxfId="9896"/>
    <tableColumn id="6494" name="Columna6480" dataDxfId="26519" totalsRowDxfId="9895"/>
    <tableColumn id="6495" name="Columna6481" dataDxfId="26518" totalsRowDxfId="9894"/>
    <tableColumn id="6496" name="Columna6482" dataDxfId="26517" totalsRowDxfId="9893"/>
    <tableColumn id="6497" name="Columna6483" dataDxfId="26516" totalsRowDxfId="9892"/>
    <tableColumn id="6498" name="Columna6484" dataDxfId="26515" totalsRowDxfId="9891"/>
    <tableColumn id="6499" name="Columna6485" dataDxfId="26514" totalsRowDxfId="9890"/>
    <tableColumn id="6500" name="Columna6486" dataDxfId="26513" totalsRowDxfId="9889"/>
    <tableColumn id="6501" name="Columna6487" dataDxfId="26512" totalsRowDxfId="9888"/>
    <tableColumn id="6502" name="Columna6488" dataDxfId="26511" totalsRowDxfId="9887"/>
    <tableColumn id="6503" name="Columna6489" dataDxfId="26510" totalsRowDxfId="9886"/>
    <tableColumn id="6504" name="Columna6490" dataDxfId="26509" totalsRowDxfId="9885"/>
    <tableColumn id="6505" name="Columna6491" dataDxfId="26508" totalsRowDxfId="9884"/>
    <tableColumn id="6506" name="Columna6492" dataDxfId="26507" totalsRowDxfId="9883"/>
    <tableColumn id="6507" name="Columna6493" dataDxfId="26506" totalsRowDxfId="9882"/>
    <tableColumn id="6508" name="Columna6494" dataDxfId="26505" totalsRowDxfId="9881"/>
    <tableColumn id="6509" name="Columna6495" dataDxfId="26504" totalsRowDxfId="9880"/>
    <tableColumn id="6510" name="Columna6496" dataDxfId="26503" totalsRowDxfId="9879"/>
    <tableColumn id="6511" name="Columna6497" dataDxfId="26502" totalsRowDxfId="9878"/>
    <tableColumn id="6512" name="Columna6498" dataDxfId="26501" totalsRowDxfId="9877"/>
    <tableColumn id="6513" name="Columna6499" dataDxfId="26500" totalsRowDxfId="9876"/>
    <tableColumn id="6514" name="Columna6500" dataDxfId="26499" totalsRowDxfId="9875"/>
    <tableColumn id="6515" name="Columna6501" dataDxfId="26498" totalsRowDxfId="9874"/>
    <tableColumn id="6516" name="Columna6502" dataDxfId="26497" totalsRowDxfId="9873"/>
    <tableColumn id="6517" name="Columna6503" dataDxfId="26496" totalsRowDxfId="9872"/>
    <tableColumn id="6518" name="Columna6504" dataDxfId="26495" totalsRowDxfId="9871"/>
    <tableColumn id="6519" name="Columna6505" dataDxfId="26494" totalsRowDxfId="9870"/>
    <tableColumn id="6520" name="Columna6506" dataDxfId="26493" totalsRowDxfId="9869"/>
    <tableColumn id="6521" name="Columna6507" dataDxfId="26492" totalsRowDxfId="9868"/>
    <tableColumn id="6522" name="Columna6508" dataDxfId="26491" totalsRowDxfId="9867"/>
    <tableColumn id="6523" name="Columna6509" dataDxfId="26490" totalsRowDxfId="9866"/>
    <tableColumn id="6524" name="Columna6510" dataDxfId="26489" totalsRowDxfId="9865"/>
    <tableColumn id="6525" name="Columna6511" dataDxfId="26488" totalsRowDxfId="9864"/>
    <tableColumn id="6526" name="Columna6512" dataDxfId="26487" totalsRowDxfId="9863"/>
    <tableColumn id="6527" name="Columna6513" dataDxfId="26486" totalsRowDxfId="9862"/>
    <tableColumn id="6528" name="Columna6514" dataDxfId="26485" totalsRowDxfId="9861"/>
    <tableColumn id="6529" name="Columna6515" dataDxfId="26484" totalsRowDxfId="9860"/>
    <tableColumn id="6530" name="Columna6516" dataDxfId="26483" totalsRowDxfId="9859"/>
    <tableColumn id="6531" name="Columna6517" dataDxfId="26482" totalsRowDxfId="9858"/>
    <tableColumn id="6532" name="Columna6518" dataDxfId="26481" totalsRowDxfId="9857"/>
    <tableColumn id="6533" name="Columna6519" dataDxfId="26480" totalsRowDxfId="9856"/>
    <tableColumn id="6534" name="Columna6520" dataDxfId="26479" totalsRowDxfId="9855"/>
    <tableColumn id="6535" name="Columna6521" dataDxfId="26478" totalsRowDxfId="9854"/>
    <tableColumn id="6536" name="Columna6522" dataDxfId="26477" totalsRowDxfId="9853"/>
    <tableColumn id="6537" name="Columna6523" dataDxfId="26476" totalsRowDxfId="9852"/>
    <tableColumn id="6538" name="Columna6524" dataDxfId="26475" totalsRowDxfId="9851"/>
    <tableColumn id="6539" name="Columna6525" dataDxfId="26474" totalsRowDxfId="9850"/>
    <tableColumn id="6540" name="Columna6526" dataDxfId="26473" totalsRowDxfId="9849"/>
    <tableColumn id="6541" name="Columna6527" dataDxfId="26472" totalsRowDxfId="9848"/>
    <tableColumn id="6542" name="Columna6528" dataDxfId="26471" totalsRowDxfId="9847"/>
    <tableColumn id="6543" name="Columna6529" dataDxfId="26470" totalsRowDxfId="9846"/>
    <tableColumn id="6544" name="Columna6530" dataDxfId="26469" totalsRowDxfId="9845"/>
    <tableColumn id="6545" name="Columna6531" dataDxfId="26468" totalsRowDxfId="9844"/>
    <tableColumn id="6546" name="Columna6532" dataDxfId="26467" totalsRowDxfId="9843"/>
    <tableColumn id="6547" name="Columna6533" dataDxfId="26466" totalsRowDxfId="9842"/>
    <tableColumn id="6548" name="Columna6534" dataDxfId="26465" totalsRowDxfId="9841"/>
    <tableColumn id="6549" name="Columna6535" dataDxfId="26464" totalsRowDxfId="9840"/>
    <tableColumn id="6550" name="Columna6536" dataDxfId="26463" totalsRowDxfId="9839"/>
    <tableColumn id="6551" name="Columna6537" dataDxfId="26462" totalsRowDxfId="9838"/>
    <tableColumn id="6552" name="Columna6538" dataDxfId="26461" totalsRowDxfId="9837"/>
    <tableColumn id="6553" name="Columna6539" dataDxfId="26460" totalsRowDxfId="9836"/>
    <tableColumn id="6554" name="Columna6540" dataDxfId="26459" totalsRowDxfId="9835"/>
    <tableColumn id="6555" name="Columna6541" dataDxfId="26458" totalsRowDxfId="9834"/>
    <tableColumn id="6556" name="Columna6542" dataDxfId="26457" totalsRowDxfId="9833"/>
    <tableColumn id="6557" name="Columna6543" dataDxfId="26456" totalsRowDxfId="9832"/>
    <tableColumn id="6558" name="Columna6544" dataDxfId="26455" totalsRowDxfId="9831"/>
    <tableColumn id="6559" name="Columna6545" dataDxfId="26454" totalsRowDxfId="9830"/>
    <tableColumn id="6560" name="Columna6546" dataDxfId="26453" totalsRowDxfId="9829"/>
    <tableColumn id="6561" name="Columna6547" dataDxfId="26452" totalsRowDxfId="9828"/>
    <tableColumn id="6562" name="Columna6548" dataDxfId="26451" totalsRowDxfId="9827"/>
    <tableColumn id="6563" name="Columna6549" dataDxfId="26450" totalsRowDxfId="9826"/>
    <tableColumn id="6564" name="Columna6550" dataDxfId="26449" totalsRowDxfId="9825"/>
    <tableColumn id="6565" name="Columna6551" dataDxfId="26448" totalsRowDxfId="9824"/>
    <tableColumn id="6566" name="Columna6552" dataDxfId="26447" totalsRowDxfId="9823"/>
    <tableColumn id="6567" name="Columna6553" dataDxfId="26446" totalsRowDxfId="9822"/>
    <tableColumn id="6568" name="Columna6554" dataDxfId="26445" totalsRowDxfId="9821"/>
    <tableColumn id="6569" name="Columna6555" dataDxfId="26444" totalsRowDxfId="9820"/>
    <tableColumn id="6570" name="Columna6556" dataDxfId="26443" totalsRowDxfId="9819"/>
    <tableColumn id="6571" name="Columna6557" dataDxfId="26442" totalsRowDxfId="9818"/>
    <tableColumn id="6572" name="Columna6558" dataDxfId="26441" totalsRowDxfId="9817"/>
    <tableColumn id="6573" name="Columna6559" dataDxfId="26440" totalsRowDxfId="9816"/>
    <tableColumn id="6574" name="Columna6560" dataDxfId="26439" totalsRowDxfId="9815"/>
    <tableColumn id="6575" name="Columna6561" dataDxfId="26438" totalsRowDxfId="9814"/>
    <tableColumn id="6576" name="Columna6562" dataDxfId="26437" totalsRowDxfId="9813"/>
    <tableColumn id="6577" name="Columna6563" dataDxfId="26436" totalsRowDxfId="9812"/>
    <tableColumn id="6578" name="Columna6564" dataDxfId="26435" totalsRowDxfId="9811"/>
    <tableColumn id="6579" name="Columna6565" dataDxfId="26434" totalsRowDxfId="9810"/>
    <tableColumn id="6580" name="Columna6566" dataDxfId="26433" totalsRowDxfId="9809"/>
    <tableColumn id="6581" name="Columna6567" dataDxfId="26432" totalsRowDxfId="9808"/>
    <tableColumn id="6582" name="Columna6568" dataDxfId="26431" totalsRowDxfId="9807"/>
    <tableColumn id="6583" name="Columna6569" dataDxfId="26430" totalsRowDxfId="9806"/>
    <tableColumn id="6584" name="Columna6570" dataDxfId="26429" totalsRowDxfId="9805"/>
    <tableColumn id="6585" name="Columna6571" dataDxfId="26428" totalsRowDxfId="9804"/>
    <tableColumn id="6586" name="Columna6572" dataDxfId="26427" totalsRowDxfId="9803"/>
    <tableColumn id="6587" name="Columna6573" dataDxfId="26426" totalsRowDxfId="9802"/>
    <tableColumn id="6588" name="Columna6574" dataDxfId="26425" totalsRowDxfId="9801"/>
    <tableColumn id="6589" name="Columna6575" dataDxfId="26424" totalsRowDxfId="9800"/>
    <tableColumn id="6590" name="Columna6576" dataDxfId="26423" totalsRowDxfId="9799"/>
    <tableColumn id="6591" name="Columna6577" dataDxfId="26422" totalsRowDxfId="9798"/>
    <tableColumn id="6592" name="Columna6578" dataDxfId="26421" totalsRowDxfId="9797"/>
    <tableColumn id="6593" name="Columna6579" dataDxfId="26420" totalsRowDxfId="9796"/>
    <tableColumn id="6594" name="Columna6580" dataDxfId="26419" totalsRowDxfId="9795"/>
    <tableColumn id="6595" name="Columna6581" dataDxfId="26418" totalsRowDxfId="9794"/>
    <tableColumn id="6596" name="Columna6582" dataDxfId="26417" totalsRowDxfId="9793"/>
    <tableColumn id="6597" name="Columna6583" dataDxfId="26416" totalsRowDxfId="9792"/>
    <tableColumn id="6598" name="Columna6584" dataDxfId="26415" totalsRowDxfId="9791"/>
    <tableColumn id="6599" name="Columna6585" dataDxfId="26414" totalsRowDxfId="9790"/>
    <tableColumn id="6600" name="Columna6586" dataDxfId="26413" totalsRowDxfId="9789"/>
    <tableColumn id="6601" name="Columna6587" dataDxfId="26412" totalsRowDxfId="9788"/>
    <tableColumn id="6602" name="Columna6588" dataDxfId="26411" totalsRowDxfId="9787"/>
    <tableColumn id="6603" name="Columna6589" dataDxfId="26410" totalsRowDxfId="9786"/>
    <tableColumn id="6604" name="Columna6590" dataDxfId="26409" totalsRowDxfId="9785"/>
    <tableColumn id="6605" name="Columna6591" dataDxfId="26408" totalsRowDxfId="9784"/>
    <tableColumn id="6606" name="Columna6592" dataDxfId="26407" totalsRowDxfId="9783"/>
    <tableColumn id="6607" name="Columna6593" dataDxfId="26406" totalsRowDxfId="9782"/>
    <tableColumn id="6608" name="Columna6594" dataDxfId="26405" totalsRowDxfId="9781"/>
    <tableColumn id="6609" name="Columna6595" dataDxfId="26404" totalsRowDxfId="9780"/>
    <tableColumn id="6610" name="Columna6596" dataDxfId="26403" totalsRowDxfId="9779"/>
    <tableColumn id="6611" name="Columna6597" dataDxfId="26402" totalsRowDxfId="9778"/>
    <tableColumn id="6612" name="Columna6598" dataDxfId="26401" totalsRowDxfId="9777"/>
    <tableColumn id="6613" name="Columna6599" dataDxfId="26400" totalsRowDxfId="9776"/>
    <tableColumn id="6614" name="Columna6600" dataDxfId="26399" totalsRowDxfId="9775"/>
    <tableColumn id="6615" name="Columna6601" dataDxfId="26398" totalsRowDxfId="9774"/>
    <tableColumn id="6616" name="Columna6602" dataDxfId="26397" totalsRowDxfId="9773"/>
    <tableColumn id="6617" name="Columna6603" dataDxfId="26396" totalsRowDxfId="9772"/>
    <tableColumn id="6618" name="Columna6604" dataDxfId="26395" totalsRowDxfId="9771"/>
    <tableColumn id="6619" name="Columna6605" dataDxfId="26394" totalsRowDxfId="9770"/>
    <tableColumn id="6620" name="Columna6606" dataDxfId="26393" totalsRowDxfId="9769"/>
    <tableColumn id="6621" name="Columna6607" dataDxfId="26392" totalsRowDxfId="9768"/>
    <tableColumn id="6622" name="Columna6608" dataDxfId="26391" totalsRowDxfId="9767"/>
    <tableColumn id="6623" name="Columna6609" dataDxfId="26390" totalsRowDxfId="9766"/>
    <tableColumn id="6624" name="Columna6610" dataDxfId="26389" totalsRowDxfId="9765"/>
    <tableColumn id="6625" name="Columna6611" dataDxfId="26388" totalsRowDxfId="9764"/>
    <tableColumn id="6626" name="Columna6612" dataDxfId="26387" totalsRowDxfId="9763"/>
    <tableColumn id="6627" name="Columna6613" dataDxfId="26386" totalsRowDxfId="9762"/>
    <tableColumn id="6628" name="Columna6614" dataDxfId="26385" totalsRowDxfId="9761"/>
    <tableColumn id="6629" name="Columna6615" dataDxfId="26384" totalsRowDxfId="9760"/>
    <tableColumn id="6630" name="Columna6616" dataDxfId="26383" totalsRowDxfId="9759"/>
    <tableColumn id="6631" name="Columna6617" dataDxfId="26382" totalsRowDxfId="9758"/>
    <tableColumn id="6632" name="Columna6618" dataDxfId="26381" totalsRowDxfId="9757"/>
    <tableColumn id="6633" name="Columna6619" dataDxfId="26380" totalsRowDxfId="9756"/>
    <tableColumn id="6634" name="Columna6620" dataDxfId="26379" totalsRowDxfId="9755"/>
    <tableColumn id="6635" name="Columna6621" dataDxfId="26378" totalsRowDxfId="9754"/>
    <tableColumn id="6636" name="Columna6622" dataDxfId="26377" totalsRowDxfId="9753"/>
    <tableColumn id="6637" name="Columna6623" dataDxfId="26376" totalsRowDxfId="9752"/>
    <tableColumn id="6638" name="Columna6624" dataDxfId="26375" totalsRowDxfId="9751"/>
    <tableColumn id="6639" name="Columna6625" dataDxfId="26374" totalsRowDxfId="9750"/>
    <tableColumn id="6640" name="Columna6626" dataDxfId="26373" totalsRowDxfId="9749"/>
    <tableColumn id="6641" name="Columna6627" dataDxfId="26372" totalsRowDxfId="9748"/>
    <tableColumn id="6642" name="Columna6628" dataDxfId="26371" totalsRowDxfId="9747"/>
    <tableColumn id="6643" name="Columna6629" dataDxfId="26370" totalsRowDxfId="9746"/>
    <tableColumn id="6644" name="Columna6630" dataDxfId="26369" totalsRowDxfId="9745"/>
    <tableColumn id="6645" name="Columna6631" dataDxfId="26368" totalsRowDxfId="9744"/>
    <tableColumn id="6646" name="Columna6632" dataDxfId="26367" totalsRowDxfId="9743"/>
    <tableColumn id="6647" name="Columna6633" dataDxfId="26366" totalsRowDxfId="9742"/>
    <tableColumn id="6648" name="Columna6634" dataDxfId="26365" totalsRowDxfId="9741"/>
    <tableColumn id="6649" name="Columna6635" dataDxfId="26364" totalsRowDxfId="9740"/>
    <tableColumn id="6650" name="Columna6636" dataDxfId="26363" totalsRowDxfId="9739"/>
    <tableColumn id="6651" name="Columna6637" dataDxfId="26362" totalsRowDxfId="9738"/>
    <tableColumn id="6652" name="Columna6638" dataDxfId="26361" totalsRowDxfId="9737"/>
    <tableColumn id="6653" name="Columna6639" dataDxfId="26360" totalsRowDxfId="9736"/>
    <tableColumn id="6654" name="Columna6640" dataDxfId="26359" totalsRowDxfId="9735"/>
    <tableColumn id="6655" name="Columna6641" dataDxfId="26358" totalsRowDxfId="9734"/>
    <tableColumn id="6656" name="Columna6642" dataDxfId="26357" totalsRowDxfId="9733"/>
    <tableColumn id="6657" name="Columna6643" dataDxfId="26356" totalsRowDxfId="9732"/>
    <tableColumn id="6658" name="Columna6644" dataDxfId="26355" totalsRowDxfId="9731"/>
    <tableColumn id="6659" name="Columna6645" dataDxfId="26354" totalsRowDxfId="9730"/>
    <tableColumn id="6660" name="Columna6646" dataDxfId="26353" totalsRowDxfId="9729"/>
    <tableColumn id="6661" name="Columna6647" dataDxfId="26352" totalsRowDxfId="9728"/>
    <tableColumn id="6662" name="Columna6648" dataDxfId="26351" totalsRowDxfId="9727"/>
    <tableColumn id="6663" name="Columna6649" dataDxfId="26350" totalsRowDxfId="9726"/>
    <tableColumn id="6664" name="Columna6650" dataDxfId="26349" totalsRowDxfId="9725"/>
    <tableColumn id="6665" name="Columna6651" dataDxfId="26348" totalsRowDxfId="9724"/>
    <tableColumn id="6666" name="Columna6652" dataDxfId="26347" totalsRowDxfId="9723"/>
    <tableColumn id="6667" name="Columna6653" dataDxfId="26346" totalsRowDxfId="9722"/>
    <tableColumn id="6668" name="Columna6654" dataDxfId="26345" totalsRowDxfId="9721"/>
    <tableColumn id="6669" name="Columna6655" dataDxfId="26344" totalsRowDxfId="9720"/>
    <tableColumn id="6670" name="Columna6656" dataDxfId="26343" totalsRowDxfId="9719"/>
    <tableColumn id="6671" name="Columna6657" dataDxfId="26342" totalsRowDxfId="9718"/>
    <tableColumn id="6672" name="Columna6658" dataDxfId="26341" totalsRowDxfId="9717"/>
    <tableColumn id="6673" name="Columna6659" dataDxfId="26340" totalsRowDxfId="9716"/>
    <tableColumn id="6674" name="Columna6660" dataDxfId="26339" totalsRowDxfId="9715"/>
    <tableColumn id="6675" name="Columna6661" dataDxfId="26338" totalsRowDxfId="9714"/>
    <tableColumn id="6676" name="Columna6662" dataDxfId="26337" totalsRowDxfId="9713"/>
    <tableColumn id="6677" name="Columna6663" dataDxfId="26336" totalsRowDxfId="9712"/>
    <tableColumn id="6678" name="Columna6664" dataDxfId="26335" totalsRowDxfId="9711"/>
    <tableColumn id="6679" name="Columna6665" dataDxfId="26334" totalsRowDxfId="9710"/>
    <tableColumn id="6680" name="Columna6666" dataDxfId="26333" totalsRowDxfId="9709"/>
    <tableColumn id="6681" name="Columna6667" dataDxfId="26332" totalsRowDxfId="9708"/>
    <tableColumn id="6682" name="Columna6668" dataDxfId="26331" totalsRowDxfId="9707"/>
    <tableColumn id="6683" name="Columna6669" dataDxfId="26330" totalsRowDxfId="9706"/>
    <tableColumn id="6684" name="Columna6670" dataDxfId="26329" totalsRowDxfId="9705"/>
    <tableColumn id="6685" name="Columna6671" dataDxfId="26328" totalsRowDxfId="9704"/>
    <tableColumn id="6686" name="Columna6672" dataDxfId="26327" totalsRowDxfId="9703"/>
    <tableColumn id="6687" name="Columna6673" dataDxfId="26326" totalsRowDxfId="9702"/>
    <tableColumn id="6688" name="Columna6674" dataDxfId="26325" totalsRowDxfId="9701"/>
    <tableColumn id="6689" name="Columna6675" dataDxfId="26324" totalsRowDxfId="9700"/>
    <tableColumn id="6690" name="Columna6676" dataDxfId="26323" totalsRowDxfId="9699"/>
    <tableColumn id="6691" name="Columna6677" dataDxfId="26322" totalsRowDxfId="9698"/>
    <tableColumn id="6692" name="Columna6678" dataDxfId="26321" totalsRowDxfId="9697"/>
    <tableColumn id="6693" name="Columna6679" dataDxfId="26320" totalsRowDxfId="9696"/>
    <tableColumn id="6694" name="Columna6680" dataDxfId="26319" totalsRowDxfId="9695"/>
    <tableColumn id="6695" name="Columna6681" dataDxfId="26318" totalsRowDxfId="9694"/>
    <tableColumn id="6696" name="Columna6682" dataDxfId="26317" totalsRowDxfId="9693"/>
    <tableColumn id="6697" name="Columna6683" dataDxfId="26316" totalsRowDxfId="9692"/>
    <tableColumn id="6698" name="Columna6684" dataDxfId="26315" totalsRowDxfId="9691"/>
    <tableColumn id="6699" name="Columna6685" dataDxfId="26314" totalsRowDxfId="9690"/>
    <tableColumn id="6700" name="Columna6686" dataDxfId="26313" totalsRowDxfId="9689"/>
    <tableColumn id="6701" name="Columna6687" dataDxfId="26312" totalsRowDxfId="9688"/>
    <tableColumn id="6702" name="Columna6688" dataDxfId="26311" totalsRowDxfId="9687"/>
    <tableColumn id="6703" name="Columna6689" dataDxfId="26310" totalsRowDxfId="9686"/>
    <tableColumn id="6704" name="Columna6690" dataDxfId="26309" totalsRowDxfId="9685"/>
    <tableColumn id="6705" name="Columna6691" dataDxfId="26308" totalsRowDxfId="9684"/>
    <tableColumn id="6706" name="Columna6692" dataDxfId="26307" totalsRowDxfId="9683"/>
    <tableColumn id="6707" name="Columna6693" dataDxfId="26306" totalsRowDxfId="9682"/>
    <tableColumn id="6708" name="Columna6694" dataDxfId="26305" totalsRowDxfId="9681"/>
    <tableColumn id="6709" name="Columna6695" dataDxfId="26304" totalsRowDxfId="9680"/>
    <tableColumn id="6710" name="Columna6696" dataDxfId="26303" totalsRowDxfId="9679"/>
    <tableColumn id="6711" name="Columna6697" dataDxfId="26302" totalsRowDxfId="9678"/>
    <tableColumn id="6712" name="Columna6698" dataDxfId="26301" totalsRowDxfId="9677"/>
    <tableColumn id="6713" name="Columna6699" dataDxfId="26300" totalsRowDxfId="9676"/>
    <tableColumn id="6714" name="Columna6700" dataDxfId="26299" totalsRowDxfId="9675"/>
    <tableColumn id="6715" name="Columna6701" dataDxfId="26298" totalsRowDxfId="9674"/>
    <tableColumn id="6716" name="Columna6702" dataDxfId="26297" totalsRowDxfId="9673"/>
    <tableColumn id="6717" name="Columna6703" dataDxfId="26296" totalsRowDxfId="9672"/>
    <tableColumn id="6718" name="Columna6704" dataDxfId="26295" totalsRowDxfId="9671"/>
    <tableColumn id="6719" name="Columna6705" dataDxfId="26294" totalsRowDxfId="9670"/>
    <tableColumn id="6720" name="Columna6706" dataDxfId="26293" totalsRowDxfId="9669"/>
    <tableColumn id="6721" name="Columna6707" dataDxfId="26292" totalsRowDxfId="9668"/>
    <tableColumn id="6722" name="Columna6708" dataDxfId="26291" totalsRowDxfId="9667"/>
    <tableColumn id="6723" name="Columna6709" dataDxfId="26290" totalsRowDxfId="9666"/>
    <tableColumn id="6724" name="Columna6710" dataDxfId="26289" totalsRowDxfId="9665"/>
    <tableColumn id="6725" name="Columna6711" dataDxfId="26288" totalsRowDxfId="9664"/>
    <tableColumn id="6726" name="Columna6712" dataDxfId="26287" totalsRowDxfId="9663"/>
    <tableColumn id="6727" name="Columna6713" dataDxfId="26286" totalsRowDxfId="9662"/>
    <tableColumn id="6728" name="Columna6714" dataDxfId="26285" totalsRowDxfId="9661"/>
    <tableColumn id="6729" name="Columna6715" dataDxfId="26284" totalsRowDxfId="9660"/>
    <tableColumn id="6730" name="Columna6716" dataDxfId="26283" totalsRowDxfId="9659"/>
    <tableColumn id="6731" name="Columna6717" dataDxfId="26282" totalsRowDxfId="9658"/>
    <tableColumn id="6732" name="Columna6718" dataDxfId="26281" totalsRowDxfId="9657"/>
    <tableColumn id="6733" name="Columna6719" dataDxfId="26280" totalsRowDxfId="9656"/>
    <tableColumn id="6734" name="Columna6720" dataDxfId="26279" totalsRowDxfId="9655"/>
    <tableColumn id="6735" name="Columna6721" dataDxfId="26278" totalsRowDxfId="9654"/>
    <tableColumn id="6736" name="Columna6722" dataDxfId="26277" totalsRowDxfId="9653"/>
    <tableColumn id="6737" name="Columna6723" dataDxfId="26276" totalsRowDxfId="9652"/>
    <tableColumn id="6738" name="Columna6724" dataDxfId="26275" totalsRowDxfId="9651"/>
    <tableColumn id="6739" name="Columna6725" dataDxfId="26274" totalsRowDxfId="9650"/>
    <tableColumn id="6740" name="Columna6726" dataDxfId="26273" totalsRowDxfId="9649"/>
    <tableColumn id="6741" name="Columna6727" dataDxfId="26272" totalsRowDxfId="9648"/>
    <tableColumn id="6742" name="Columna6728" dataDxfId="26271" totalsRowDxfId="9647"/>
    <tableColumn id="6743" name="Columna6729" dataDxfId="26270" totalsRowDxfId="9646"/>
    <tableColumn id="6744" name="Columna6730" dataDxfId="26269" totalsRowDxfId="9645"/>
    <tableColumn id="6745" name="Columna6731" dataDxfId="26268" totalsRowDxfId="9644"/>
    <tableColumn id="6746" name="Columna6732" dataDxfId="26267" totalsRowDxfId="9643"/>
    <tableColumn id="6747" name="Columna6733" dataDxfId="26266" totalsRowDxfId="9642"/>
    <tableColumn id="6748" name="Columna6734" dataDxfId="26265" totalsRowDxfId="9641"/>
    <tableColumn id="6749" name="Columna6735" dataDxfId="26264" totalsRowDxfId="9640"/>
    <tableColumn id="6750" name="Columna6736" dataDxfId="26263" totalsRowDxfId="9639"/>
    <tableColumn id="6751" name="Columna6737" dataDxfId="26262" totalsRowDxfId="9638"/>
    <tableColumn id="6752" name="Columna6738" dataDxfId="26261" totalsRowDxfId="9637"/>
    <tableColumn id="6753" name="Columna6739" dataDxfId="26260" totalsRowDxfId="9636"/>
    <tableColumn id="6754" name="Columna6740" dataDxfId="26259" totalsRowDxfId="9635"/>
    <tableColumn id="6755" name="Columna6741" dataDxfId="26258" totalsRowDxfId="9634"/>
    <tableColumn id="6756" name="Columna6742" dataDxfId="26257" totalsRowDxfId="9633"/>
    <tableColumn id="6757" name="Columna6743" dataDxfId="26256" totalsRowDxfId="9632"/>
    <tableColumn id="6758" name="Columna6744" dataDxfId="26255" totalsRowDxfId="9631"/>
    <tableColumn id="6759" name="Columna6745" dataDxfId="26254" totalsRowDxfId="9630"/>
    <tableColumn id="6760" name="Columna6746" dataDxfId="26253" totalsRowDxfId="9629"/>
    <tableColumn id="6761" name="Columna6747" dataDxfId="26252" totalsRowDxfId="9628"/>
    <tableColumn id="6762" name="Columna6748" dataDxfId="26251" totalsRowDxfId="9627"/>
    <tableColumn id="6763" name="Columna6749" dataDxfId="26250" totalsRowDxfId="9626"/>
    <tableColumn id="6764" name="Columna6750" dataDxfId="26249" totalsRowDxfId="9625"/>
    <tableColumn id="6765" name="Columna6751" dataDxfId="26248" totalsRowDxfId="9624"/>
    <tableColumn id="6766" name="Columna6752" dataDxfId="26247" totalsRowDxfId="9623"/>
    <tableColumn id="6767" name="Columna6753" dataDxfId="26246" totalsRowDxfId="9622"/>
    <tableColumn id="6768" name="Columna6754" dataDxfId="26245" totalsRowDxfId="9621"/>
    <tableColumn id="6769" name="Columna6755" dataDxfId="26244" totalsRowDxfId="9620"/>
    <tableColumn id="6770" name="Columna6756" dataDxfId="26243" totalsRowDxfId="9619"/>
    <tableColumn id="6771" name="Columna6757" dataDxfId="26242" totalsRowDxfId="9618"/>
    <tableColumn id="6772" name="Columna6758" dataDxfId="26241" totalsRowDxfId="9617"/>
    <tableColumn id="6773" name="Columna6759" dataDxfId="26240" totalsRowDxfId="9616"/>
    <tableColumn id="6774" name="Columna6760" dataDxfId="26239" totalsRowDxfId="9615"/>
    <tableColumn id="6775" name="Columna6761" dataDxfId="26238" totalsRowDxfId="9614"/>
    <tableColumn id="6776" name="Columna6762" dataDxfId="26237" totalsRowDxfId="9613"/>
    <tableColumn id="6777" name="Columna6763" dataDxfId="26236" totalsRowDxfId="9612"/>
    <tableColumn id="6778" name="Columna6764" dataDxfId="26235" totalsRowDxfId="9611"/>
    <tableColumn id="6779" name="Columna6765" dataDxfId="26234" totalsRowDxfId="9610"/>
    <tableColumn id="6780" name="Columna6766" dataDxfId="26233" totalsRowDxfId="9609"/>
    <tableColumn id="6781" name="Columna6767" dataDxfId="26232" totalsRowDxfId="9608"/>
    <tableColumn id="6782" name="Columna6768" dataDxfId="26231" totalsRowDxfId="9607"/>
    <tableColumn id="6783" name="Columna6769" dataDxfId="26230" totalsRowDxfId="9606"/>
    <tableColumn id="6784" name="Columna6770" dataDxfId="26229" totalsRowDxfId="9605"/>
    <tableColumn id="6785" name="Columna6771" dataDxfId="26228" totalsRowDxfId="9604"/>
    <tableColumn id="6786" name="Columna6772" dataDxfId="26227" totalsRowDxfId="9603"/>
    <tableColumn id="6787" name="Columna6773" dataDxfId="26226" totalsRowDxfId="9602"/>
    <tableColumn id="6788" name="Columna6774" dataDxfId="26225" totalsRowDxfId="9601"/>
    <tableColumn id="6789" name="Columna6775" dataDxfId="26224" totalsRowDxfId="9600"/>
    <tableColumn id="6790" name="Columna6776" dataDxfId="26223" totalsRowDxfId="9599"/>
    <tableColumn id="6791" name="Columna6777" dataDxfId="26222" totalsRowDxfId="9598"/>
    <tableColumn id="6792" name="Columna6778" dataDxfId="26221" totalsRowDxfId="9597"/>
    <tableColumn id="6793" name="Columna6779" dataDxfId="26220" totalsRowDxfId="9596"/>
    <tableColumn id="6794" name="Columna6780" dataDxfId="26219" totalsRowDxfId="9595"/>
    <tableColumn id="6795" name="Columna6781" dataDxfId="26218" totalsRowDxfId="9594"/>
    <tableColumn id="6796" name="Columna6782" dataDxfId="26217" totalsRowDxfId="9593"/>
    <tableColumn id="6797" name="Columna6783" dataDxfId="26216" totalsRowDxfId="9592"/>
    <tableColumn id="6798" name="Columna6784" dataDxfId="26215" totalsRowDxfId="9591"/>
    <tableColumn id="6799" name="Columna6785" dataDxfId="26214" totalsRowDxfId="9590"/>
    <tableColumn id="6800" name="Columna6786" dataDxfId="26213" totalsRowDxfId="9589"/>
    <tableColumn id="6801" name="Columna6787" dataDxfId="26212" totalsRowDxfId="9588"/>
    <tableColumn id="6802" name="Columna6788" dataDxfId="26211" totalsRowDxfId="9587"/>
    <tableColumn id="6803" name="Columna6789" dataDxfId="26210" totalsRowDxfId="9586"/>
    <tableColumn id="6804" name="Columna6790" dataDxfId="26209" totalsRowDxfId="9585"/>
    <tableColumn id="6805" name="Columna6791" dataDxfId="26208" totalsRowDxfId="9584"/>
    <tableColumn id="6806" name="Columna6792" dataDxfId="26207" totalsRowDxfId="9583"/>
    <tableColumn id="6807" name="Columna6793" dataDxfId="26206" totalsRowDxfId="9582"/>
    <tableColumn id="6808" name="Columna6794" dataDxfId="26205" totalsRowDxfId="9581"/>
    <tableColumn id="6809" name="Columna6795" dataDxfId="26204" totalsRowDxfId="9580"/>
    <tableColumn id="6810" name="Columna6796" dataDxfId="26203" totalsRowDxfId="9579"/>
    <tableColumn id="6811" name="Columna6797" dataDxfId="26202" totalsRowDxfId="9578"/>
    <tableColumn id="6812" name="Columna6798" dataDxfId="26201" totalsRowDxfId="9577"/>
    <tableColumn id="6813" name="Columna6799" dataDxfId="26200" totalsRowDxfId="9576"/>
    <tableColumn id="6814" name="Columna6800" dataDxfId="26199" totalsRowDxfId="9575"/>
    <tableColumn id="6815" name="Columna6801" dataDxfId="26198" totalsRowDxfId="9574"/>
    <tableColumn id="6816" name="Columna6802" dataDxfId="26197" totalsRowDxfId="9573"/>
    <tableColumn id="6817" name="Columna6803" dataDxfId="26196" totalsRowDxfId="9572"/>
    <tableColumn id="6818" name="Columna6804" dataDxfId="26195" totalsRowDxfId="9571"/>
    <tableColumn id="6819" name="Columna6805" dataDxfId="26194" totalsRowDxfId="9570"/>
    <tableColumn id="6820" name="Columna6806" dataDxfId="26193" totalsRowDxfId="9569"/>
    <tableColumn id="6821" name="Columna6807" dataDxfId="26192" totalsRowDxfId="9568"/>
    <tableColumn id="6822" name="Columna6808" dataDxfId="26191" totalsRowDxfId="9567"/>
    <tableColumn id="6823" name="Columna6809" dataDxfId="26190" totalsRowDxfId="9566"/>
    <tableColumn id="6824" name="Columna6810" dataDxfId="26189" totalsRowDxfId="9565"/>
    <tableColumn id="6825" name="Columna6811" dataDxfId="26188" totalsRowDxfId="9564"/>
    <tableColumn id="6826" name="Columna6812" dataDxfId="26187" totalsRowDxfId="9563"/>
    <tableColumn id="6827" name="Columna6813" dataDxfId="26186" totalsRowDxfId="9562"/>
    <tableColumn id="6828" name="Columna6814" dataDxfId="26185" totalsRowDxfId="9561"/>
    <tableColumn id="6829" name="Columna6815" dataDxfId="26184" totalsRowDxfId="9560"/>
    <tableColumn id="6830" name="Columna6816" dataDxfId="26183" totalsRowDxfId="9559"/>
    <tableColumn id="6831" name="Columna6817" dataDxfId="26182" totalsRowDxfId="9558"/>
    <tableColumn id="6832" name="Columna6818" dataDxfId="26181" totalsRowDxfId="9557"/>
    <tableColumn id="6833" name="Columna6819" dataDxfId="26180" totalsRowDxfId="9556"/>
    <tableColumn id="6834" name="Columna6820" dataDxfId="26179" totalsRowDxfId="9555"/>
    <tableColumn id="6835" name="Columna6821" dataDxfId="26178" totalsRowDxfId="9554"/>
    <tableColumn id="6836" name="Columna6822" dataDxfId="26177" totalsRowDxfId="9553"/>
    <tableColumn id="6837" name="Columna6823" dataDxfId="26176" totalsRowDxfId="9552"/>
    <tableColumn id="6838" name="Columna6824" dataDxfId="26175" totalsRowDxfId="9551"/>
    <tableColumn id="6839" name="Columna6825" dataDxfId="26174" totalsRowDxfId="9550"/>
    <tableColumn id="6840" name="Columna6826" dataDxfId="26173" totalsRowDxfId="9549"/>
    <tableColumn id="6841" name="Columna6827" dataDxfId="26172" totalsRowDxfId="9548"/>
    <tableColumn id="6842" name="Columna6828" dataDxfId="26171" totalsRowDxfId="9547"/>
    <tableColumn id="6843" name="Columna6829" dataDxfId="26170" totalsRowDxfId="9546"/>
    <tableColumn id="6844" name="Columna6830" dataDxfId="26169" totalsRowDxfId="9545"/>
    <tableColumn id="6845" name="Columna6831" dataDxfId="26168" totalsRowDxfId="9544"/>
    <tableColumn id="6846" name="Columna6832" dataDxfId="26167" totalsRowDxfId="9543"/>
    <tableColumn id="6847" name="Columna6833" dataDxfId="26166" totalsRowDxfId="9542"/>
    <tableColumn id="6848" name="Columna6834" dataDxfId="26165" totalsRowDxfId="9541"/>
    <tableColumn id="6849" name="Columna6835" dataDxfId="26164" totalsRowDxfId="9540"/>
    <tableColumn id="6850" name="Columna6836" dataDxfId="26163" totalsRowDxfId="9539"/>
    <tableColumn id="6851" name="Columna6837" dataDxfId="26162" totalsRowDxfId="9538"/>
    <tableColumn id="6852" name="Columna6838" dataDxfId="26161" totalsRowDxfId="9537"/>
    <tableColumn id="6853" name="Columna6839" dataDxfId="26160" totalsRowDxfId="9536"/>
    <tableColumn id="6854" name="Columna6840" dataDxfId="26159" totalsRowDxfId="9535"/>
    <tableColumn id="6855" name="Columna6841" dataDxfId="26158" totalsRowDxfId="9534"/>
    <tableColumn id="6856" name="Columna6842" dataDxfId="26157" totalsRowDxfId="9533"/>
    <tableColumn id="6857" name="Columna6843" dataDxfId="26156" totalsRowDxfId="9532"/>
    <tableColumn id="6858" name="Columna6844" dataDxfId="26155" totalsRowDxfId="9531"/>
    <tableColumn id="6859" name="Columna6845" dataDxfId="26154" totalsRowDxfId="9530"/>
    <tableColumn id="6860" name="Columna6846" dataDxfId="26153" totalsRowDxfId="9529"/>
    <tableColumn id="6861" name="Columna6847" dataDxfId="26152" totalsRowDxfId="9528"/>
    <tableColumn id="6862" name="Columna6848" dataDxfId="26151" totalsRowDxfId="9527"/>
    <tableColumn id="6863" name="Columna6849" dataDxfId="26150" totalsRowDxfId="9526"/>
    <tableColumn id="6864" name="Columna6850" dataDxfId="26149" totalsRowDxfId="9525"/>
    <tableColumn id="6865" name="Columna6851" dataDxfId="26148" totalsRowDxfId="9524"/>
    <tableColumn id="6866" name="Columna6852" dataDxfId="26147" totalsRowDxfId="9523"/>
    <tableColumn id="6867" name="Columna6853" dataDxfId="26146" totalsRowDxfId="9522"/>
    <tableColumn id="6868" name="Columna6854" dataDxfId="26145" totalsRowDxfId="9521"/>
    <tableColumn id="6869" name="Columna6855" dataDxfId="26144" totalsRowDxfId="9520"/>
    <tableColumn id="6870" name="Columna6856" dataDxfId="26143" totalsRowDxfId="9519"/>
    <tableColumn id="6871" name="Columna6857" dataDxfId="26142" totalsRowDxfId="9518"/>
    <tableColumn id="6872" name="Columna6858" dataDxfId="26141" totalsRowDxfId="9517"/>
    <tableColumn id="6873" name="Columna6859" dataDxfId="26140" totalsRowDxfId="9516"/>
    <tableColumn id="6874" name="Columna6860" dataDxfId="26139" totalsRowDxfId="9515"/>
    <tableColumn id="6875" name="Columna6861" dataDxfId="26138" totalsRowDxfId="9514"/>
    <tableColumn id="6876" name="Columna6862" dataDxfId="26137" totalsRowDxfId="9513"/>
    <tableColumn id="6877" name="Columna6863" dataDxfId="26136" totalsRowDxfId="9512"/>
    <tableColumn id="6878" name="Columna6864" dataDxfId="26135" totalsRowDxfId="9511"/>
    <tableColumn id="6879" name="Columna6865" dataDxfId="26134" totalsRowDxfId="9510"/>
    <tableColumn id="6880" name="Columna6866" dataDxfId="26133" totalsRowDxfId="9509"/>
    <tableColumn id="6881" name="Columna6867" dataDxfId="26132" totalsRowDxfId="9508"/>
    <tableColumn id="6882" name="Columna6868" dataDxfId="26131" totalsRowDxfId="9507"/>
    <tableColumn id="6883" name="Columna6869" dataDxfId="26130" totalsRowDxfId="9506"/>
    <tableColumn id="6884" name="Columna6870" dataDxfId="26129" totalsRowDxfId="9505"/>
    <tableColumn id="6885" name="Columna6871" dataDxfId="26128" totalsRowDxfId="9504"/>
    <tableColumn id="6886" name="Columna6872" dataDxfId="26127" totalsRowDxfId="9503"/>
    <tableColumn id="6887" name="Columna6873" dataDxfId="26126" totalsRowDxfId="9502"/>
    <tableColumn id="6888" name="Columna6874" dataDxfId="26125" totalsRowDxfId="9501"/>
    <tableColumn id="6889" name="Columna6875" dataDxfId="26124" totalsRowDxfId="9500"/>
    <tableColumn id="6890" name="Columna6876" dataDxfId="26123" totalsRowDxfId="9499"/>
    <tableColumn id="6891" name="Columna6877" dataDxfId="26122" totalsRowDxfId="9498"/>
    <tableColumn id="6892" name="Columna6878" dataDxfId="26121" totalsRowDxfId="9497"/>
    <tableColumn id="6893" name="Columna6879" dataDxfId="26120" totalsRowDxfId="9496"/>
    <tableColumn id="6894" name="Columna6880" dataDxfId="26119" totalsRowDxfId="9495"/>
    <tableColumn id="6895" name="Columna6881" dataDxfId="26118" totalsRowDxfId="9494"/>
    <tableColumn id="6896" name="Columna6882" dataDxfId="26117" totalsRowDxfId="9493"/>
    <tableColumn id="6897" name="Columna6883" dataDxfId="26116" totalsRowDxfId="9492"/>
    <tableColumn id="6898" name="Columna6884" dataDxfId="26115" totalsRowDxfId="9491"/>
    <tableColumn id="6899" name="Columna6885" dataDxfId="26114" totalsRowDxfId="9490"/>
    <tableColumn id="6900" name="Columna6886" dataDxfId="26113" totalsRowDxfId="9489"/>
    <tableColumn id="6901" name="Columna6887" dataDxfId="26112" totalsRowDxfId="9488"/>
    <tableColumn id="6902" name="Columna6888" dataDxfId="26111" totalsRowDxfId="9487"/>
    <tableColumn id="6903" name="Columna6889" dataDxfId="26110" totalsRowDxfId="9486"/>
    <tableColumn id="6904" name="Columna6890" dataDxfId="26109" totalsRowDxfId="9485"/>
    <tableColumn id="6905" name="Columna6891" dataDxfId="26108" totalsRowDxfId="9484"/>
    <tableColumn id="6906" name="Columna6892" dataDxfId="26107" totalsRowDxfId="9483"/>
    <tableColumn id="6907" name="Columna6893" dataDxfId="26106" totalsRowDxfId="9482"/>
    <tableColumn id="6908" name="Columna6894" dataDxfId="26105" totalsRowDxfId="9481"/>
    <tableColumn id="6909" name="Columna6895" dataDxfId="26104" totalsRowDxfId="9480"/>
    <tableColumn id="6910" name="Columna6896" dataDxfId="26103" totalsRowDxfId="9479"/>
    <tableColumn id="6911" name="Columna6897" dataDxfId="26102" totalsRowDxfId="9478"/>
    <tableColumn id="6912" name="Columna6898" dataDxfId="26101" totalsRowDxfId="9477"/>
    <tableColumn id="6913" name="Columna6899" dataDxfId="26100" totalsRowDxfId="9476"/>
    <tableColumn id="6914" name="Columna6900" dataDxfId="26099" totalsRowDxfId="9475"/>
    <tableColumn id="6915" name="Columna6901" dataDxfId="26098" totalsRowDxfId="9474"/>
    <tableColumn id="6916" name="Columna6902" dataDxfId="26097" totalsRowDxfId="9473"/>
    <tableColumn id="6917" name="Columna6903" dataDxfId="26096" totalsRowDxfId="9472"/>
    <tableColumn id="6918" name="Columna6904" dataDxfId="26095" totalsRowDxfId="9471"/>
    <tableColumn id="6919" name="Columna6905" dataDxfId="26094" totalsRowDxfId="9470"/>
    <tableColumn id="6920" name="Columna6906" dataDxfId="26093" totalsRowDxfId="9469"/>
    <tableColumn id="6921" name="Columna6907" dataDxfId="26092" totalsRowDxfId="9468"/>
    <tableColumn id="6922" name="Columna6908" dataDxfId="26091" totalsRowDxfId="9467"/>
    <tableColumn id="6923" name="Columna6909" dataDxfId="26090" totalsRowDxfId="9466"/>
    <tableColumn id="6924" name="Columna6910" dataDxfId="26089" totalsRowDxfId="9465"/>
    <tableColumn id="6925" name="Columna6911" dataDxfId="26088" totalsRowDxfId="9464"/>
    <tableColumn id="6926" name="Columna6912" dataDxfId="26087" totalsRowDxfId="9463"/>
    <tableColumn id="6927" name="Columna6913" dataDxfId="26086" totalsRowDxfId="9462"/>
    <tableColumn id="6928" name="Columna6914" dataDxfId="26085" totalsRowDxfId="9461"/>
    <tableColumn id="6929" name="Columna6915" dataDxfId="26084" totalsRowDxfId="9460"/>
    <tableColumn id="6930" name="Columna6916" dataDxfId="26083" totalsRowDxfId="9459"/>
    <tableColumn id="6931" name="Columna6917" dataDxfId="26082" totalsRowDxfId="9458"/>
    <tableColumn id="6932" name="Columna6918" dataDxfId="26081" totalsRowDxfId="9457"/>
    <tableColumn id="6933" name="Columna6919" dataDxfId="26080" totalsRowDxfId="9456"/>
    <tableColumn id="6934" name="Columna6920" dataDxfId="26079" totalsRowDxfId="9455"/>
    <tableColumn id="6935" name="Columna6921" dataDxfId="26078" totalsRowDxfId="9454"/>
    <tableColumn id="6936" name="Columna6922" dataDxfId="26077" totalsRowDxfId="9453"/>
    <tableColumn id="6937" name="Columna6923" dataDxfId="26076" totalsRowDxfId="9452"/>
    <tableColumn id="6938" name="Columna6924" dataDxfId="26075" totalsRowDxfId="9451"/>
    <tableColumn id="6939" name="Columna6925" dataDxfId="26074" totalsRowDxfId="9450"/>
    <tableColumn id="6940" name="Columna6926" dataDxfId="26073" totalsRowDxfId="9449"/>
    <tableColumn id="6941" name="Columna6927" dataDxfId="26072" totalsRowDxfId="9448"/>
    <tableColumn id="6942" name="Columna6928" dataDxfId="26071" totalsRowDxfId="9447"/>
    <tableColumn id="6943" name="Columna6929" dataDxfId="26070" totalsRowDxfId="9446"/>
    <tableColumn id="6944" name="Columna6930" dataDxfId="26069" totalsRowDxfId="9445"/>
    <tableColumn id="6945" name="Columna6931" dataDxfId="26068" totalsRowDxfId="9444"/>
    <tableColumn id="6946" name="Columna6932" dataDxfId="26067" totalsRowDxfId="9443"/>
    <tableColumn id="6947" name="Columna6933" dataDxfId="26066" totalsRowDxfId="9442"/>
    <tableColumn id="6948" name="Columna6934" dataDxfId="26065" totalsRowDxfId="9441"/>
    <tableColumn id="6949" name="Columna6935" dataDxfId="26064" totalsRowDxfId="9440"/>
    <tableColumn id="6950" name="Columna6936" dataDxfId="26063" totalsRowDxfId="9439"/>
    <tableColumn id="6951" name="Columna6937" dataDxfId="26062" totalsRowDxfId="9438"/>
    <tableColumn id="6952" name="Columna6938" dataDxfId="26061" totalsRowDxfId="9437"/>
    <tableColumn id="6953" name="Columna6939" dataDxfId="26060" totalsRowDxfId="9436"/>
    <tableColumn id="6954" name="Columna6940" dataDxfId="26059" totalsRowDxfId="9435"/>
    <tableColumn id="6955" name="Columna6941" dataDxfId="26058" totalsRowDxfId="9434"/>
    <tableColumn id="6956" name="Columna6942" dataDxfId="26057" totalsRowDxfId="9433"/>
    <tableColumn id="6957" name="Columna6943" dataDxfId="26056" totalsRowDxfId="9432"/>
    <tableColumn id="6958" name="Columna6944" dataDxfId="26055" totalsRowDxfId="9431"/>
    <tableColumn id="6959" name="Columna6945" dataDxfId="26054" totalsRowDxfId="9430"/>
    <tableColumn id="6960" name="Columna6946" dataDxfId="26053" totalsRowDxfId="9429"/>
    <tableColumn id="6961" name="Columna6947" dataDxfId="26052" totalsRowDxfId="9428"/>
    <tableColumn id="6962" name="Columna6948" dataDxfId="26051" totalsRowDxfId="9427"/>
    <tableColumn id="6963" name="Columna6949" dataDxfId="26050" totalsRowDxfId="9426"/>
    <tableColumn id="6964" name="Columna6950" dataDxfId="26049" totalsRowDxfId="9425"/>
    <tableColumn id="6965" name="Columna6951" dataDxfId="26048" totalsRowDxfId="9424"/>
    <tableColumn id="6966" name="Columna6952" dataDxfId="26047" totalsRowDxfId="9423"/>
    <tableColumn id="6967" name="Columna6953" dataDxfId="26046" totalsRowDxfId="9422"/>
    <tableColumn id="6968" name="Columna6954" dataDxfId="26045" totalsRowDxfId="9421"/>
    <tableColumn id="6969" name="Columna6955" dataDxfId="26044" totalsRowDxfId="9420"/>
    <tableColumn id="6970" name="Columna6956" dataDxfId="26043" totalsRowDxfId="9419"/>
    <tableColumn id="6971" name="Columna6957" dataDxfId="26042" totalsRowDxfId="9418"/>
    <tableColumn id="6972" name="Columna6958" dataDxfId="26041" totalsRowDxfId="9417"/>
    <tableColumn id="6973" name="Columna6959" dataDxfId="26040" totalsRowDxfId="9416"/>
    <tableColumn id="6974" name="Columna6960" dataDxfId="26039" totalsRowDxfId="9415"/>
    <tableColumn id="6975" name="Columna6961" dataDxfId="26038" totalsRowDxfId="9414"/>
    <tableColumn id="6976" name="Columna6962" dataDxfId="26037" totalsRowDxfId="9413"/>
    <tableColumn id="6977" name="Columna6963" dataDxfId="26036" totalsRowDxfId="9412"/>
    <tableColumn id="6978" name="Columna6964" dataDxfId="26035" totalsRowDxfId="9411"/>
    <tableColumn id="6979" name="Columna6965" dataDxfId="26034" totalsRowDxfId="9410"/>
    <tableColumn id="6980" name="Columna6966" dataDxfId="26033" totalsRowDxfId="9409"/>
    <tableColumn id="6981" name="Columna6967" dataDxfId="26032" totalsRowDxfId="9408"/>
    <tableColumn id="6982" name="Columna6968" dataDxfId="26031" totalsRowDxfId="9407"/>
    <tableColumn id="6983" name="Columna6969" dataDxfId="26030" totalsRowDxfId="9406"/>
    <tableColumn id="6984" name="Columna6970" dataDxfId="26029" totalsRowDxfId="9405"/>
    <tableColumn id="6985" name="Columna6971" dataDxfId="26028" totalsRowDxfId="9404"/>
    <tableColumn id="6986" name="Columna6972" dataDxfId="26027" totalsRowDxfId="9403"/>
    <tableColumn id="6987" name="Columna6973" dataDxfId="26026" totalsRowDxfId="9402"/>
    <tableColumn id="6988" name="Columna6974" dataDxfId="26025" totalsRowDxfId="9401"/>
    <tableColumn id="6989" name="Columna6975" dataDxfId="26024" totalsRowDxfId="9400"/>
    <tableColumn id="6990" name="Columna6976" dataDxfId="26023" totalsRowDxfId="9399"/>
    <tableColumn id="6991" name="Columna6977" dataDxfId="26022" totalsRowDxfId="9398"/>
    <tableColumn id="6992" name="Columna6978" dataDxfId="26021" totalsRowDxfId="9397"/>
    <tableColumn id="6993" name="Columna6979" dataDxfId="26020" totalsRowDxfId="9396"/>
    <tableColumn id="6994" name="Columna6980" dataDxfId="26019" totalsRowDxfId="9395"/>
    <tableColumn id="6995" name="Columna6981" dataDxfId="26018" totalsRowDxfId="9394"/>
    <tableColumn id="6996" name="Columna6982" dataDxfId="26017" totalsRowDxfId="9393"/>
    <tableColumn id="6997" name="Columna6983" dataDxfId="26016" totalsRowDxfId="9392"/>
    <tableColumn id="6998" name="Columna6984" dataDxfId="26015" totalsRowDxfId="9391"/>
    <tableColumn id="6999" name="Columna6985" dataDxfId="26014" totalsRowDxfId="9390"/>
    <tableColumn id="7000" name="Columna6986" dataDxfId="26013" totalsRowDxfId="9389"/>
    <tableColumn id="7001" name="Columna6987" dataDxfId="26012" totalsRowDxfId="9388"/>
    <tableColumn id="7002" name="Columna6988" dataDxfId="26011" totalsRowDxfId="9387"/>
    <tableColumn id="7003" name="Columna6989" dataDxfId="26010" totalsRowDxfId="9386"/>
    <tableColumn id="7004" name="Columna6990" dataDxfId="26009" totalsRowDxfId="9385"/>
    <tableColumn id="7005" name="Columna6991" dataDxfId="26008" totalsRowDxfId="9384"/>
    <tableColumn id="7006" name="Columna6992" dataDxfId="26007" totalsRowDxfId="9383"/>
    <tableColumn id="7007" name="Columna6993" dataDxfId="26006" totalsRowDxfId="9382"/>
    <tableColumn id="7008" name="Columna6994" dataDxfId="26005" totalsRowDxfId="9381"/>
    <tableColumn id="7009" name="Columna6995" dataDxfId="26004" totalsRowDxfId="9380"/>
    <tableColumn id="7010" name="Columna6996" dataDxfId="26003" totalsRowDxfId="9379"/>
    <tableColumn id="7011" name="Columna6997" dataDxfId="26002" totalsRowDxfId="9378"/>
    <tableColumn id="7012" name="Columna6998" dataDxfId="26001" totalsRowDxfId="9377"/>
    <tableColumn id="7013" name="Columna6999" dataDxfId="26000" totalsRowDxfId="9376"/>
    <tableColumn id="7014" name="Columna7000" dataDxfId="25999" totalsRowDxfId="9375"/>
    <tableColumn id="7015" name="Columna7001" dataDxfId="25998" totalsRowDxfId="9374"/>
    <tableColumn id="7016" name="Columna7002" dataDxfId="25997" totalsRowDxfId="9373"/>
    <tableColumn id="7017" name="Columna7003" dataDxfId="25996" totalsRowDxfId="9372"/>
    <tableColumn id="7018" name="Columna7004" dataDxfId="25995" totalsRowDxfId="9371"/>
    <tableColumn id="7019" name="Columna7005" dataDxfId="25994" totalsRowDxfId="9370"/>
    <tableColumn id="7020" name="Columna7006" dataDxfId="25993" totalsRowDxfId="9369"/>
    <tableColumn id="7021" name="Columna7007" dataDxfId="25992" totalsRowDxfId="9368"/>
    <tableColumn id="7022" name="Columna7008" dataDxfId="25991" totalsRowDxfId="9367"/>
    <tableColumn id="7023" name="Columna7009" dataDxfId="25990" totalsRowDxfId="9366"/>
    <tableColumn id="7024" name="Columna7010" dataDxfId="25989" totalsRowDxfId="9365"/>
    <tableColumn id="7025" name="Columna7011" dataDxfId="25988" totalsRowDxfId="9364"/>
    <tableColumn id="7026" name="Columna7012" dataDxfId="25987" totalsRowDxfId="9363"/>
    <tableColumn id="7027" name="Columna7013" dataDxfId="25986" totalsRowDxfId="9362"/>
    <tableColumn id="7028" name="Columna7014" dataDxfId="25985" totalsRowDxfId="9361"/>
    <tableColumn id="7029" name="Columna7015" dataDxfId="25984" totalsRowDxfId="9360"/>
    <tableColumn id="7030" name="Columna7016" dataDxfId="25983" totalsRowDxfId="9359"/>
    <tableColumn id="7031" name="Columna7017" dataDxfId="25982" totalsRowDxfId="9358"/>
    <tableColumn id="7032" name="Columna7018" dataDxfId="25981" totalsRowDxfId="9357"/>
    <tableColumn id="7033" name="Columna7019" dataDxfId="25980" totalsRowDxfId="9356"/>
    <tableColumn id="7034" name="Columna7020" dataDxfId="25979" totalsRowDxfId="9355"/>
    <tableColumn id="7035" name="Columna7021" dataDxfId="25978" totalsRowDxfId="9354"/>
    <tableColumn id="7036" name="Columna7022" dataDxfId="25977" totalsRowDxfId="9353"/>
    <tableColumn id="7037" name="Columna7023" dataDxfId="25976" totalsRowDxfId="9352"/>
    <tableColumn id="7038" name="Columna7024" dataDxfId="25975" totalsRowDxfId="9351"/>
    <tableColumn id="7039" name="Columna7025" dataDxfId="25974" totalsRowDxfId="9350"/>
    <tableColumn id="7040" name="Columna7026" dataDxfId="25973" totalsRowDxfId="9349"/>
    <tableColumn id="7041" name="Columna7027" dataDxfId="25972" totalsRowDxfId="9348"/>
    <tableColumn id="7042" name="Columna7028" dataDxfId="25971" totalsRowDxfId="9347"/>
    <tableColumn id="7043" name="Columna7029" dataDxfId="25970" totalsRowDxfId="9346"/>
    <tableColumn id="7044" name="Columna7030" dataDxfId="25969" totalsRowDxfId="9345"/>
    <tableColumn id="7045" name="Columna7031" dataDxfId="25968" totalsRowDxfId="9344"/>
    <tableColumn id="7046" name="Columna7032" dataDxfId="25967" totalsRowDxfId="9343"/>
    <tableColumn id="7047" name="Columna7033" dataDxfId="25966" totalsRowDxfId="9342"/>
    <tableColumn id="7048" name="Columna7034" dataDxfId="25965" totalsRowDxfId="9341"/>
    <tableColumn id="7049" name="Columna7035" dataDxfId="25964" totalsRowDxfId="9340"/>
    <tableColumn id="7050" name="Columna7036" dataDxfId="25963" totalsRowDxfId="9339"/>
    <tableColumn id="7051" name="Columna7037" dataDxfId="25962" totalsRowDxfId="9338"/>
    <tableColumn id="7052" name="Columna7038" dataDxfId="25961" totalsRowDxfId="9337"/>
    <tableColumn id="7053" name="Columna7039" dataDxfId="25960" totalsRowDxfId="9336"/>
    <tableColumn id="7054" name="Columna7040" dataDxfId="25959" totalsRowDxfId="9335"/>
    <tableColumn id="7055" name="Columna7041" dataDxfId="25958" totalsRowDxfId="9334"/>
    <tableColumn id="7056" name="Columna7042" dataDxfId="25957" totalsRowDxfId="9333"/>
    <tableColumn id="7057" name="Columna7043" dataDxfId="25956" totalsRowDxfId="9332"/>
    <tableColumn id="7058" name="Columna7044" dataDxfId="25955" totalsRowDxfId="9331"/>
    <tableColumn id="7059" name="Columna7045" dataDxfId="25954" totalsRowDxfId="9330"/>
    <tableColumn id="7060" name="Columna7046" dataDxfId="25953" totalsRowDxfId="9329"/>
    <tableColumn id="7061" name="Columna7047" dataDxfId="25952" totalsRowDxfId="9328"/>
    <tableColumn id="7062" name="Columna7048" dataDxfId="25951" totalsRowDxfId="9327"/>
    <tableColumn id="7063" name="Columna7049" dataDxfId="25950" totalsRowDxfId="9326"/>
    <tableColumn id="7064" name="Columna7050" dataDxfId="25949" totalsRowDxfId="9325"/>
    <tableColumn id="7065" name="Columna7051" dataDxfId="25948" totalsRowDxfId="9324"/>
    <tableColumn id="7066" name="Columna7052" dataDxfId="25947" totalsRowDxfId="9323"/>
    <tableColumn id="7067" name="Columna7053" dataDxfId="25946" totalsRowDxfId="9322"/>
    <tableColumn id="7068" name="Columna7054" dataDxfId="25945" totalsRowDxfId="9321"/>
    <tableColumn id="7069" name="Columna7055" dataDxfId="25944" totalsRowDxfId="9320"/>
    <tableColumn id="7070" name="Columna7056" dataDxfId="25943" totalsRowDxfId="9319"/>
    <tableColumn id="7071" name="Columna7057" dataDxfId="25942" totalsRowDxfId="9318"/>
    <tableColumn id="7072" name="Columna7058" dataDxfId="25941" totalsRowDxfId="9317"/>
    <tableColumn id="7073" name="Columna7059" dataDxfId="25940" totalsRowDxfId="9316"/>
    <tableColumn id="7074" name="Columna7060" dataDxfId="25939" totalsRowDxfId="9315"/>
    <tableColumn id="7075" name="Columna7061" dataDxfId="25938" totalsRowDxfId="9314"/>
    <tableColumn id="7076" name="Columna7062" dataDxfId="25937" totalsRowDxfId="9313"/>
    <tableColumn id="7077" name="Columna7063" dataDxfId="25936" totalsRowDxfId="9312"/>
    <tableColumn id="7078" name="Columna7064" dataDxfId="25935" totalsRowDxfId="9311"/>
    <tableColumn id="7079" name="Columna7065" dataDxfId="25934" totalsRowDxfId="9310"/>
    <tableColumn id="7080" name="Columna7066" dataDxfId="25933" totalsRowDxfId="9309"/>
    <tableColumn id="7081" name="Columna7067" dataDxfId="25932" totalsRowDxfId="9308"/>
    <tableColumn id="7082" name="Columna7068" dataDxfId="25931" totalsRowDxfId="9307"/>
    <tableColumn id="7083" name="Columna7069" dataDxfId="25930" totalsRowDxfId="9306"/>
    <tableColumn id="7084" name="Columna7070" dataDxfId="25929" totalsRowDxfId="9305"/>
    <tableColumn id="7085" name="Columna7071" dataDxfId="25928" totalsRowDxfId="9304"/>
    <tableColumn id="7086" name="Columna7072" dataDxfId="25927" totalsRowDxfId="9303"/>
    <tableColumn id="7087" name="Columna7073" dataDxfId="25926" totalsRowDxfId="9302"/>
    <tableColumn id="7088" name="Columna7074" dataDxfId="25925" totalsRowDxfId="9301"/>
    <tableColumn id="7089" name="Columna7075" dataDxfId="25924" totalsRowDxfId="9300"/>
    <tableColumn id="7090" name="Columna7076" dataDxfId="25923" totalsRowDxfId="9299"/>
    <tableColumn id="7091" name="Columna7077" dataDxfId="25922" totalsRowDxfId="9298"/>
    <tableColumn id="7092" name="Columna7078" dataDxfId="25921" totalsRowDxfId="9297"/>
    <tableColumn id="7093" name="Columna7079" dataDxfId="25920" totalsRowDxfId="9296"/>
    <tableColumn id="7094" name="Columna7080" dataDxfId="25919" totalsRowDxfId="9295"/>
    <tableColumn id="7095" name="Columna7081" dataDxfId="25918" totalsRowDxfId="9294"/>
    <tableColumn id="7096" name="Columna7082" dataDxfId="25917" totalsRowDxfId="9293"/>
    <tableColumn id="7097" name="Columna7083" dataDxfId="25916" totalsRowDxfId="9292"/>
    <tableColumn id="7098" name="Columna7084" dataDxfId="25915" totalsRowDxfId="9291"/>
    <tableColumn id="7099" name="Columna7085" dataDxfId="25914" totalsRowDxfId="9290"/>
    <tableColumn id="7100" name="Columna7086" dataDxfId="25913" totalsRowDxfId="9289"/>
    <tableColumn id="7101" name="Columna7087" dataDxfId="25912" totalsRowDxfId="9288"/>
    <tableColumn id="7102" name="Columna7088" dataDxfId="25911" totalsRowDxfId="9287"/>
    <tableColumn id="7103" name="Columna7089" dataDxfId="25910" totalsRowDxfId="9286"/>
    <tableColumn id="7104" name="Columna7090" dataDxfId="25909" totalsRowDxfId="9285"/>
    <tableColumn id="7105" name="Columna7091" dataDxfId="25908" totalsRowDxfId="9284"/>
    <tableColumn id="7106" name="Columna7092" dataDxfId="25907" totalsRowDxfId="9283"/>
    <tableColumn id="7107" name="Columna7093" dataDxfId="25906" totalsRowDxfId="9282"/>
    <tableColumn id="7108" name="Columna7094" dataDxfId="25905" totalsRowDxfId="9281"/>
    <tableColumn id="7109" name="Columna7095" dataDxfId="25904" totalsRowDxfId="9280"/>
    <tableColumn id="7110" name="Columna7096" dataDxfId="25903" totalsRowDxfId="9279"/>
    <tableColumn id="7111" name="Columna7097" dataDxfId="25902" totalsRowDxfId="9278"/>
    <tableColumn id="7112" name="Columna7098" dataDxfId="25901" totalsRowDxfId="9277"/>
    <tableColumn id="7113" name="Columna7099" dataDxfId="25900" totalsRowDxfId="9276"/>
    <tableColumn id="7114" name="Columna7100" dataDxfId="25899" totalsRowDxfId="9275"/>
    <tableColumn id="7115" name="Columna7101" dataDxfId="25898" totalsRowDxfId="9274"/>
    <tableColumn id="7116" name="Columna7102" dataDxfId="25897" totalsRowDxfId="9273"/>
    <tableColumn id="7117" name="Columna7103" dataDxfId="25896" totalsRowDxfId="9272"/>
    <tableColumn id="7118" name="Columna7104" dataDxfId="25895" totalsRowDxfId="9271"/>
    <tableColumn id="7119" name="Columna7105" dataDxfId="25894" totalsRowDxfId="9270"/>
    <tableColumn id="7120" name="Columna7106" dataDxfId="25893" totalsRowDxfId="9269"/>
    <tableColumn id="7121" name="Columna7107" dataDxfId="25892" totalsRowDxfId="9268"/>
    <tableColumn id="7122" name="Columna7108" dataDxfId="25891" totalsRowDxfId="9267"/>
    <tableColumn id="7123" name="Columna7109" dataDxfId="25890" totalsRowDxfId="9266"/>
    <tableColumn id="7124" name="Columna7110" dataDxfId="25889" totalsRowDxfId="9265"/>
    <tableColumn id="7125" name="Columna7111" dataDxfId="25888" totalsRowDxfId="9264"/>
    <tableColumn id="7126" name="Columna7112" dataDxfId="25887" totalsRowDxfId="9263"/>
    <tableColumn id="7127" name="Columna7113" dataDxfId="25886" totalsRowDxfId="9262"/>
    <tableColumn id="7128" name="Columna7114" dataDxfId="25885" totalsRowDxfId="9261"/>
    <tableColumn id="7129" name="Columna7115" dataDxfId="25884" totalsRowDxfId="9260"/>
    <tableColumn id="7130" name="Columna7116" dataDxfId="25883" totalsRowDxfId="9259"/>
    <tableColumn id="7131" name="Columna7117" dataDxfId="25882" totalsRowDxfId="9258"/>
    <tableColumn id="7132" name="Columna7118" dataDxfId="25881" totalsRowDxfId="9257"/>
    <tableColumn id="7133" name="Columna7119" dataDxfId="25880" totalsRowDxfId="9256"/>
    <tableColumn id="7134" name="Columna7120" dataDxfId="25879" totalsRowDxfId="9255"/>
    <tableColumn id="7135" name="Columna7121" dataDxfId="25878" totalsRowDxfId="9254"/>
    <tableColumn id="7136" name="Columna7122" dataDxfId="25877" totalsRowDxfId="9253"/>
    <tableColumn id="7137" name="Columna7123" dataDxfId="25876" totalsRowDxfId="9252"/>
    <tableColumn id="7138" name="Columna7124" dataDxfId="25875" totalsRowDxfId="9251"/>
    <tableColumn id="7139" name="Columna7125" dataDxfId="25874" totalsRowDxfId="9250"/>
    <tableColumn id="7140" name="Columna7126" dataDxfId="25873" totalsRowDxfId="9249"/>
    <tableColumn id="7141" name="Columna7127" dataDxfId="25872" totalsRowDxfId="9248"/>
    <tableColumn id="7142" name="Columna7128" dataDxfId="25871" totalsRowDxfId="9247"/>
    <tableColumn id="7143" name="Columna7129" dataDxfId="25870" totalsRowDxfId="9246"/>
    <tableColumn id="7144" name="Columna7130" dataDxfId="25869" totalsRowDxfId="9245"/>
    <tableColumn id="7145" name="Columna7131" dataDxfId="25868" totalsRowDxfId="9244"/>
    <tableColumn id="7146" name="Columna7132" dataDxfId="25867" totalsRowDxfId="9243"/>
    <tableColumn id="7147" name="Columna7133" dataDxfId="25866" totalsRowDxfId="9242"/>
    <tableColumn id="7148" name="Columna7134" dataDxfId="25865" totalsRowDxfId="9241"/>
    <tableColumn id="7149" name="Columna7135" dataDxfId="25864" totalsRowDxfId="9240"/>
    <tableColumn id="7150" name="Columna7136" dataDxfId="25863" totalsRowDxfId="9239"/>
    <tableColumn id="7151" name="Columna7137" dataDxfId="25862" totalsRowDxfId="9238"/>
    <tableColumn id="7152" name="Columna7138" dataDxfId="25861" totalsRowDxfId="9237"/>
    <tableColumn id="7153" name="Columna7139" dataDxfId="25860" totalsRowDxfId="9236"/>
    <tableColumn id="7154" name="Columna7140" dataDxfId="25859" totalsRowDxfId="9235"/>
    <tableColumn id="7155" name="Columna7141" dataDxfId="25858" totalsRowDxfId="9234"/>
    <tableColumn id="7156" name="Columna7142" dataDxfId="25857" totalsRowDxfId="9233"/>
    <tableColumn id="7157" name="Columna7143" dataDxfId="25856" totalsRowDxfId="9232"/>
    <tableColumn id="7158" name="Columna7144" dataDxfId="25855" totalsRowDxfId="9231"/>
    <tableColumn id="7159" name="Columna7145" dataDxfId="25854" totalsRowDxfId="9230"/>
    <tableColumn id="7160" name="Columna7146" dataDxfId="25853" totalsRowDxfId="9229"/>
    <tableColumn id="7161" name="Columna7147" dataDxfId="25852" totalsRowDxfId="9228"/>
    <tableColumn id="7162" name="Columna7148" dataDxfId="25851" totalsRowDxfId="9227"/>
    <tableColumn id="7163" name="Columna7149" dataDxfId="25850" totalsRowDxfId="9226"/>
    <tableColumn id="7164" name="Columna7150" dataDxfId="25849" totalsRowDxfId="9225"/>
    <tableColumn id="7165" name="Columna7151" dataDxfId="25848" totalsRowDxfId="9224"/>
    <tableColumn id="7166" name="Columna7152" dataDxfId="25847" totalsRowDxfId="9223"/>
    <tableColumn id="7167" name="Columna7153" dataDxfId="25846" totalsRowDxfId="9222"/>
    <tableColumn id="7168" name="Columna7154" dataDxfId="25845" totalsRowDxfId="9221"/>
    <tableColumn id="7169" name="Columna7155" dataDxfId="25844" totalsRowDxfId="9220"/>
    <tableColumn id="7170" name="Columna7156" dataDxfId="25843" totalsRowDxfId="9219"/>
    <tableColumn id="7171" name="Columna7157" dataDxfId="25842" totalsRowDxfId="9218"/>
    <tableColumn id="7172" name="Columna7158" dataDxfId="25841" totalsRowDxfId="9217"/>
    <tableColumn id="7173" name="Columna7159" dataDxfId="25840" totalsRowDxfId="9216"/>
    <tableColumn id="7174" name="Columna7160" dataDxfId="25839" totalsRowDxfId="9215"/>
    <tableColumn id="7175" name="Columna7161" dataDxfId="25838" totalsRowDxfId="9214"/>
    <tableColumn id="7176" name="Columna7162" dataDxfId="25837" totalsRowDxfId="9213"/>
    <tableColumn id="7177" name="Columna7163" dataDxfId="25836" totalsRowDxfId="9212"/>
    <tableColumn id="7178" name="Columna7164" dataDxfId="25835" totalsRowDxfId="9211"/>
    <tableColumn id="7179" name="Columna7165" dataDxfId="25834" totalsRowDxfId="9210"/>
    <tableColumn id="7180" name="Columna7166" dataDxfId="25833" totalsRowDxfId="9209"/>
    <tableColumn id="7181" name="Columna7167" dataDxfId="25832" totalsRowDxfId="9208"/>
    <tableColumn id="7182" name="Columna7168" dataDxfId="25831" totalsRowDxfId="9207"/>
    <tableColumn id="7183" name="Columna7169" dataDxfId="25830" totalsRowDxfId="9206"/>
    <tableColumn id="7184" name="Columna7170" dataDxfId="25829" totalsRowDxfId="9205"/>
    <tableColumn id="7185" name="Columna7171" dataDxfId="25828" totalsRowDxfId="9204"/>
    <tableColumn id="7186" name="Columna7172" dataDxfId="25827" totalsRowDxfId="9203"/>
    <tableColumn id="7187" name="Columna7173" dataDxfId="25826" totalsRowDxfId="9202"/>
    <tableColumn id="7188" name="Columna7174" dataDxfId="25825" totalsRowDxfId="9201"/>
    <tableColumn id="7189" name="Columna7175" dataDxfId="25824" totalsRowDxfId="9200"/>
    <tableColumn id="7190" name="Columna7176" dataDxfId="25823" totalsRowDxfId="9199"/>
    <tableColumn id="7191" name="Columna7177" dataDxfId="25822" totalsRowDxfId="9198"/>
    <tableColumn id="7192" name="Columna7178" dataDxfId="25821" totalsRowDxfId="9197"/>
    <tableColumn id="7193" name="Columna7179" dataDxfId="25820" totalsRowDxfId="9196"/>
    <tableColumn id="7194" name="Columna7180" dataDxfId="25819" totalsRowDxfId="9195"/>
    <tableColumn id="7195" name="Columna7181" dataDxfId="25818" totalsRowDxfId="9194"/>
    <tableColumn id="7196" name="Columna7182" dataDxfId="25817" totalsRowDxfId="9193"/>
    <tableColumn id="7197" name="Columna7183" dataDxfId="25816" totalsRowDxfId="9192"/>
    <tableColumn id="7198" name="Columna7184" dataDxfId="25815" totalsRowDxfId="9191"/>
    <tableColumn id="7199" name="Columna7185" dataDxfId="25814" totalsRowDxfId="9190"/>
    <tableColumn id="7200" name="Columna7186" dataDxfId="25813" totalsRowDxfId="9189"/>
    <tableColumn id="7201" name="Columna7187" dataDxfId="25812" totalsRowDxfId="9188"/>
    <tableColumn id="7202" name="Columna7188" dataDxfId="25811" totalsRowDxfId="9187"/>
    <tableColumn id="7203" name="Columna7189" dataDxfId="25810" totalsRowDxfId="9186"/>
    <tableColumn id="7204" name="Columna7190" dataDxfId="25809" totalsRowDxfId="9185"/>
    <tableColumn id="7205" name="Columna7191" dataDxfId="25808" totalsRowDxfId="9184"/>
    <tableColumn id="7206" name="Columna7192" dataDxfId="25807" totalsRowDxfId="9183"/>
    <tableColumn id="7207" name="Columna7193" dataDxfId="25806" totalsRowDxfId="9182"/>
    <tableColumn id="7208" name="Columna7194" dataDxfId="25805" totalsRowDxfId="9181"/>
    <tableColumn id="7209" name="Columna7195" dataDxfId="25804" totalsRowDxfId="9180"/>
    <tableColumn id="7210" name="Columna7196" dataDxfId="25803" totalsRowDxfId="9179"/>
    <tableColumn id="7211" name="Columna7197" dataDxfId="25802" totalsRowDxfId="9178"/>
    <tableColumn id="7212" name="Columna7198" dataDxfId="25801" totalsRowDxfId="9177"/>
    <tableColumn id="7213" name="Columna7199" dataDxfId="25800" totalsRowDxfId="9176"/>
    <tableColumn id="7214" name="Columna7200" dataDxfId="25799" totalsRowDxfId="9175"/>
    <tableColumn id="7215" name="Columna7201" dataDxfId="25798" totalsRowDxfId="9174"/>
    <tableColumn id="7216" name="Columna7202" dataDxfId="25797" totalsRowDxfId="9173"/>
    <tableColumn id="7217" name="Columna7203" dataDxfId="25796" totalsRowDxfId="9172"/>
    <tableColumn id="7218" name="Columna7204" dataDxfId="25795" totalsRowDxfId="9171"/>
    <tableColumn id="7219" name="Columna7205" dataDxfId="25794" totalsRowDxfId="9170"/>
    <tableColumn id="7220" name="Columna7206" dataDxfId="25793" totalsRowDxfId="9169"/>
    <tableColumn id="7221" name="Columna7207" dataDxfId="25792" totalsRowDxfId="9168"/>
    <tableColumn id="7222" name="Columna7208" dataDxfId="25791" totalsRowDxfId="9167"/>
    <tableColumn id="7223" name="Columna7209" dataDxfId="25790" totalsRowDxfId="9166"/>
    <tableColumn id="7224" name="Columna7210" dataDxfId="25789" totalsRowDxfId="9165"/>
    <tableColumn id="7225" name="Columna7211" dataDxfId="25788" totalsRowDxfId="9164"/>
    <tableColumn id="7226" name="Columna7212" dataDxfId="25787" totalsRowDxfId="9163"/>
    <tableColumn id="7227" name="Columna7213" dataDxfId="25786" totalsRowDxfId="9162"/>
    <tableColumn id="7228" name="Columna7214" dataDxfId="25785" totalsRowDxfId="9161"/>
    <tableColumn id="7229" name="Columna7215" dataDxfId="25784" totalsRowDxfId="9160"/>
    <tableColumn id="7230" name="Columna7216" dataDxfId="25783" totalsRowDxfId="9159"/>
    <tableColumn id="7231" name="Columna7217" dataDxfId="25782" totalsRowDxfId="9158"/>
    <tableColumn id="7232" name="Columna7218" dataDxfId="25781" totalsRowDxfId="9157"/>
    <tableColumn id="7233" name="Columna7219" dataDxfId="25780" totalsRowDxfId="9156"/>
    <tableColumn id="7234" name="Columna7220" dataDxfId="25779" totalsRowDxfId="9155"/>
    <tableColumn id="7235" name="Columna7221" dataDxfId="25778" totalsRowDxfId="9154"/>
    <tableColumn id="7236" name="Columna7222" dataDxfId="25777" totalsRowDxfId="9153"/>
    <tableColumn id="7237" name="Columna7223" dataDxfId="25776" totalsRowDxfId="9152"/>
    <tableColumn id="7238" name="Columna7224" dataDxfId="25775" totalsRowDxfId="9151"/>
    <tableColumn id="7239" name="Columna7225" dataDxfId="25774" totalsRowDxfId="9150"/>
    <tableColumn id="7240" name="Columna7226" dataDxfId="25773" totalsRowDxfId="9149"/>
    <tableColumn id="7241" name="Columna7227" dataDxfId="25772" totalsRowDxfId="9148"/>
    <tableColumn id="7242" name="Columna7228" dataDxfId="25771" totalsRowDxfId="9147"/>
    <tableColumn id="7243" name="Columna7229" dataDxfId="25770" totalsRowDxfId="9146"/>
    <tableColumn id="7244" name="Columna7230" dataDxfId="25769" totalsRowDxfId="9145"/>
    <tableColumn id="7245" name="Columna7231" dataDxfId="25768" totalsRowDxfId="9144"/>
    <tableColumn id="7246" name="Columna7232" dataDxfId="25767" totalsRowDxfId="9143"/>
    <tableColumn id="7247" name="Columna7233" dataDxfId="25766" totalsRowDxfId="9142"/>
    <tableColumn id="7248" name="Columna7234" dataDxfId="25765" totalsRowDxfId="9141"/>
    <tableColumn id="7249" name="Columna7235" dataDxfId="25764" totalsRowDxfId="9140"/>
    <tableColumn id="7250" name="Columna7236" dataDxfId="25763" totalsRowDxfId="9139"/>
    <tableColumn id="7251" name="Columna7237" dataDxfId="25762" totalsRowDxfId="9138"/>
    <tableColumn id="7252" name="Columna7238" dataDxfId="25761" totalsRowDxfId="9137"/>
    <tableColumn id="7253" name="Columna7239" dataDxfId="25760" totalsRowDxfId="9136"/>
    <tableColumn id="7254" name="Columna7240" dataDxfId="25759" totalsRowDxfId="9135"/>
    <tableColumn id="7255" name="Columna7241" dataDxfId="25758" totalsRowDxfId="9134"/>
    <tableColumn id="7256" name="Columna7242" dataDxfId="25757" totalsRowDxfId="9133"/>
    <tableColumn id="7257" name="Columna7243" dataDxfId="25756" totalsRowDxfId="9132"/>
    <tableColumn id="7258" name="Columna7244" dataDxfId="25755" totalsRowDxfId="9131"/>
    <tableColumn id="7259" name="Columna7245" dataDxfId="25754" totalsRowDxfId="9130"/>
    <tableColumn id="7260" name="Columna7246" dataDxfId="25753" totalsRowDxfId="9129"/>
    <tableColumn id="7261" name="Columna7247" dataDxfId="25752" totalsRowDxfId="9128"/>
    <tableColumn id="7262" name="Columna7248" dataDxfId="25751" totalsRowDxfId="9127"/>
    <tableColumn id="7263" name="Columna7249" dataDxfId="25750" totalsRowDxfId="9126"/>
    <tableColumn id="7264" name="Columna7250" dataDxfId="25749" totalsRowDxfId="9125"/>
    <tableColumn id="7265" name="Columna7251" dataDxfId="25748" totalsRowDxfId="9124"/>
    <tableColumn id="7266" name="Columna7252" dataDxfId="25747" totalsRowDxfId="9123"/>
    <tableColumn id="7267" name="Columna7253" dataDxfId="25746" totalsRowDxfId="9122"/>
    <tableColumn id="7268" name="Columna7254" dataDxfId="25745" totalsRowDxfId="9121"/>
    <tableColumn id="7269" name="Columna7255" dataDxfId="25744" totalsRowDxfId="9120"/>
    <tableColumn id="7270" name="Columna7256" dataDxfId="25743" totalsRowDxfId="9119"/>
    <tableColumn id="7271" name="Columna7257" dataDxfId="25742" totalsRowDxfId="9118"/>
    <tableColumn id="7272" name="Columna7258" dataDxfId="25741" totalsRowDxfId="9117"/>
    <tableColumn id="7273" name="Columna7259" dataDxfId="25740" totalsRowDxfId="9116"/>
    <tableColumn id="7274" name="Columna7260" dataDxfId="25739" totalsRowDxfId="9115"/>
    <tableColumn id="7275" name="Columna7261" dataDxfId="25738" totalsRowDxfId="9114"/>
    <tableColumn id="7276" name="Columna7262" dataDxfId="25737" totalsRowDxfId="9113"/>
    <tableColumn id="7277" name="Columna7263" dataDxfId="25736" totalsRowDxfId="9112"/>
    <tableColumn id="7278" name="Columna7264" dataDxfId="25735" totalsRowDxfId="9111"/>
    <tableColumn id="7279" name="Columna7265" dataDxfId="25734" totalsRowDxfId="9110"/>
    <tableColumn id="7280" name="Columna7266" dataDxfId="25733" totalsRowDxfId="9109"/>
    <tableColumn id="7281" name="Columna7267" dataDxfId="25732" totalsRowDxfId="9108"/>
    <tableColumn id="7282" name="Columna7268" dataDxfId="25731" totalsRowDxfId="9107"/>
    <tableColumn id="7283" name="Columna7269" dataDxfId="25730" totalsRowDxfId="9106"/>
    <tableColumn id="7284" name="Columna7270" dataDxfId="25729" totalsRowDxfId="9105"/>
    <tableColumn id="7285" name="Columna7271" dataDxfId="25728" totalsRowDxfId="9104"/>
    <tableColumn id="7286" name="Columna7272" dataDxfId="25727" totalsRowDxfId="9103"/>
    <tableColumn id="7287" name="Columna7273" dataDxfId="25726" totalsRowDxfId="9102"/>
    <tableColumn id="7288" name="Columna7274" dataDxfId="25725" totalsRowDxfId="9101"/>
    <tableColumn id="7289" name="Columna7275" dataDxfId="25724" totalsRowDxfId="9100"/>
    <tableColumn id="7290" name="Columna7276" dataDxfId="25723" totalsRowDxfId="9099"/>
    <tableColumn id="7291" name="Columna7277" dataDxfId="25722" totalsRowDxfId="9098"/>
    <tableColumn id="7292" name="Columna7278" dataDxfId="25721" totalsRowDxfId="9097"/>
    <tableColumn id="7293" name="Columna7279" dataDxfId="25720" totalsRowDxfId="9096"/>
    <tableColumn id="7294" name="Columna7280" dataDxfId="25719" totalsRowDxfId="9095"/>
    <tableColumn id="7295" name="Columna7281" dataDxfId="25718" totalsRowDxfId="9094"/>
    <tableColumn id="7296" name="Columna7282" dataDxfId="25717" totalsRowDxfId="9093"/>
    <tableColumn id="7297" name="Columna7283" dataDxfId="25716" totalsRowDxfId="9092"/>
    <tableColumn id="7298" name="Columna7284" dataDxfId="25715" totalsRowDxfId="9091"/>
    <tableColumn id="7299" name="Columna7285" dataDxfId="25714" totalsRowDxfId="9090"/>
    <tableColumn id="7300" name="Columna7286" dataDxfId="25713" totalsRowDxfId="9089"/>
    <tableColumn id="7301" name="Columna7287" dataDxfId="25712" totalsRowDxfId="9088"/>
    <tableColumn id="7302" name="Columna7288" dataDxfId="25711" totalsRowDxfId="9087"/>
    <tableColumn id="7303" name="Columna7289" dataDxfId="25710" totalsRowDxfId="9086"/>
    <tableColumn id="7304" name="Columna7290" dataDxfId="25709" totalsRowDxfId="9085"/>
    <tableColumn id="7305" name="Columna7291" dataDxfId="25708" totalsRowDxfId="9084"/>
    <tableColumn id="7306" name="Columna7292" dataDxfId="25707" totalsRowDxfId="9083"/>
    <tableColumn id="7307" name="Columna7293" dataDxfId="25706" totalsRowDxfId="9082"/>
    <tableColumn id="7308" name="Columna7294" dataDxfId="25705" totalsRowDxfId="9081"/>
    <tableColumn id="7309" name="Columna7295" dataDxfId="25704" totalsRowDxfId="9080"/>
    <tableColumn id="7310" name="Columna7296" dataDxfId="25703" totalsRowDxfId="9079"/>
    <tableColumn id="7311" name="Columna7297" dataDxfId="25702" totalsRowDxfId="9078"/>
    <tableColumn id="7312" name="Columna7298" dataDxfId="25701" totalsRowDxfId="9077"/>
    <tableColumn id="7313" name="Columna7299" dataDxfId="25700" totalsRowDxfId="9076"/>
    <tableColumn id="7314" name="Columna7300" dataDxfId="25699" totalsRowDxfId="9075"/>
    <tableColumn id="7315" name="Columna7301" dataDxfId="25698" totalsRowDxfId="9074"/>
    <tableColumn id="7316" name="Columna7302" dataDxfId="25697" totalsRowDxfId="9073"/>
    <tableColumn id="7317" name="Columna7303" dataDxfId="25696" totalsRowDxfId="9072"/>
    <tableColumn id="7318" name="Columna7304" dataDxfId="25695" totalsRowDxfId="9071"/>
    <tableColumn id="7319" name="Columna7305" dataDxfId="25694" totalsRowDxfId="9070"/>
    <tableColumn id="7320" name="Columna7306" dataDxfId="25693" totalsRowDxfId="9069"/>
    <tableColumn id="7321" name="Columna7307" dataDxfId="25692" totalsRowDxfId="9068"/>
    <tableColumn id="7322" name="Columna7308" dataDxfId="25691" totalsRowDxfId="9067"/>
    <tableColumn id="7323" name="Columna7309" dataDxfId="25690" totalsRowDxfId="9066"/>
    <tableColumn id="7324" name="Columna7310" dataDxfId="25689" totalsRowDxfId="9065"/>
    <tableColumn id="7325" name="Columna7311" dataDxfId="25688" totalsRowDxfId="9064"/>
    <tableColumn id="7326" name="Columna7312" dataDxfId="25687" totalsRowDxfId="9063"/>
    <tableColumn id="7327" name="Columna7313" dataDxfId="25686" totalsRowDxfId="9062"/>
    <tableColumn id="7328" name="Columna7314" dataDxfId="25685" totalsRowDxfId="9061"/>
    <tableColumn id="7329" name="Columna7315" dataDxfId="25684" totalsRowDxfId="9060"/>
    <tableColumn id="7330" name="Columna7316" dataDxfId="25683" totalsRowDxfId="9059"/>
    <tableColumn id="7331" name="Columna7317" dataDxfId="25682" totalsRowDxfId="9058"/>
    <tableColumn id="7332" name="Columna7318" dataDxfId="25681" totalsRowDxfId="9057"/>
    <tableColumn id="7333" name="Columna7319" dataDxfId="25680" totalsRowDxfId="9056"/>
    <tableColumn id="7334" name="Columna7320" dataDxfId="25679" totalsRowDxfId="9055"/>
    <tableColumn id="7335" name="Columna7321" dataDxfId="25678" totalsRowDxfId="9054"/>
    <tableColumn id="7336" name="Columna7322" dataDxfId="25677" totalsRowDxfId="9053"/>
    <tableColumn id="7337" name="Columna7323" dataDxfId="25676" totalsRowDxfId="9052"/>
    <tableColumn id="7338" name="Columna7324" dataDxfId="25675" totalsRowDxfId="9051"/>
    <tableColumn id="7339" name="Columna7325" dataDxfId="25674" totalsRowDxfId="9050"/>
    <tableColumn id="7340" name="Columna7326" dataDxfId="25673" totalsRowDxfId="9049"/>
    <tableColumn id="7341" name="Columna7327" dataDxfId="25672" totalsRowDxfId="9048"/>
    <tableColumn id="7342" name="Columna7328" dataDxfId="25671" totalsRowDxfId="9047"/>
    <tableColumn id="7343" name="Columna7329" dataDxfId="25670" totalsRowDxfId="9046"/>
    <tableColumn id="7344" name="Columna7330" dataDxfId="25669" totalsRowDxfId="9045"/>
    <tableColumn id="7345" name="Columna7331" dataDxfId="25668" totalsRowDxfId="9044"/>
    <tableColumn id="7346" name="Columna7332" dataDxfId="25667" totalsRowDxfId="9043"/>
    <tableColumn id="7347" name="Columna7333" dataDxfId="25666" totalsRowDxfId="9042"/>
    <tableColumn id="7348" name="Columna7334" dataDxfId="25665" totalsRowDxfId="9041"/>
    <tableColumn id="7349" name="Columna7335" dataDxfId="25664" totalsRowDxfId="9040"/>
    <tableColumn id="7350" name="Columna7336" dataDxfId="25663" totalsRowDxfId="9039"/>
    <tableColumn id="7351" name="Columna7337" dataDxfId="25662" totalsRowDxfId="9038"/>
    <tableColumn id="7352" name="Columna7338" dataDxfId="25661" totalsRowDxfId="9037"/>
    <tableColumn id="7353" name="Columna7339" dataDxfId="25660" totalsRowDxfId="9036"/>
    <tableColumn id="7354" name="Columna7340" dataDxfId="25659" totalsRowDxfId="9035"/>
    <tableColumn id="7355" name="Columna7341" dataDxfId="25658" totalsRowDxfId="9034"/>
    <tableColumn id="7356" name="Columna7342" dataDxfId="25657" totalsRowDxfId="9033"/>
    <tableColumn id="7357" name="Columna7343" dataDxfId="25656" totalsRowDxfId="9032"/>
    <tableColumn id="7358" name="Columna7344" dataDxfId="25655" totalsRowDxfId="9031"/>
    <tableColumn id="7359" name="Columna7345" dataDxfId="25654" totalsRowDxfId="9030"/>
    <tableColumn id="7360" name="Columna7346" dataDxfId="25653" totalsRowDxfId="9029"/>
    <tableColumn id="7361" name="Columna7347" dataDxfId="25652" totalsRowDxfId="9028"/>
    <tableColumn id="7362" name="Columna7348" dataDxfId="25651" totalsRowDxfId="9027"/>
    <tableColumn id="7363" name="Columna7349" dataDxfId="25650" totalsRowDxfId="9026"/>
    <tableColumn id="7364" name="Columna7350" dataDxfId="25649" totalsRowDxfId="9025"/>
    <tableColumn id="7365" name="Columna7351" dataDxfId="25648" totalsRowDxfId="9024"/>
    <tableColumn id="7366" name="Columna7352" dataDxfId="25647" totalsRowDxfId="9023"/>
    <tableColumn id="7367" name="Columna7353" dataDxfId="25646" totalsRowDxfId="9022"/>
    <tableColumn id="7368" name="Columna7354" dataDxfId="25645" totalsRowDxfId="9021"/>
    <tableColumn id="7369" name="Columna7355" dataDxfId="25644" totalsRowDxfId="9020"/>
    <tableColumn id="7370" name="Columna7356" dataDxfId="25643" totalsRowDxfId="9019"/>
    <tableColumn id="7371" name="Columna7357" dataDxfId="25642" totalsRowDxfId="9018"/>
    <tableColumn id="7372" name="Columna7358" dataDxfId="25641" totalsRowDxfId="9017"/>
    <tableColumn id="7373" name="Columna7359" dataDxfId="25640" totalsRowDxfId="9016"/>
    <tableColumn id="7374" name="Columna7360" dataDxfId="25639" totalsRowDxfId="9015"/>
    <tableColumn id="7375" name="Columna7361" dataDxfId="25638" totalsRowDxfId="9014"/>
    <tableColumn id="7376" name="Columna7362" dataDxfId="25637" totalsRowDxfId="9013"/>
    <tableColumn id="7377" name="Columna7363" dataDxfId="25636" totalsRowDxfId="9012"/>
    <tableColumn id="7378" name="Columna7364" dataDxfId="25635" totalsRowDxfId="9011"/>
    <tableColumn id="7379" name="Columna7365" dataDxfId="25634" totalsRowDxfId="9010"/>
    <tableColumn id="7380" name="Columna7366" dataDxfId="25633" totalsRowDxfId="9009"/>
    <tableColumn id="7381" name="Columna7367" dataDxfId="25632" totalsRowDxfId="9008"/>
    <tableColumn id="7382" name="Columna7368" dataDxfId="25631" totalsRowDxfId="9007"/>
    <tableColumn id="7383" name="Columna7369" dataDxfId="25630" totalsRowDxfId="9006"/>
    <tableColumn id="7384" name="Columna7370" dataDxfId="25629" totalsRowDxfId="9005"/>
    <tableColumn id="7385" name="Columna7371" dataDxfId="25628" totalsRowDxfId="9004"/>
    <tableColumn id="7386" name="Columna7372" dataDxfId="25627" totalsRowDxfId="9003"/>
    <tableColumn id="7387" name="Columna7373" dataDxfId="25626" totalsRowDxfId="9002"/>
    <tableColumn id="7388" name="Columna7374" dataDxfId="25625" totalsRowDxfId="9001"/>
    <tableColumn id="7389" name="Columna7375" dataDxfId="25624" totalsRowDxfId="9000"/>
    <tableColumn id="7390" name="Columna7376" dataDxfId="25623" totalsRowDxfId="8999"/>
    <tableColumn id="7391" name="Columna7377" dataDxfId="25622" totalsRowDxfId="8998"/>
    <tableColumn id="7392" name="Columna7378" dataDxfId="25621" totalsRowDxfId="8997"/>
    <tableColumn id="7393" name="Columna7379" dataDxfId="25620" totalsRowDxfId="8996"/>
    <tableColumn id="7394" name="Columna7380" dataDxfId="25619" totalsRowDxfId="8995"/>
    <tableColumn id="7395" name="Columna7381" dataDxfId="25618" totalsRowDxfId="8994"/>
    <tableColumn id="7396" name="Columna7382" dataDxfId="25617" totalsRowDxfId="8993"/>
    <tableColumn id="7397" name="Columna7383" dataDxfId="25616" totalsRowDxfId="8992"/>
    <tableColumn id="7398" name="Columna7384" dataDxfId="25615" totalsRowDxfId="8991"/>
    <tableColumn id="7399" name="Columna7385" dataDxfId="25614" totalsRowDxfId="8990"/>
    <tableColumn id="7400" name="Columna7386" dataDxfId="25613" totalsRowDxfId="8989"/>
    <tableColumn id="7401" name="Columna7387" dataDxfId="25612" totalsRowDxfId="8988"/>
    <tableColumn id="7402" name="Columna7388" dataDxfId="25611" totalsRowDxfId="8987"/>
    <tableColumn id="7403" name="Columna7389" dataDxfId="25610" totalsRowDxfId="8986"/>
    <tableColumn id="7404" name="Columna7390" dataDxfId="25609" totalsRowDxfId="8985"/>
    <tableColumn id="7405" name="Columna7391" dataDxfId="25608" totalsRowDxfId="8984"/>
    <tableColumn id="7406" name="Columna7392" dataDxfId="25607" totalsRowDxfId="8983"/>
    <tableColumn id="7407" name="Columna7393" dataDxfId="25606" totalsRowDxfId="8982"/>
    <tableColumn id="7408" name="Columna7394" dataDxfId="25605" totalsRowDxfId="8981"/>
    <tableColumn id="7409" name="Columna7395" dataDxfId="25604" totalsRowDxfId="8980"/>
    <tableColumn id="7410" name="Columna7396" dataDxfId="25603" totalsRowDxfId="8979"/>
    <tableColumn id="7411" name="Columna7397" dataDxfId="25602" totalsRowDxfId="8978"/>
    <tableColumn id="7412" name="Columna7398" dataDxfId="25601" totalsRowDxfId="8977"/>
    <tableColumn id="7413" name="Columna7399" dataDxfId="25600" totalsRowDxfId="8976"/>
    <tableColumn id="7414" name="Columna7400" dataDxfId="25599" totalsRowDxfId="8975"/>
    <tableColumn id="7415" name="Columna7401" dataDxfId="25598" totalsRowDxfId="8974"/>
    <tableColumn id="7416" name="Columna7402" dataDxfId="25597" totalsRowDxfId="8973"/>
    <tableColumn id="7417" name="Columna7403" dataDxfId="25596" totalsRowDxfId="8972"/>
    <tableColumn id="7418" name="Columna7404" dataDxfId="25595" totalsRowDxfId="8971"/>
    <tableColumn id="7419" name="Columna7405" dataDxfId="25594" totalsRowDxfId="8970"/>
    <tableColumn id="7420" name="Columna7406" dataDxfId="25593" totalsRowDxfId="8969"/>
    <tableColumn id="7421" name="Columna7407" dataDxfId="25592" totalsRowDxfId="8968"/>
    <tableColumn id="7422" name="Columna7408" dataDxfId="25591" totalsRowDxfId="8967"/>
    <tableColumn id="7423" name="Columna7409" dataDxfId="25590" totalsRowDxfId="8966"/>
    <tableColumn id="7424" name="Columna7410" dataDxfId="25589" totalsRowDxfId="8965"/>
    <tableColumn id="7425" name="Columna7411" dataDxfId="25588" totalsRowDxfId="8964"/>
    <tableColumn id="7426" name="Columna7412" dataDxfId="25587" totalsRowDxfId="8963"/>
    <tableColumn id="7427" name="Columna7413" dataDxfId="25586" totalsRowDxfId="8962"/>
    <tableColumn id="7428" name="Columna7414" dataDxfId="25585" totalsRowDxfId="8961"/>
    <tableColumn id="7429" name="Columna7415" dataDxfId="25584" totalsRowDxfId="8960"/>
    <tableColumn id="7430" name="Columna7416" dataDxfId="25583" totalsRowDxfId="8959"/>
    <tableColumn id="7431" name="Columna7417" dataDxfId="25582" totalsRowDxfId="8958"/>
    <tableColumn id="7432" name="Columna7418" dataDxfId="25581" totalsRowDxfId="8957"/>
    <tableColumn id="7433" name="Columna7419" dataDxfId="25580" totalsRowDxfId="8956"/>
    <tableColumn id="7434" name="Columna7420" dataDxfId="25579" totalsRowDxfId="8955"/>
    <tableColumn id="7435" name="Columna7421" dataDxfId="25578" totalsRowDxfId="8954"/>
    <tableColumn id="7436" name="Columna7422" dataDxfId="25577" totalsRowDxfId="8953"/>
    <tableColumn id="7437" name="Columna7423" dataDxfId="25576" totalsRowDxfId="8952"/>
    <tableColumn id="7438" name="Columna7424" dataDxfId="25575" totalsRowDxfId="8951"/>
    <tableColumn id="7439" name="Columna7425" dataDxfId="25574" totalsRowDxfId="8950"/>
    <tableColumn id="7440" name="Columna7426" dataDxfId="25573" totalsRowDxfId="8949"/>
    <tableColumn id="7441" name="Columna7427" dataDxfId="25572" totalsRowDxfId="8948"/>
    <tableColumn id="7442" name="Columna7428" dataDxfId="25571" totalsRowDxfId="8947"/>
    <tableColumn id="7443" name="Columna7429" dataDxfId="25570" totalsRowDxfId="8946"/>
    <tableColumn id="7444" name="Columna7430" dataDxfId="25569" totalsRowDxfId="8945"/>
    <tableColumn id="7445" name="Columna7431" dataDxfId="25568" totalsRowDxfId="8944"/>
    <tableColumn id="7446" name="Columna7432" dataDxfId="25567" totalsRowDxfId="8943"/>
    <tableColumn id="7447" name="Columna7433" dataDxfId="25566" totalsRowDxfId="8942"/>
    <tableColumn id="7448" name="Columna7434" dataDxfId="25565" totalsRowDxfId="8941"/>
    <tableColumn id="7449" name="Columna7435" dataDxfId="25564" totalsRowDxfId="8940"/>
    <tableColumn id="7450" name="Columna7436" dataDxfId="25563" totalsRowDxfId="8939"/>
    <tableColumn id="7451" name="Columna7437" dataDxfId="25562" totalsRowDxfId="8938"/>
    <tableColumn id="7452" name="Columna7438" dataDxfId="25561" totalsRowDxfId="8937"/>
    <tableColumn id="7453" name="Columna7439" dataDxfId="25560" totalsRowDxfId="8936"/>
    <tableColumn id="7454" name="Columna7440" dataDxfId="25559" totalsRowDxfId="8935"/>
    <tableColumn id="7455" name="Columna7441" dataDxfId="25558" totalsRowDxfId="8934"/>
    <tableColumn id="7456" name="Columna7442" dataDxfId="25557" totalsRowDxfId="8933"/>
    <tableColumn id="7457" name="Columna7443" dataDxfId="25556" totalsRowDxfId="8932"/>
    <tableColumn id="7458" name="Columna7444" dataDxfId="25555" totalsRowDxfId="8931"/>
    <tableColumn id="7459" name="Columna7445" dataDxfId="25554" totalsRowDxfId="8930"/>
    <tableColumn id="7460" name="Columna7446" dataDxfId="25553" totalsRowDxfId="8929"/>
    <tableColumn id="7461" name="Columna7447" dataDxfId="25552" totalsRowDxfId="8928"/>
    <tableColumn id="7462" name="Columna7448" dataDxfId="25551" totalsRowDxfId="8927"/>
    <tableColumn id="7463" name="Columna7449" dataDxfId="25550" totalsRowDxfId="8926"/>
    <tableColumn id="7464" name="Columna7450" dataDxfId="25549" totalsRowDxfId="8925"/>
    <tableColumn id="7465" name="Columna7451" dataDxfId="25548" totalsRowDxfId="8924"/>
    <tableColumn id="7466" name="Columna7452" dataDxfId="25547" totalsRowDxfId="8923"/>
    <tableColumn id="7467" name="Columna7453" dataDxfId="25546" totalsRowDxfId="8922"/>
    <tableColumn id="7468" name="Columna7454" dataDxfId="25545" totalsRowDxfId="8921"/>
    <tableColumn id="7469" name="Columna7455" dataDxfId="25544" totalsRowDxfId="8920"/>
    <tableColumn id="7470" name="Columna7456" dataDxfId="25543" totalsRowDxfId="8919"/>
    <tableColumn id="7471" name="Columna7457" dataDxfId="25542" totalsRowDxfId="8918"/>
    <tableColumn id="7472" name="Columna7458" dataDxfId="25541" totalsRowDxfId="8917"/>
    <tableColumn id="7473" name="Columna7459" dataDxfId="25540" totalsRowDxfId="8916"/>
    <tableColumn id="7474" name="Columna7460" dataDxfId="25539" totalsRowDxfId="8915"/>
    <tableColumn id="7475" name="Columna7461" dataDxfId="25538" totalsRowDxfId="8914"/>
    <tableColumn id="7476" name="Columna7462" dataDxfId="25537" totalsRowDxfId="8913"/>
    <tableColumn id="7477" name="Columna7463" dataDxfId="25536" totalsRowDxfId="8912"/>
    <tableColumn id="7478" name="Columna7464" dataDxfId="25535" totalsRowDxfId="8911"/>
    <tableColumn id="7479" name="Columna7465" dataDxfId="25534" totalsRowDxfId="8910"/>
    <tableColumn id="7480" name="Columna7466" dataDxfId="25533" totalsRowDxfId="8909"/>
    <tableColumn id="7481" name="Columna7467" dataDxfId="25532" totalsRowDxfId="8908"/>
    <tableColumn id="7482" name="Columna7468" dataDxfId="25531" totalsRowDxfId="8907"/>
    <tableColumn id="7483" name="Columna7469" dataDxfId="25530" totalsRowDxfId="8906"/>
    <tableColumn id="7484" name="Columna7470" dataDxfId="25529" totalsRowDxfId="8905"/>
    <tableColumn id="7485" name="Columna7471" dataDxfId="25528" totalsRowDxfId="8904"/>
    <tableColumn id="7486" name="Columna7472" dataDxfId="25527" totalsRowDxfId="8903"/>
    <tableColumn id="7487" name="Columna7473" dataDxfId="25526" totalsRowDxfId="8902"/>
    <tableColumn id="7488" name="Columna7474" dataDxfId="25525" totalsRowDxfId="8901"/>
    <tableColumn id="7489" name="Columna7475" dataDxfId="25524" totalsRowDxfId="8900"/>
    <tableColumn id="7490" name="Columna7476" dataDxfId="25523" totalsRowDxfId="8899"/>
    <tableColumn id="7491" name="Columna7477" dataDxfId="25522" totalsRowDxfId="8898"/>
    <tableColumn id="7492" name="Columna7478" dataDxfId="25521" totalsRowDxfId="8897"/>
    <tableColumn id="7493" name="Columna7479" dataDxfId="25520" totalsRowDxfId="8896"/>
    <tableColumn id="7494" name="Columna7480" dataDxfId="25519" totalsRowDxfId="8895"/>
    <tableColumn id="7495" name="Columna7481" dataDxfId="25518" totalsRowDxfId="8894"/>
    <tableColumn id="7496" name="Columna7482" dataDxfId="25517" totalsRowDxfId="8893"/>
    <tableColumn id="7497" name="Columna7483" dataDxfId="25516" totalsRowDxfId="8892"/>
    <tableColumn id="7498" name="Columna7484" dataDxfId="25515" totalsRowDxfId="8891"/>
    <tableColumn id="7499" name="Columna7485" dataDxfId="25514" totalsRowDxfId="8890"/>
    <tableColumn id="7500" name="Columna7486" dataDxfId="25513" totalsRowDxfId="8889"/>
    <tableColumn id="7501" name="Columna7487" dataDxfId="25512" totalsRowDxfId="8888"/>
    <tableColumn id="7502" name="Columna7488" dataDxfId="25511" totalsRowDxfId="8887"/>
    <tableColumn id="7503" name="Columna7489" dataDxfId="25510" totalsRowDxfId="8886"/>
    <tableColumn id="7504" name="Columna7490" dataDxfId="25509" totalsRowDxfId="8885"/>
    <tableColumn id="7505" name="Columna7491" dataDxfId="25508" totalsRowDxfId="8884"/>
    <tableColumn id="7506" name="Columna7492" dataDxfId="25507" totalsRowDxfId="8883"/>
    <tableColumn id="7507" name="Columna7493" dataDxfId="25506" totalsRowDxfId="8882"/>
    <tableColumn id="7508" name="Columna7494" dataDxfId="25505" totalsRowDxfId="8881"/>
    <tableColumn id="7509" name="Columna7495" dataDxfId="25504" totalsRowDxfId="8880"/>
    <tableColumn id="7510" name="Columna7496" dataDxfId="25503" totalsRowDxfId="8879"/>
    <tableColumn id="7511" name="Columna7497" dataDxfId="25502" totalsRowDxfId="8878"/>
    <tableColumn id="7512" name="Columna7498" dataDxfId="25501" totalsRowDxfId="8877"/>
    <tableColumn id="7513" name="Columna7499" dataDxfId="25500" totalsRowDxfId="8876"/>
    <tableColumn id="7514" name="Columna7500" dataDxfId="25499" totalsRowDxfId="8875"/>
    <tableColumn id="7515" name="Columna7501" dataDxfId="25498" totalsRowDxfId="8874"/>
    <tableColumn id="7516" name="Columna7502" dataDxfId="25497" totalsRowDxfId="8873"/>
    <tableColumn id="7517" name="Columna7503" dataDxfId="25496" totalsRowDxfId="8872"/>
    <tableColumn id="7518" name="Columna7504" dataDxfId="25495" totalsRowDxfId="8871"/>
    <tableColumn id="7519" name="Columna7505" dataDxfId="25494" totalsRowDxfId="8870"/>
    <tableColumn id="7520" name="Columna7506" dataDxfId="25493" totalsRowDxfId="8869"/>
    <tableColumn id="7521" name="Columna7507" dataDxfId="25492" totalsRowDxfId="8868"/>
    <tableColumn id="7522" name="Columna7508" dataDxfId="25491" totalsRowDxfId="8867"/>
    <tableColumn id="7523" name="Columna7509" dataDxfId="25490" totalsRowDxfId="8866"/>
    <tableColumn id="7524" name="Columna7510" dataDxfId="25489" totalsRowDxfId="8865"/>
    <tableColumn id="7525" name="Columna7511" dataDxfId="25488" totalsRowDxfId="8864"/>
    <tableColumn id="7526" name="Columna7512" dataDxfId="25487" totalsRowDxfId="8863"/>
    <tableColumn id="7527" name="Columna7513" dataDxfId="25486" totalsRowDxfId="8862"/>
    <tableColumn id="7528" name="Columna7514" dataDxfId="25485" totalsRowDxfId="8861"/>
    <tableColumn id="7529" name="Columna7515" dataDxfId="25484" totalsRowDxfId="8860"/>
    <tableColumn id="7530" name="Columna7516" dataDxfId="25483" totalsRowDxfId="8859"/>
    <tableColumn id="7531" name="Columna7517" dataDxfId="25482" totalsRowDxfId="8858"/>
    <tableColumn id="7532" name="Columna7518" dataDxfId="25481" totalsRowDxfId="8857"/>
    <tableColumn id="7533" name="Columna7519" dataDxfId="25480" totalsRowDxfId="8856"/>
    <tableColumn id="7534" name="Columna7520" dataDxfId="25479" totalsRowDxfId="8855"/>
    <tableColumn id="7535" name="Columna7521" dataDxfId="25478" totalsRowDxfId="8854"/>
    <tableColumn id="7536" name="Columna7522" dataDxfId="25477" totalsRowDxfId="8853"/>
    <tableColumn id="7537" name="Columna7523" dataDxfId="25476" totalsRowDxfId="8852"/>
    <tableColumn id="7538" name="Columna7524" dataDxfId="25475" totalsRowDxfId="8851"/>
    <tableColumn id="7539" name="Columna7525" dataDxfId="25474" totalsRowDxfId="8850"/>
    <tableColumn id="7540" name="Columna7526" dataDxfId="25473" totalsRowDxfId="8849"/>
    <tableColumn id="7541" name="Columna7527" dataDxfId="25472" totalsRowDxfId="8848"/>
    <tableColumn id="7542" name="Columna7528" dataDxfId="25471" totalsRowDxfId="8847"/>
    <tableColumn id="7543" name="Columna7529" dataDxfId="25470" totalsRowDxfId="8846"/>
    <tableColumn id="7544" name="Columna7530" dataDxfId="25469" totalsRowDxfId="8845"/>
    <tableColumn id="7545" name="Columna7531" dataDxfId="25468" totalsRowDxfId="8844"/>
    <tableColumn id="7546" name="Columna7532" dataDxfId="25467" totalsRowDxfId="8843"/>
    <tableColumn id="7547" name="Columna7533" dataDxfId="25466" totalsRowDxfId="8842"/>
    <tableColumn id="7548" name="Columna7534" dataDxfId="25465" totalsRowDxfId="8841"/>
    <tableColumn id="7549" name="Columna7535" dataDxfId="25464" totalsRowDxfId="8840"/>
    <tableColumn id="7550" name="Columna7536" dataDxfId="25463" totalsRowDxfId="8839"/>
    <tableColumn id="7551" name="Columna7537" dataDxfId="25462" totalsRowDxfId="8838"/>
    <tableColumn id="7552" name="Columna7538" dataDxfId="25461" totalsRowDxfId="8837"/>
    <tableColumn id="7553" name="Columna7539" dataDxfId="25460" totalsRowDxfId="8836"/>
    <tableColumn id="7554" name="Columna7540" dataDxfId="25459" totalsRowDxfId="8835"/>
    <tableColumn id="7555" name="Columna7541" dataDxfId="25458" totalsRowDxfId="8834"/>
    <tableColumn id="7556" name="Columna7542" dataDxfId="25457" totalsRowDxfId="8833"/>
    <tableColumn id="7557" name="Columna7543" dataDxfId="25456" totalsRowDxfId="8832"/>
    <tableColumn id="7558" name="Columna7544" dataDxfId="25455" totalsRowDxfId="8831"/>
    <tableColumn id="7559" name="Columna7545" dataDxfId="25454" totalsRowDxfId="8830"/>
    <tableColumn id="7560" name="Columna7546" dataDxfId="25453" totalsRowDxfId="8829"/>
    <tableColumn id="7561" name="Columna7547" dataDxfId="25452" totalsRowDxfId="8828"/>
    <tableColumn id="7562" name="Columna7548" dataDxfId="25451" totalsRowDxfId="8827"/>
    <tableColumn id="7563" name="Columna7549" dataDxfId="25450" totalsRowDxfId="8826"/>
    <tableColumn id="7564" name="Columna7550" dataDxfId="25449" totalsRowDxfId="8825"/>
    <tableColumn id="7565" name="Columna7551" dataDxfId="25448" totalsRowDxfId="8824"/>
    <tableColumn id="7566" name="Columna7552" dataDxfId="25447" totalsRowDxfId="8823"/>
    <tableColumn id="7567" name="Columna7553" dataDxfId="25446" totalsRowDxfId="8822"/>
    <tableColumn id="7568" name="Columna7554" dataDxfId="25445" totalsRowDxfId="8821"/>
    <tableColumn id="7569" name="Columna7555" dataDxfId="25444" totalsRowDxfId="8820"/>
    <tableColumn id="7570" name="Columna7556" dataDxfId="25443" totalsRowDxfId="8819"/>
    <tableColumn id="7571" name="Columna7557" dataDxfId="25442" totalsRowDxfId="8818"/>
    <tableColumn id="7572" name="Columna7558" dataDxfId="25441" totalsRowDxfId="8817"/>
    <tableColumn id="7573" name="Columna7559" dataDxfId="25440" totalsRowDxfId="8816"/>
    <tableColumn id="7574" name="Columna7560" dataDxfId="25439" totalsRowDxfId="8815"/>
    <tableColumn id="7575" name="Columna7561" dataDxfId="25438" totalsRowDxfId="8814"/>
    <tableColumn id="7576" name="Columna7562" dataDxfId="25437" totalsRowDxfId="8813"/>
    <tableColumn id="7577" name="Columna7563" dataDxfId="25436" totalsRowDxfId="8812"/>
    <tableColumn id="7578" name="Columna7564" dataDxfId="25435" totalsRowDxfId="8811"/>
    <tableColumn id="7579" name="Columna7565" dataDxfId="25434" totalsRowDxfId="8810"/>
    <tableColumn id="7580" name="Columna7566" dataDxfId="25433" totalsRowDxfId="8809"/>
    <tableColumn id="7581" name="Columna7567" dataDxfId="25432" totalsRowDxfId="8808"/>
    <tableColumn id="7582" name="Columna7568" dataDxfId="25431" totalsRowDxfId="8807"/>
    <tableColumn id="7583" name="Columna7569" dataDxfId="25430" totalsRowDxfId="8806"/>
    <tableColumn id="7584" name="Columna7570" dataDxfId="25429" totalsRowDxfId="8805"/>
    <tableColumn id="7585" name="Columna7571" dataDxfId="25428" totalsRowDxfId="8804"/>
    <tableColumn id="7586" name="Columna7572" dataDxfId="25427" totalsRowDxfId="8803"/>
    <tableColumn id="7587" name="Columna7573" dataDxfId="25426" totalsRowDxfId="8802"/>
    <tableColumn id="7588" name="Columna7574" dataDxfId="25425" totalsRowDxfId="8801"/>
    <tableColumn id="7589" name="Columna7575" dataDxfId="25424" totalsRowDxfId="8800"/>
    <tableColumn id="7590" name="Columna7576" dataDxfId="25423" totalsRowDxfId="8799"/>
    <tableColumn id="7591" name="Columna7577" dataDxfId="25422" totalsRowDxfId="8798"/>
    <tableColumn id="7592" name="Columna7578" dataDxfId="25421" totalsRowDxfId="8797"/>
    <tableColumn id="7593" name="Columna7579" dataDxfId="25420" totalsRowDxfId="8796"/>
    <tableColumn id="7594" name="Columna7580" dataDxfId="25419" totalsRowDxfId="8795"/>
    <tableColumn id="7595" name="Columna7581" dataDxfId="25418" totalsRowDxfId="8794"/>
    <tableColumn id="7596" name="Columna7582" dataDxfId="25417" totalsRowDxfId="8793"/>
    <tableColumn id="7597" name="Columna7583" dataDxfId="25416" totalsRowDxfId="8792"/>
    <tableColumn id="7598" name="Columna7584" dataDxfId="25415" totalsRowDxfId="8791"/>
    <tableColumn id="7599" name="Columna7585" dataDxfId="25414" totalsRowDxfId="8790"/>
    <tableColumn id="7600" name="Columna7586" dataDxfId="25413" totalsRowDxfId="8789"/>
    <tableColumn id="7601" name="Columna7587" dataDxfId="25412" totalsRowDxfId="8788"/>
    <tableColumn id="7602" name="Columna7588" dataDxfId="25411" totalsRowDxfId="8787"/>
    <tableColumn id="7603" name="Columna7589" dataDxfId="25410" totalsRowDxfId="8786"/>
    <tableColumn id="7604" name="Columna7590" dataDxfId="25409" totalsRowDxfId="8785"/>
    <tableColumn id="7605" name="Columna7591" dataDxfId="25408" totalsRowDxfId="8784"/>
    <tableColumn id="7606" name="Columna7592" dataDxfId="25407" totalsRowDxfId="8783"/>
    <tableColumn id="7607" name="Columna7593" dataDxfId="25406" totalsRowDxfId="8782"/>
    <tableColumn id="7608" name="Columna7594" dataDxfId="25405" totalsRowDxfId="8781"/>
    <tableColumn id="7609" name="Columna7595" dataDxfId="25404" totalsRowDxfId="8780"/>
    <tableColumn id="7610" name="Columna7596" dataDxfId="25403" totalsRowDxfId="8779"/>
    <tableColumn id="7611" name="Columna7597" dataDxfId="25402" totalsRowDxfId="8778"/>
    <tableColumn id="7612" name="Columna7598" dataDxfId="25401" totalsRowDxfId="8777"/>
    <tableColumn id="7613" name="Columna7599" dataDxfId="25400" totalsRowDxfId="8776"/>
    <tableColumn id="7614" name="Columna7600" dataDxfId="25399" totalsRowDxfId="8775"/>
    <tableColumn id="7615" name="Columna7601" dataDxfId="25398" totalsRowDxfId="8774"/>
    <tableColumn id="7616" name="Columna7602" dataDxfId="25397" totalsRowDxfId="8773"/>
    <tableColumn id="7617" name="Columna7603" dataDxfId="25396" totalsRowDxfId="8772"/>
    <tableColumn id="7618" name="Columna7604" dataDxfId="25395" totalsRowDxfId="8771"/>
    <tableColumn id="7619" name="Columna7605" dataDxfId="25394" totalsRowDxfId="8770"/>
    <tableColumn id="7620" name="Columna7606" dataDxfId="25393" totalsRowDxfId="8769"/>
    <tableColumn id="7621" name="Columna7607" dataDxfId="25392" totalsRowDxfId="8768"/>
    <tableColumn id="7622" name="Columna7608" dataDxfId="25391" totalsRowDxfId="8767"/>
    <tableColumn id="7623" name="Columna7609" dataDxfId="25390" totalsRowDxfId="8766"/>
    <tableColumn id="7624" name="Columna7610" dataDxfId="25389" totalsRowDxfId="8765"/>
    <tableColumn id="7625" name="Columna7611" dataDxfId="25388" totalsRowDxfId="8764"/>
    <tableColumn id="7626" name="Columna7612" dataDxfId="25387" totalsRowDxfId="8763"/>
    <tableColumn id="7627" name="Columna7613" dataDxfId="25386" totalsRowDxfId="8762"/>
    <tableColumn id="7628" name="Columna7614" dataDxfId="25385" totalsRowDxfId="8761"/>
    <tableColumn id="7629" name="Columna7615" dataDxfId="25384" totalsRowDxfId="8760"/>
    <tableColumn id="7630" name="Columna7616" dataDxfId="25383" totalsRowDxfId="8759"/>
    <tableColumn id="7631" name="Columna7617" dataDxfId="25382" totalsRowDxfId="8758"/>
    <tableColumn id="7632" name="Columna7618" dataDxfId="25381" totalsRowDxfId="8757"/>
    <tableColumn id="7633" name="Columna7619" dataDxfId="25380" totalsRowDxfId="8756"/>
    <tableColumn id="7634" name="Columna7620" dataDxfId="25379" totalsRowDxfId="8755"/>
    <tableColumn id="7635" name="Columna7621" dataDxfId="25378" totalsRowDxfId="8754"/>
    <tableColumn id="7636" name="Columna7622" dataDxfId="25377" totalsRowDxfId="8753"/>
    <tableColumn id="7637" name="Columna7623" dataDxfId="25376" totalsRowDxfId="8752"/>
    <tableColumn id="7638" name="Columna7624" dataDxfId="25375" totalsRowDxfId="8751"/>
    <tableColumn id="7639" name="Columna7625" dataDxfId="25374" totalsRowDxfId="8750"/>
    <tableColumn id="7640" name="Columna7626" dataDxfId="25373" totalsRowDxfId="8749"/>
    <tableColumn id="7641" name="Columna7627" dataDxfId="25372" totalsRowDxfId="8748"/>
    <tableColumn id="7642" name="Columna7628" dataDxfId="25371" totalsRowDxfId="8747"/>
    <tableColumn id="7643" name="Columna7629" dataDxfId="25370" totalsRowDxfId="8746"/>
    <tableColumn id="7644" name="Columna7630" dataDxfId="25369" totalsRowDxfId="8745"/>
    <tableColumn id="7645" name="Columna7631" dataDxfId="25368" totalsRowDxfId="8744"/>
    <tableColumn id="7646" name="Columna7632" dataDxfId="25367" totalsRowDxfId="8743"/>
    <tableColumn id="7647" name="Columna7633" dataDxfId="25366" totalsRowDxfId="8742"/>
    <tableColumn id="7648" name="Columna7634" dataDxfId="25365" totalsRowDxfId="8741"/>
    <tableColumn id="7649" name="Columna7635" dataDxfId="25364" totalsRowDxfId="8740"/>
    <tableColumn id="7650" name="Columna7636" dataDxfId="25363" totalsRowDxfId="8739"/>
    <tableColumn id="7651" name="Columna7637" dataDxfId="25362" totalsRowDxfId="8738"/>
    <tableColumn id="7652" name="Columna7638" dataDxfId="25361" totalsRowDxfId="8737"/>
    <tableColumn id="7653" name="Columna7639" dataDxfId="25360" totalsRowDxfId="8736"/>
    <tableColumn id="7654" name="Columna7640" dataDxfId="25359" totalsRowDxfId="8735"/>
    <tableColumn id="7655" name="Columna7641" dataDxfId="25358" totalsRowDxfId="8734"/>
    <tableColumn id="7656" name="Columna7642" dataDxfId="25357" totalsRowDxfId="8733"/>
    <tableColumn id="7657" name="Columna7643" dataDxfId="25356" totalsRowDxfId="8732"/>
    <tableColumn id="7658" name="Columna7644" dataDxfId="25355" totalsRowDxfId="8731"/>
    <tableColumn id="7659" name="Columna7645" dataDxfId="25354" totalsRowDxfId="8730"/>
    <tableColumn id="7660" name="Columna7646" dataDxfId="25353" totalsRowDxfId="8729"/>
    <tableColumn id="7661" name="Columna7647" dataDxfId="25352" totalsRowDxfId="8728"/>
    <tableColumn id="7662" name="Columna7648" dataDxfId="25351" totalsRowDxfId="8727"/>
    <tableColumn id="7663" name="Columna7649" dataDxfId="25350" totalsRowDxfId="8726"/>
    <tableColumn id="7664" name="Columna7650" dataDxfId="25349" totalsRowDxfId="8725"/>
    <tableColumn id="7665" name="Columna7651" dataDxfId="25348" totalsRowDxfId="8724"/>
    <tableColumn id="7666" name="Columna7652" dataDxfId="25347" totalsRowDxfId="8723"/>
    <tableColumn id="7667" name="Columna7653" dataDxfId="25346" totalsRowDxfId="8722"/>
    <tableColumn id="7668" name="Columna7654" dataDxfId="25345" totalsRowDxfId="8721"/>
    <tableColumn id="7669" name="Columna7655" dataDxfId="25344" totalsRowDxfId="8720"/>
    <tableColumn id="7670" name="Columna7656" dataDxfId="25343" totalsRowDxfId="8719"/>
    <tableColumn id="7671" name="Columna7657" dataDxfId="25342" totalsRowDxfId="8718"/>
    <tableColumn id="7672" name="Columna7658" dataDxfId="25341" totalsRowDxfId="8717"/>
    <tableColumn id="7673" name="Columna7659" dataDxfId="25340" totalsRowDxfId="8716"/>
    <tableColumn id="7674" name="Columna7660" dataDxfId="25339" totalsRowDxfId="8715"/>
    <tableColumn id="7675" name="Columna7661" dataDxfId="25338" totalsRowDxfId="8714"/>
    <tableColumn id="7676" name="Columna7662" dataDxfId="25337" totalsRowDxfId="8713"/>
    <tableColumn id="7677" name="Columna7663" dataDxfId="25336" totalsRowDxfId="8712"/>
    <tableColumn id="7678" name="Columna7664" dataDxfId="25335" totalsRowDxfId="8711"/>
    <tableColumn id="7679" name="Columna7665" dataDxfId="25334" totalsRowDxfId="8710"/>
    <tableColumn id="7680" name="Columna7666" dataDxfId="25333" totalsRowDxfId="8709"/>
    <tableColumn id="7681" name="Columna7667" dataDxfId="25332" totalsRowDxfId="8708"/>
    <tableColumn id="7682" name="Columna7668" dataDxfId="25331" totalsRowDxfId="8707"/>
    <tableColumn id="7683" name="Columna7669" dataDxfId="25330" totalsRowDxfId="8706"/>
    <tableColumn id="7684" name="Columna7670" dataDxfId="25329" totalsRowDxfId="8705"/>
    <tableColumn id="7685" name="Columna7671" dataDxfId="25328" totalsRowDxfId="8704"/>
    <tableColumn id="7686" name="Columna7672" dataDxfId="25327" totalsRowDxfId="8703"/>
    <tableColumn id="7687" name="Columna7673" dataDxfId="25326" totalsRowDxfId="8702"/>
    <tableColumn id="7688" name="Columna7674" dataDxfId="25325" totalsRowDxfId="8701"/>
    <tableColumn id="7689" name="Columna7675" dataDxfId="25324" totalsRowDxfId="8700"/>
    <tableColumn id="7690" name="Columna7676" dataDxfId="25323" totalsRowDxfId="8699"/>
    <tableColumn id="7691" name="Columna7677" dataDxfId="25322" totalsRowDxfId="8698"/>
    <tableColumn id="7692" name="Columna7678" dataDxfId="25321" totalsRowDxfId="8697"/>
    <tableColumn id="7693" name="Columna7679" dataDxfId="25320" totalsRowDxfId="8696"/>
    <tableColumn id="7694" name="Columna7680" dataDxfId="25319" totalsRowDxfId="8695"/>
    <tableColumn id="7695" name="Columna7681" dataDxfId="25318" totalsRowDxfId="8694"/>
    <tableColumn id="7696" name="Columna7682" dataDxfId="25317" totalsRowDxfId="8693"/>
    <tableColumn id="7697" name="Columna7683" dataDxfId="25316" totalsRowDxfId="8692"/>
    <tableColumn id="7698" name="Columna7684" dataDxfId="25315" totalsRowDxfId="8691"/>
    <tableColumn id="7699" name="Columna7685" dataDxfId="25314" totalsRowDxfId="8690"/>
    <tableColumn id="7700" name="Columna7686" dataDxfId="25313" totalsRowDxfId="8689"/>
    <tableColumn id="7701" name="Columna7687" dataDxfId="25312" totalsRowDxfId="8688"/>
    <tableColumn id="7702" name="Columna7688" dataDxfId="25311" totalsRowDxfId="8687"/>
    <tableColumn id="7703" name="Columna7689" dataDxfId="25310" totalsRowDxfId="8686"/>
    <tableColumn id="7704" name="Columna7690" dataDxfId="25309" totalsRowDxfId="8685"/>
    <tableColumn id="7705" name="Columna7691" dataDxfId="25308" totalsRowDxfId="8684"/>
    <tableColumn id="7706" name="Columna7692" dataDxfId="25307" totalsRowDxfId="8683"/>
    <tableColumn id="7707" name="Columna7693" dataDxfId="25306" totalsRowDxfId="8682"/>
    <tableColumn id="7708" name="Columna7694" dataDxfId="25305" totalsRowDxfId="8681"/>
    <tableColumn id="7709" name="Columna7695" dataDxfId="25304" totalsRowDxfId="8680"/>
    <tableColumn id="7710" name="Columna7696" dataDxfId="25303" totalsRowDxfId="8679"/>
    <tableColumn id="7711" name="Columna7697" dataDxfId="25302" totalsRowDxfId="8678"/>
    <tableColumn id="7712" name="Columna7698" dataDxfId="25301" totalsRowDxfId="8677"/>
    <tableColumn id="7713" name="Columna7699" dataDxfId="25300" totalsRowDxfId="8676"/>
    <tableColumn id="7714" name="Columna7700" dataDxfId="25299" totalsRowDxfId="8675"/>
    <tableColumn id="7715" name="Columna7701" dataDxfId="25298" totalsRowDxfId="8674"/>
    <tableColumn id="7716" name="Columna7702" dataDxfId="25297" totalsRowDxfId="8673"/>
    <tableColumn id="7717" name="Columna7703" dataDxfId="25296" totalsRowDxfId="8672"/>
    <tableColumn id="7718" name="Columna7704" dataDxfId="25295" totalsRowDxfId="8671"/>
    <tableColumn id="7719" name="Columna7705" dataDxfId="25294" totalsRowDxfId="8670"/>
    <tableColumn id="7720" name="Columna7706" dataDxfId="25293" totalsRowDxfId="8669"/>
    <tableColumn id="7721" name="Columna7707" dataDxfId="25292" totalsRowDxfId="8668"/>
    <tableColumn id="7722" name="Columna7708" dataDxfId="25291" totalsRowDxfId="8667"/>
    <tableColumn id="7723" name="Columna7709" dataDxfId="25290" totalsRowDxfId="8666"/>
    <tableColumn id="7724" name="Columna7710" dataDxfId="25289" totalsRowDxfId="8665"/>
    <tableColumn id="7725" name="Columna7711" dataDxfId="25288" totalsRowDxfId="8664"/>
    <tableColumn id="7726" name="Columna7712" dataDxfId="25287" totalsRowDxfId="8663"/>
    <tableColumn id="7727" name="Columna7713" dataDxfId="25286" totalsRowDxfId="8662"/>
    <tableColumn id="7728" name="Columna7714" dataDxfId="25285" totalsRowDxfId="8661"/>
    <tableColumn id="7729" name="Columna7715" dataDxfId="25284" totalsRowDxfId="8660"/>
    <tableColumn id="7730" name="Columna7716" dataDxfId="25283" totalsRowDxfId="8659"/>
    <tableColumn id="7731" name="Columna7717" dataDxfId="25282" totalsRowDxfId="8658"/>
    <tableColumn id="7732" name="Columna7718" dataDxfId="25281" totalsRowDxfId="8657"/>
    <tableColumn id="7733" name="Columna7719" dataDxfId="25280" totalsRowDxfId="8656"/>
    <tableColumn id="7734" name="Columna7720" dataDxfId="25279" totalsRowDxfId="8655"/>
    <tableColumn id="7735" name="Columna7721" dataDxfId="25278" totalsRowDxfId="8654"/>
    <tableColumn id="7736" name="Columna7722" dataDxfId="25277" totalsRowDxfId="8653"/>
    <tableColumn id="7737" name="Columna7723" dataDxfId="25276" totalsRowDxfId="8652"/>
    <tableColumn id="7738" name="Columna7724" dataDxfId="25275" totalsRowDxfId="8651"/>
    <tableColumn id="7739" name="Columna7725" dataDxfId="25274" totalsRowDxfId="8650"/>
    <tableColumn id="7740" name="Columna7726" dataDxfId="25273" totalsRowDxfId="8649"/>
    <tableColumn id="7741" name="Columna7727" dataDxfId="25272" totalsRowDxfId="8648"/>
    <tableColumn id="7742" name="Columna7728" dataDxfId="25271" totalsRowDxfId="8647"/>
    <tableColumn id="7743" name="Columna7729" dataDxfId="25270" totalsRowDxfId="8646"/>
    <tableColumn id="7744" name="Columna7730" dataDxfId="25269" totalsRowDxfId="8645"/>
    <tableColumn id="7745" name="Columna7731" dataDxfId="25268" totalsRowDxfId="8644"/>
    <tableColumn id="7746" name="Columna7732" dataDxfId="25267" totalsRowDxfId="8643"/>
    <tableColumn id="7747" name="Columna7733" dataDxfId="25266" totalsRowDxfId="8642"/>
    <tableColumn id="7748" name="Columna7734" dataDxfId="25265" totalsRowDxfId="8641"/>
    <tableColumn id="7749" name="Columna7735" dataDxfId="25264" totalsRowDxfId="8640"/>
    <tableColumn id="7750" name="Columna7736" dataDxfId="25263" totalsRowDxfId="8639"/>
    <tableColumn id="7751" name="Columna7737" dataDxfId="25262" totalsRowDxfId="8638"/>
    <tableColumn id="7752" name="Columna7738" dataDxfId="25261" totalsRowDxfId="8637"/>
    <tableColumn id="7753" name="Columna7739" dataDxfId="25260" totalsRowDxfId="8636"/>
    <tableColumn id="7754" name="Columna7740" dataDxfId="25259" totalsRowDxfId="8635"/>
    <tableColumn id="7755" name="Columna7741" dataDxfId="25258" totalsRowDxfId="8634"/>
    <tableColumn id="7756" name="Columna7742" dataDxfId="25257" totalsRowDxfId="8633"/>
    <tableColumn id="7757" name="Columna7743" dataDxfId="25256" totalsRowDxfId="8632"/>
    <tableColumn id="7758" name="Columna7744" dataDxfId="25255" totalsRowDxfId="8631"/>
    <tableColumn id="7759" name="Columna7745" dataDxfId="25254" totalsRowDxfId="8630"/>
    <tableColumn id="7760" name="Columna7746" dataDxfId="25253" totalsRowDxfId="8629"/>
    <tableColumn id="7761" name="Columna7747" dataDxfId="25252" totalsRowDxfId="8628"/>
    <tableColumn id="7762" name="Columna7748" dataDxfId="25251" totalsRowDxfId="8627"/>
    <tableColumn id="7763" name="Columna7749" dataDxfId="25250" totalsRowDxfId="8626"/>
    <tableColumn id="7764" name="Columna7750" dataDxfId="25249" totalsRowDxfId="8625"/>
    <tableColumn id="7765" name="Columna7751" dataDxfId="25248" totalsRowDxfId="8624"/>
    <tableColumn id="7766" name="Columna7752" dataDxfId="25247" totalsRowDxfId="8623"/>
    <tableColumn id="7767" name="Columna7753" dataDxfId="25246" totalsRowDxfId="8622"/>
    <tableColumn id="7768" name="Columna7754" dataDxfId="25245" totalsRowDxfId="8621"/>
    <tableColumn id="7769" name="Columna7755" dataDxfId="25244" totalsRowDxfId="8620"/>
    <tableColumn id="7770" name="Columna7756" dataDxfId="25243" totalsRowDxfId="8619"/>
    <tableColumn id="7771" name="Columna7757" dataDxfId="25242" totalsRowDxfId="8618"/>
    <tableColumn id="7772" name="Columna7758" dataDxfId="25241" totalsRowDxfId="8617"/>
    <tableColumn id="7773" name="Columna7759" dataDxfId="25240" totalsRowDxfId="8616"/>
    <tableColumn id="7774" name="Columna7760" dataDxfId="25239" totalsRowDxfId="8615"/>
    <tableColumn id="7775" name="Columna7761" dataDxfId="25238" totalsRowDxfId="8614"/>
    <tableColumn id="7776" name="Columna7762" dataDxfId="25237" totalsRowDxfId="8613"/>
    <tableColumn id="7777" name="Columna7763" dataDxfId="25236" totalsRowDxfId="8612"/>
    <tableColumn id="7778" name="Columna7764" dataDxfId="25235" totalsRowDxfId="8611"/>
    <tableColumn id="7779" name="Columna7765" dataDxfId="25234" totalsRowDxfId="8610"/>
    <tableColumn id="7780" name="Columna7766" dataDxfId="25233" totalsRowDxfId="8609"/>
    <tableColumn id="7781" name="Columna7767" dataDxfId="25232" totalsRowDxfId="8608"/>
    <tableColumn id="7782" name="Columna7768" dataDxfId="25231" totalsRowDxfId="8607"/>
    <tableColumn id="7783" name="Columna7769" dataDxfId="25230" totalsRowDxfId="8606"/>
    <tableColumn id="7784" name="Columna7770" dataDxfId="25229" totalsRowDxfId="8605"/>
    <tableColumn id="7785" name="Columna7771" dataDxfId="25228" totalsRowDxfId="8604"/>
    <tableColumn id="7786" name="Columna7772" dataDxfId="25227" totalsRowDxfId="8603"/>
    <tableColumn id="7787" name="Columna7773" dataDxfId="25226" totalsRowDxfId="8602"/>
    <tableColumn id="7788" name="Columna7774" dataDxfId="25225" totalsRowDxfId="8601"/>
    <tableColumn id="7789" name="Columna7775" dataDxfId="25224" totalsRowDxfId="8600"/>
    <tableColumn id="7790" name="Columna7776" dataDxfId="25223" totalsRowDxfId="8599"/>
    <tableColumn id="7791" name="Columna7777" dataDxfId="25222" totalsRowDxfId="8598"/>
    <tableColumn id="7792" name="Columna7778" dataDxfId="25221" totalsRowDxfId="8597"/>
    <tableColumn id="7793" name="Columna7779" dataDxfId="25220" totalsRowDxfId="8596"/>
    <tableColumn id="7794" name="Columna7780" dataDxfId="25219" totalsRowDxfId="8595"/>
    <tableColumn id="7795" name="Columna7781" dataDxfId="25218" totalsRowDxfId="8594"/>
    <tableColumn id="7796" name="Columna7782" dataDxfId="25217" totalsRowDxfId="8593"/>
    <tableColumn id="7797" name="Columna7783" dataDxfId="25216" totalsRowDxfId="8592"/>
    <tableColumn id="7798" name="Columna7784" dataDxfId="25215" totalsRowDxfId="8591"/>
    <tableColumn id="7799" name="Columna7785" dataDxfId="25214" totalsRowDxfId="8590"/>
    <tableColumn id="7800" name="Columna7786" dataDxfId="25213" totalsRowDxfId="8589"/>
    <tableColumn id="7801" name="Columna7787" dataDxfId="25212" totalsRowDxfId="8588"/>
    <tableColumn id="7802" name="Columna7788" dataDxfId="25211" totalsRowDxfId="8587"/>
    <tableColumn id="7803" name="Columna7789" dataDxfId="25210" totalsRowDxfId="8586"/>
    <tableColumn id="7804" name="Columna7790" dataDxfId="25209" totalsRowDxfId="8585"/>
    <tableColumn id="7805" name="Columna7791" dataDxfId="25208" totalsRowDxfId="8584"/>
    <tableColumn id="7806" name="Columna7792" dataDxfId="25207" totalsRowDxfId="8583"/>
    <tableColumn id="7807" name="Columna7793" dataDxfId="25206" totalsRowDxfId="8582"/>
    <tableColumn id="7808" name="Columna7794" dataDxfId="25205" totalsRowDxfId="8581"/>
    <tableColumn id="7809" name="Columna7795" dataDxfId="25204" totalsRowDxfId="8580"/>
    <tableColumn id="7810" name="Columna7796" dataDxfId="25203" totalsRowDxfId="8579"/>
    <tableColumn id="7811" name="Columna7797" dataDxfId="25202" totalsRowDxfId="8578"/>
    <tableColumn id="7812" name="Columna7798" dataDxfId="25201" totalsRowDxfId="8577"/>
    <tableColumn id="7813" name="Columna7799" dataDxfId="25200" totalsRowDxfId="8576"/>
    <tableColumn id="7814" name="Columna7800" dataDxfId="25199" totalsRowDxfId="8575"/>
    <tableColumn id="7815" name="Columna7801" dataDxfId="25198" totalsRowDxfId="8574"/>
    <tableColumn id="7816" name="Columna7802" dataDxfId="25197" totalsRowDxfId="8573"/>
    <tableColumn id="7817" name="Columna7803" dataDxfId="25196" totalsRowDxfId="8572"/>
    <tableColumn id="7818" name="Columna7804" dataDxfId="25195" totalsRowDxfId="8571"/>
    <tableColumn id="7819" name="Columna7805" dataDxfId="25194" totalsRowDxfId="8570"/>
    <tableColumn id="7820" name="Columna7806" dataDxfId="25193" totalsRowDxfId="8569"/>
    <tableColumn id="7821" name="Columna7807" dataDxfId="25192" totalsRowDxfId="8568"/>
    <tableColumn id="7822" name="Columna7808" dataDxfId="25191" totalsRowDxfId="8567"/>
    <tableColumn id="7823" name="Columna7809" dataDxfId="25190" totalsRowDxfId="8566"/>
    <tableColumn id="7824" name="Columna7810" dataDxfId="25189" totalsRowDxfId="8565"/>
    <tableColumn id="7825" name="Columna7811" dataDxfId="25188" totalsRowDxfId="8564"/>
    <tableColumn id="7826" name="Columna7812" dataDxfId="25187" totalsRowDxfId="8563"/>
    <tableColumn id="7827" name="Columna7813" dataDxfId="25186" totalsRowDxfId="8562"/>
    <tableColumn id="7828" name="Columna7814" dataDxfId="25185" totalsRowDxfId="8561"/>
    <tableColumn id="7829" name="Columna7815" dataDxfId="25184" totalsRowDxfId="8560"/>
    <tableColumn id="7830" name="Columna7816" dataDxfId="25183" totalsRowDxfId="8559"/>
    <tableColumn id="7831" name="Columna7817" dataDxfId="25182" totalsRowDxfId="8558"/>
    <tableColumn id="7832" name="Columna7818" dataDxfId="25181" totalsRowDxfId="8557"/>
    <tableColumn id="7833" name="Columna7819" dataDxfId="25180" totalsRowDxfId="8556"/>
    <tableColumn id="7834" name="Columna7820" dataDxfId="25179" totalsRowDxfId="8555"/>
    <tableColumn id="7835" name="Columna7821" dataDxfId="25178" totalsRowDxfId="8554"/>
    <tableColumn id="7836" name="Columna7822" dataDxfId="25177" totalsRowDxfId="8553"/>
    <tableColumn id="7837" name="Columna7823" dataDxfId="25176" totalsRowDxfId="8552"/>
    <tableColumn id="7838" name="Columna7824" dataDxfId="25175" totalsRowDxfId="8551"/>
    <tableColumn id="7839" name="Columna7825" dataDxfId="25174" totalsRowDxfId="8550"/>
    <tableColumn id="7840" name="Columna7826" dataDxfId="25173" totalsRowDxfId="8549"/>
    <tableColumn id="7841" name="Columna7827" dataDxfId="25172" totalsRowDxfId="8548"/>
    <tableColumn id="7842" name="Columna7828" dataDxfId="25171" totalsRowDxfId="8547"/>
    <tableColumn id="7843" name="Columna7829" dataDxfId="25170" totalsRowDxfId="8546"/>
    <tableColumn id="7844" name="Columna7830" dataDxfId="25169" totalsRowDxfId="8545"/>
    <tableColumn id="7845" name="Columna7831" dataDxfId="25168" totalsRowDxfId="8544"/>
    <tableColumn id="7846" name="Columna7832" dataDxfId="25167" totalsRowDxfId="8543"/>
    <tableColumn id="7847" name="Columna7833" dataDxfId="25166" totalsRowDxfId="8542"/>
    <tableColumn id="7848" name="Columna7834" dataDxfId="25165" totalsRowDxfId="8541"/>
    <tableColumn id="7849" name="Columna7835" dataDxfId="25164" totalsRowDxfId="8540"/>
    <tableColumn id="7850" name="Columna7836" dataDxfId="25163" totalsRowDxfId="8539"/>
    <tableColumn id="7851" name="Columna7837" dataDxfId="25162" totalsRowDxfId="8538"/>
    <tableColumn id="7852" name="Columna7838" dataDxfId="25161" totalsRowDxfId="8537"/>
    <tableColumn id="7853" name="Columna7839" dataDxfId="25160" totalsRowDxfId="8536"/>
    <tableColumn id="7854" name="Columna7840" dataDxfId="25159" totalsRowDxfId="8535"/>
    <tableColumn id="7855" name="Columna7841" dataDxfId="25158" totalsRowDxfId="8534"/>
    <tableColumn id="7856" name="Columna7842" dataDxfId="25157" totalsRowDxfId="8533"/>
    <tableColumn id="7857" name="Columna7843" dataDxfId="25156" totalsRowDxfId="8532"/>
    <tableColumn id="7858" name="Columna7844" dataDxfId="25155" totalsRowDxfId="8531"/>
    <tableColumn id="7859" name="Columna7845" dataDxfId="25154" totalsRowDxfId="8530"/>
    <tableColumn id="7860" name="Columna7846" dataDxfId="25153" totalsRowDxfId="8529"/>
    <tableColumn id="7861" name="Columna7847" dataDxfId="25152" totalsRowDxfId="8528"/>
    <tableColumn id="7862" name="Columna7848" dataDxfId="25151" totalsRowDxfId="8527"/>
    <tableColumn id="7863" name="Columna7849" dataDxfId="25150" totalsRowDxfId="8526"/>
    <tableColumn id="7864" name="Columna7850" dataDxfId="25149" totalsRowDxfId="8525"/>
    <tableColumn id="7865" name="Columna7851" dataDxfId="25148" totalsRowDxfId="8524"/>
    <tableColumn id="7866" name="Columna7852" dataDxfId="25147" totalsRowDxfId="8523"/>
    <tableColumn id="7867" name="Columna7853" dataDxfId="25146" totalsRowDxfId="8522"/>
    <tableColumn id="7868" name="Columna7854" dataDxfId="25145" totalsRowDxfId="8521"/>
    <tableColumn id="7869" name="Columna7855" dataDxfId="25144" totalsRowDxfId="8520"/>
    <tableColumn id="7870" name="Columna7856" dataDxfId="25143" totalsRowDxfId="8519"/>
    <tableColumn id="7871" name="Columna7857" dataDxfId="25142" totalsRowDxfId="8518"/>
    <tableColumn id="7872" name="Columna7858" dataDxfId="25141" totalsRowDxfId="8517"/>
    <tableColumn id="7873" name="Columna7859" dataDxfId="25140" totalsRowDxfId="8516"/>
    <tableColumn id="7874" name="Columna7860" dataDxfId="25139" totalsRowDxfId="8515"/>
    <tableColumn id="7875" name="Columna7861" dataDxfId="25138" totalsRowDxfId="8514"/>
    <tableColumn id="7876" name="Columna7862" dataDxfId="25137" totalsRowDxfId="8513"/>
    <tableColumn id="7877" name="Columna7863" dataDxfId="25136" totalsRowDxfId="8512"/>
    <tableColumn id="7878" name="Columna7864" dataDxfId="25135" totalsRowDxfId="8511"/>
    <tableColumn id="7879" name="Columna7865" dataDxfId="25134" totalsRowDxfId="8510"/>
    <tableColumn id="7880" name="Columna7866" dataDxfId="25133" totalsRowDxfId="8509"/>
    <tableColumn id="7881" name="Columna7867" dataDxfId="25132" totalsRowDxfId="8508"/>
    <tableColumn id="7882" name="Columna7868" dataDxfId="25131" totalsRowDxfId="8507"/>
    <tableColumn id="7883" name="Columna7869" dataDxfId="25130" totalsRowDxfId="8506"/>
    <tableColumn id="7884" name="Columna7870" dataDxfId="25129" totalsRowDxfId="8505"/>
    <tableColumn id="7885" name="Columna7871" dataDxfId="25128" totalsRowDxfId="8504"/>
    <tableColumn id="7886" name="Columna7872" dataDxfId="25127" totalsRowDxfId="8503"/>
    <tableColumn id="7887" name="Columna7873" dataDxfId="25126" totalsRowDxfId="8502"/>
    <tableColumn id="7888" name="Columna7874" dataDxfId="25125" totalsRowDxfId="8501"/>
    <tableColumn id="7889" name="Columna7875" dataDxfId="25124" totalsRowDxfId="8500"/>
    <tableColumn id="7890" name="Columna7876" dataDxfId="25123" totalsRowDxfId="8499"/>
    <tableColumn id="7891" name="Columna7877" dataDxfId="25122" totalsRowDxfId="8498"/>
    <tableColumn id="7892" name="Columna7878" dataDxfId="25121" totalsRowDxfId="8497"/>
    <tableColumn id="7893" name="Columna7879" dataDxfId="25120" totalsRowDxfId="8496"/>
    <tableColumn id="7894" name="Columna7880" dataDxfId="25119" totalsRowDxfId="8495"/>
    <tableColumn id="7895" name="Columna7881" dataDxfId="25118" totalsRowDxfId="8494"/>
    <tableColumn id="7896" name="Columna7882" dataDxfId="25117" totalsRowDxfId="8493"/>
    <tableColumn id="7897" name="Columna7883" dataDxfId="25116" totalsRowDxfId="8492"/>
    <tableColumn id="7898" name="Columna7884" dataDxfId="25115" totalsRowDxfId="8491"/>
    <tableColumn id="7899" name="Columna7885" dataDxfId="25114" totalsRowDxfId="8490"/>
    <tableColumn id="7900" name="Columna7886" dataDxfId="25113" totalsRowDxfId="8489"/>
    <tableColumn id="7901" name="Columna7887" dataDxfId="25112" totalsRowDxfId="8488"/>
    <tableColumn id="7902" name="Columna7888" dataDxfId="25111" totalsRowDxfId="8487"/>
    <tableColumn id="7903" name="Columna7889" dataDxfId="25110" totalsRowDxfId="8486"/>
    <tableColumn id="7904" name="Columna7890" dataDxfId="25109" totalsRowDxfId="8485"/>
    <tableColumn id="7905" name="Columna7891" dataDxfId="25108" totalsRowDxfId="8484"/>
    <tableColumn id="7906" name="Columna7892" dataDxfId="25107" totalsRowDxfId="8483"/>
    <tableColumn id="7907" name="Columna7893" dataDxfId="25106" totalsRowDxfId="8482"/>
    <tableColumn id="7908" name="Columna7894" dataDxfId="25105" totalsRowDxfId="8481"/>
    <tableColumn id="7909" name="Columna7895" dataDxfId="25104" totalsRowDxfId="8480"/>
    <tableColumn id="7910" name="Columna7896" dataDxfId="25103" totalsRowDxfId="8479"/>
    <tableColumn id="7911" name="Columna7897" dataDxfId="25102" totalsRowDxfId="8478"/>
    <tableColumn id="7912" name="Columna7898" dataDxfId="25101" totalsRowDxfId="8477"/>
    <tableColumn id="7913" name="Columna7899" dataDxfId="25100" totalsRowDxfId="8476"/>
    <tableColumn id="7914" name="Columna7900" dataDxfId="25099" totalsRowDxfId="8475"/>
    <tableColumn id="7915" name="Columna7901" dataDxfId="25098" totalsRowDxfId="8474"/>
    <tableColumn id="7916" name="Columna7902" dataDxfId="25097" totalsRowDxfId="8473"/>
    <tableColumn id="7917" name="Columna7903" dataDxfId="25096" totalsRowDxfId="8472"/>
    <tableColumn id="7918" name="Columna7904" dataDxfId="25095" totalsRowDxfId="8471"/>
    <tableColumn id="7919" name="Columna7905" dataDxfId="25094" totalsRowDxfId="8470"/>
    <tableColumn id="7920" name="Columna7906" dataDxfId="25093" totalsRowDxfId="8469"/>
    <tableColumn id="7921" name="Columna7907" dataDxfId="25092" totalsRowDxfId="8468"/>
    <tableColumn id="7922" name="Columna7908" dataDxfId="25091" totalsRowDxfId="8467"/>
    <tableColumn id="7923" name="Columna7909" dataDxfId="25090" totalsRowDxfId="8466"/>
    <tableColumn id="7924" name="Columna7910" dataDxfId="25089" totalsRowDxfId="8465"/>
    <tableColumn id="7925" name="Columna7911" dataDxfId="25088" totalsRowDxfId="8464"/>
    <tableColumn id="7926" name="Columna7912" dataDxfId="25087" totalsRowDxfId="8463"/>
    <tableColumn id="7927" name="Columna7913" dataDxfId="25086" totalsRowDxfId="8462"/>
    <tableColumn id="7928" name="Columna7914" dataDxfId="25085" totalsRowDxfId="8461"/>
    <tableColumn id="7929" name="Columna7915" dataDxfId="25084" totalsRowDxfId="8460"/>
    <tableColumn id="7930" name="Columna7916" dataDxfId="25083" totalsRowDxfId="8459"/>
    <tableColumn id="7931" name="Columna7917" dataDxfId="25082" totalsRowDxfId="8458"/>
    <tableColumn id="7932" name="Columna7918" dataDxfId="25081" totalsRowDxfId="8457"/>
    <tableColumn id="7933" name="Columna7919" dataDxfId="25080" totalsRowDxfId="8456"/>
    <tableColumn id="7934" name="Columna7920" dataDxfId="25079" totalsRowDxfId="8455"/>
    <tableColumn id="7935" name="Columna7921" dataDxfId="25078" totalsRowDxfId="8454"/>
    <tableColumn id="7936" name="Columna7922" dataDxfId="25077" totalsRowDxfId="8453"/>
    <tableColumn id="7937" name="Columna7923" dataDxfId="25076" totalsRowDxfId="8452"/>
    <tableColumn id="7938" name="Columna7924" dataDxfId="25075" totalsRowDxfId="8451"/>
    <tableColumn id="7939" name="Columna7925" dataDxfId="25074" totalsRowDxfId="8450"/>
    <tableColumn id="7940" name="Columna7926" dataDxfId="25073" totalsRowDxfId="8449"/>
    <tableColumn id="7941" name="Columna7927" dataDxfId="25072" totalsRowDxfId="8448"/>
    <tableColumn id="7942" name="Columna7928" dataDxfId="25071" totalsRowDxfId="8447"/>
    <tableColumn id="7943" name="Columna7929" dataDxfId="25070" totalsRowDxfId="8446"/>
    <tableColumn id="7944" name="Columna7930" dataDxfId="25069" totalsRowDxfId="8445"/>
    <tableColumn id="7945" name="Columna7931" dataDxfId="25068" totalsRowDxfId="8444"/>
    <tableColumn id="7946" name="Columna7932" dataDxfId="25067" totalsRowDxfId="8443"/>
    <tableColumn id="7947" name="Columna7933" dataDxfId="25066" totalsRowDxfId="8442"/>
    <tableColumn id="7948" name="Columna7934" dataDxfId="25065" totalsRowDxfId="8441"/>
    <tableColumn id="7949" name="Columna7935" dataDxfId="25064" totalsRowDxfId="8440"/>
    <tableColumn id="7950" name="Columna7936" dataDxfId="25063" totalsRowDxfId="8439"/>
    <tableColumn id="7951" name="Columna7937" dataDxfId="25062" totalsRowDxfId="8438"/>
    <tableColumn id="7952" name="Columna7938" dataDxfId="25061" totalsRowDxfId="8437"/>
    <tableColumn id="7953" name="Columna7939" dataDxfId="25060" totalsRowDxfId="8436"/>
    <tableColumn id="7954" name="Columna7940" dataDxfId="25059" totalsRowDxfId="8435"/>
    <tableColumn id="7955" name="Columna7941" dataDxfId="25058" totalsRowDxfId="8434"/>
    <tableColumn id="7956" name="Columna7942" dataDxfId="25057" totalsRowDxfId="8433"/>
    <tableColumn id="7957" name="Columna7943" dataDxfId="25056" totalsRowDxfId="8432"/>
    <tableColumn id="7958" name="Columna7944" dataDxfId="25055" totalsRowDxfId="8431"/>
    <tableColumn id="7959" name="Columna7945" dataDxfId="25054" totalsRowDxfId="8430"/>
    <tableColumn id="7960" name="Columna7946" dataDxfId="25053" totalsRowDxfId="8429"/>
    <tableColumn id="7961" name="Columna7947" dataDxfId="25052" totalsRowDxfId="8428"/>
    <tableColumn id="7962" name="Columna7948" dataDxfId="25051" totalsRowDxfId="8427"/>
    <tableColumn id="7963" name="Columna7949" dataDxfId="25050" totalsRowDxfId="8426"/>
    <tableColumn id="7964" name="Columna7950" dataDxfId="25049" totalsRowDxfId="8425"/>
    <tableColumn id="7965" name="Columna7951" dataDxfId="25048" totalsRowDxfId="8424"/>
    <tableColumn id="7966" name="Columna7952" dataDxfId="25047" totalsRowDxfId="8423"/>
    <tableColumn id="7967" name="Columna7953" dataDxfId="25046" totalsRowDxfId="8422"/>
    <tableColumn id="7968" name="Columna7954" dataDxfId="25045" totalsRowDxfId="8421"/>
    <tableColumn id="7969" name="Columna7955" dataDxfId="25044" totalsRowDxfId="8420"/>
    <tableColumn id="7970" name="Columna7956" dataDxfId="25043" totalsRowDxfId="8419"/>
    <tableColumn id="7971" name="Columna7957" dataDxfId="25042" totalsRowDxfId="8418"/>
    <tableColumn id="7972" name="Columna7958" dataDxfId="25041" totalsRowDxfId="8417"/>
    <tableColumn id="7973" name="Columna7959" dataDxfId="25040" totalsRowDxfId="8416"/>
    <tableColumn id="7974" name="Columna7960" dataDxfId="25039" totalsRowDxfId="8415"/>
    <tableColumn id="7975" name="Columna7961" dataDxfId="25038" totalsRowDxfId="8414"/>
    <tableColumn id="7976" name="Columna7962" dataDxfId="25037" totalsRowDxfId="8413"/>
    <tableColumn id="7977" name="Columna7963" dataDxfId="25036" totalsRowDxfId="8412"/>
    <tableColumn id="7978" name="Columna7964" dataDxfId="25035" totalsRowDxfId="8411"/>
    <tableColumn id="7979" name="Columna7965" dataDxfId="25034" totalsRowDxfId="8410"/>
    <tableColumn id="7980" name="Columna7966" dataDxfId="25033" totalsRowDxfId="8409"/>
    <tableColumn id="7981" name="Columna7967" dataDxfId="25032" totalsRowDxfId="8408"/>
    <tableColumn id="7982" name="Columna7968" dataDxfId="25031" totalsRowDxfId="8407"/>
    <tableColumn id="7983" name="Columna7969" dataDxfId="25030" totalsRowDxfId="8406"/>
    <tableColumn id="7984" name="Columna7970" dataDxfId="25029" totalsRowDxfId="8405"/>
    <tableColumn id="7985" name="Columna7971" dataDxfId="25028" totalsRowDxfId="8404"/>
    <tableColumn id="7986" name="Columna7972" dataDxfId="25027" totalsRowDxfId="8403"/>
    <tableColumn id="7987" name="Columna7973" dataDxfId="25026" totalsRowDxfId="8402"/>
    <tableColumn id="7988" name="Columna7974" dataDxfId="25025" totalsRowDxfId="8401"/>
    <tableColumn id="7989" name="Columna7975" dataDxfId="25024" totalsRowDxfId="8400"/>
    <tableColumn id="7990" name="Columna7976" dataDxfId="25023" totalsRowDxfId="8399"/>
    <tableColumn id="7991" name="Columna7977" dataDxfId="25022" totalsRowDxfId="8398"/>
    <tableColumn id="7992" name="Columna7978" dataDxfId="25021" totalsRowDxfId="8397"/>
    <tableColumn id="7993" name="Columna7979" dataDxfId="25020" totalsRowDxfId="8396"/>
    <tableColumn id="7994" name="Columna7980" dataDxfId="25019" totalsRowDxfId="8395"/>
    <tableColumn id="7995" name="Columna7981" dataDxfId="25018" totalsRowDxfId="8394"/>
    <tableColumn id="7996" name="Columna7982" dataDxfId="25017" totalsRowDxfId="8393"/>
    <tableColumn id="7997" name="Columna7983" dataDxfId="25016" totalsRowDxfId="8392"/>
    <tableColumn id="7998" name="Columna7984" dataDxfId="25015" totalsRowDxfId="8391"/>
    <tableColumn id="7999" name="Columna7985" dataDxfId="25014" totalsRowDxfId="8390"/>
    <tableColumn id="8000" name="Columna7986" dataDxfId="25013" totalsRowDxfId="8389"/>
    <tableColumn id="8001" name="Columna7987" dataDxfId="25012" totalsRowDxfId="8388"/>
    <tableColumn id="8002" name="Columna7988" dataDxfId="25011" totalsRowDxfId="8387"/>
    <tableColumn id="8003" name="Columna7989" dataDxfId="25010" totalsRowDxfId="8386"/>
    <tableColumn id="8004" name="Columna7990" dataDxfId="25009" totalsRowDxfId="8385"/>
    <tableColumn id="8005" name="Columna7991" dataDxfId="25008" totalsRowDxfId="8384"/>
    <tableColumn id="8006" name="Columna7992" dataDxfId="25007" totalsRowDxfId="8383"/>
    <tableColumn id="8007" name="Columna7993" dataDxfId="25006" totalsRowDxfId="8382"/>
    <tableColumn id="8008" name="Columna7994" dataDxfId="25005" totalsRowDxfId="8381"/>
    <tableColumn id="8009" name="Columna7995" dataDxfId="25004" totalsRowDxfId="8380"/>
    <tableColumn id="8010" name="Columna7996" dataDxfId="25003" totalsRowDxfId="8379"/>
    <tableColumn id="8011" name="Columna7997" dataDxfId="25002" totalsRowDxfId="8378"/>
    <tableColumn id="8012" name="Columna7998" dataDxfId="25001" totalsRowDxfId="8377"/>
    <tableColumn id="8013" name="Columna7999" dataDxfId="25000" totalsRowDxfId="8376"/>
    <tableColumn id="8014" name="Columna8000" dataDxfId="24999" totalsRowDxfId="8375"/>
    <tableColumn id="8015" name="Columna8001" dataDxfId="24998" totalsRowDxfId="8374"/>
    <tableColumn id="8016" name="Columna8002" dataDxfId="24997" totalsRowDxfId="8373"/>
    <tableColumn id="8017" name="Columna8003" dataDxfId="24996" totalsRowDxfId="8372"/>
    <tableColumn id="8018" name="Columna8004" dataDxfId="24995" totalsRowDxfId="8371"/>
    <tableColumn id="8019" name="Columna8005" dataDxfId="24994" totalsRowDxfId="8370"/>
    <tableColumn id="8020" name="Columna8006" dataDxfId="24993" totalsRowDxfId="8369"/>
    <tableColumn id="8021" name="Columna8007" dataDxfId="24992" totalsRowDxfId="8368"/>
    <tableColumn id="8022" name="Columna8008" dataDxfId="24991" totalsRowDxfId="8367"/>
    <tableColumn id="8023" name="Columna8009" dataDxfId="24990" totalsRowDxfId="8366"/>
    <tableColumn id="8024" name="Columna8010" dataDxfId="24989" totalsRowDxfId="8365"/>
    <tableColumn id="8025" name="Columna8011" dataDxfId="24988" totalsRowDxfId="8364"/>
    <tableColumn id="8026" name="Columna8012" dataDxfId="24987" totalsRowDxfId="8363"/>
    <tableColumn id="8027" name="Columna8013" dataDxfId="24986" totalsRowDxfId="8362"/>
    <tableColumn id="8028" name="Columna8014" dataDxfId="24985" totalsRowDxfId="8361"/>
    <tableColumn id="8029" name="Columna8015" dataDxfId="24984" totalsRowDxfId="8360"/>
    <tableColumn id="8030" name="Columna8016" dataDxfId="24983" totalsRowDxfId="8359"/>
    <tableColumn id="8031" name="Columna8017" dataDxfId="24982" totalsRowDxfId="8358"/>
    <tableColumn id="8032" name="Columna8018" dataDxfId="24981" totalsRowDxfId="8357"/>
    <tableColumn id="8033" name="Columna8019" dataDxfId="24980" totalsRowDxfId="8356"/>
    <tableColumn id="8034" name="Columna8020" dataDxfId="24979" totalsRowDxfId="8355"/>
    <tableColumn id="8035" name="Columna8021" dataDxfId="24978" totalsRowDxfId="8354"/>
    <tableColumn id="8036" name="Columna8022" dataDxfId="24977" totalsRowDxfId="8353"/>
    <tableColumn id="8037" name="Columna8023" dataDxfId="24976" totalsRowDxfId="8352"/>
    <tableColumn id="8038" name="Columna8024" dataDxfId="24975" totalsRowDxfId="8351"/>
    <tableColumn id="8039" name="Columna8025" dataDxfId="24974" totalsRowDxfId="8350"/>
    <tableColumn id="8040" name="Columna8026" dataDxfId="24973" totalsRowDxfId="8349"/>
    <tableColumn id="8041" name="Columna8027" dataDxfId="24972" totalsRowDxfId="8348"/>
    <tableColumn id="8042" name="Columna8028" dataDxfId="24971" totalsRowDxfId="8347"/>
    <tableColumn id="8043" name="Columna8029" dataDxfId="24970" totalsRowDxfId="8346"/>
    <tableColumn id="8044" name="Columna8030" dataDxfId="24969" totalsRowDxfId="8345"/>
    <tableColumn id="8045" name="Columna8031" dataDxfId="24968" totalsRowDxfId="8344"/>
    <tableColumn id="8046" name="Columna8032" dataDxfId="24967" totalsRowDxfId="8343"/>
    <tableColumn id="8047" name="Columna8033" dataDxfId="24966" totalsRowDxfId="8342"/>
    <tableColumn id="8048" name="Columna8034" dataDxfId="24965" totalsRowDxfId="8341"/>
    <tableColumn id="8049" name="Columna8035" dataDxfId="24964" totalsRowDxfId="8340"/>
    <tableColumn id="8050" name="Columna8036" dataDxfId="24963" totalsRowDxfId="8339"/>
    <tableColumn id="8051" name="Columna8037" dataDxfId="24962" totalsRowDxfId="8338"/>
    <tableColumn id="8052" name="Columna8038" dataDxfId="24961" totalsRowDxfId="8337"/>
    <tableColumn id="8053" name="Columna8039" dataDxfId="24960" totalsRowDxfId="8336"/>
    <tableColumn id="8054" name="Columna8040" dataDxfId="24959" totalsRowDxfId="8335"/>
    <tableColumn id="8055" name="Columna8041" dataDxfId="24958" totalsRowDxfId="8334"/>
    <tableColumn id="8056" name="Columna8042" dataDxfId="24957" totalsRowDxfId="8333"/>
    <tableColumn id="8057" name="Columna8043" dataDxfId="24956" totalsRowDxfId="8332"/>
    <tableColumn id="8058" name="Columna8044" dataDxfId="24955" totalsRowDxfId="8331"/>
    <tableColumn id="8059" name="Columna8045" dataDxfId="24954" totalsRowDxfId="8330"/>
    <tableColumn id="8060" name="Columna8046" dataDxfId="24953" totalsRowDxfId="8329"/>
    <tableColumn id="8061" name="Columna8047" dataDxfId="24952" totalsRowDxfId="8328"/>
    <tableColumn id="8062" name="Columna8048" dataDxfId="24951" totalsRowDxfId="8327"/>
    <tableColumn id="8063" name="Columna8049" dataDxfId="24950" totalsRowDxfId="8326"/>
    <tableColumn id="8064" name="Columna8050" dataDxfId="24949" totalsRowDxfId="8325"/>
    <tableColumn id="8065" name="Columna8051" dataDxfId="24948" totalsRowDxfId="8324"/>
    <tableColumn id="8066" name="Columna8052" dataDxfId="24947" totalsRowDxfId="8323"/>
    <tableColumn id="8067" name="Columna8053" dataDxfId="24946" totalsRowDxfId="8322"/>
    <tableColumn id="8068" name="Columna8054" dataDxfId="24945" totalsRowDxfId="8321"/>
    <tableColumn id="8069" name="Columna8055" dataDxfId="24944" totalsRowDxfId="8320"/>
    <tableColumn id="8070" name="Columna8056" dataDxfId="24943" totalsRowDxfId="8319"/>
    <tableColumn id="8071" name="Columna8057" dataDxfId="24942" totalsRowDxfId="8318"/>
    <tableColumn id="8072" name="Columna8058" dataDxfId="24941" totalsRowDxfId="8317"/>
    <tableColumn id="8073" name="Columna8059" dataDxfId="24940" totalsRowDxfId="8316"/>
    <tableColumn id="8074" name="Columna8060" dataDxfId="24939" totalsRowDxfId="8315"/>
    <tableColumn id="8075" name="Columna8061" dataDxfId="24938" totalsRowDxfId="8314"/>
    <tableColumn id="8076" name="Columna8062" dataDxfId="24937" totalsRowDxfId="8313"/>
    <tableColumn id="8077" name="Columna8063" dataDxfId="24936" totalsRowDxfId="8312"/>
    <tableColumn id="8078" name="Columna8064" dataDxfId="24935" totalsRowDxfId="8311"/>
    <tableColumn id="8079" name="Columna8065" dataDxfId="24934" totalsRowDxfId="8310"/>
    <tableColumn id="8080" name="Columna8066" dataDxfId="24933" totalsRowDxfId="8309"/>
    <tableColumn id="8081" name="Columna8067" dataDxfId="24932" totalsRowDxfId="8308"/>
    <tableColumn id="8082" name="Columna8068" dataDxfId="24931" totalsRowDxfId="8307"/>
    <tableColumn id="8083" name="Columna8069" dataDxfId="24930" totalsRowDxfId="8306"/>
    <tableColumn id="8084" name="Columna8070" dataDxfId="24929" totalsRowDxfId="8305"/>
    <tableColumn id="8085" name="Columna8071" dataDxfId="24928" totalsRowDxfId="8304"/>
    <tableColumn id="8086" name="Columna8072" dataDxfId="24927" totalsRowDxfId="8303"/>
    <tableColumn id="8087" name="Columna8073" dataDxfId="24926" totalsRowDxfId="8302"/>
    <tableColumn id="8088" name="Columna8074" dataDxfId="24925" totalsRowDxfId="8301"/>
    <tableColumn id="8089" name="Columna8075" dataDxfId="24924" totalsRowDxfId="8300"/>
    <tableColumn id="8090" name="Columna8076" dataDxfId="24923" totalsRowDxfId="8299"/>
    <tableColumn id="8091" name="Columna8077" dataDxfId="24922" totalsRowDxfId="8298"/>
    <tableColumn id="8092" name="Columna8078" dataDxfId="24921" totalsRowDxfId="8297"/>
    <tableColumn id="8093" name="Columna8079" dataDxfId="24920" totalsRowDxfId="8296"/>
    <tableColumn id="8094" name="Columna8080" dataDxfId="24919" totalsRowDxfId="8295"/>
    <tableColumn id="8095" name="Columna8081" dataDxfId="24918" totalsRowDxfId="8294"/>
    <tableColumn id="8096" name="Columna8082" dataDxfId="24917" totalsRowDxfId="8293"/>
    <tableColumn id="8097" name="Columna8083" dataDxfId="24916" totalsRowDxfId="8292"/>
    <tableColumn id="8098" name="Columna8084" dataDxfId="24915" totalsRowDxfId="8291"/>
    <tableColumn id="8099" name="Columna8085" dataDxfId="24914" totalsRowDxfId="8290"/>
    <tableColumn id="8100" name="Columna8086" dataDxfId="24913" totalsRowDxfId="8289"/>
    <tableColumn id="8101" name="Columna8087" dataDxfId="24912" totalsRowDxfId="8288"/>
    <tableColumn id="8102" name="Columna8088" dataDxfId="24911" totalsRowDxfId="8287"/>
    <tableColumn id="8103" name="Columna8089" dataDxfId="24910" totalsRowDxfId="8286"/>
    <tableColumn id="8104" name="Columna8090" dataDxfId="24909" totalsRowDxfId="8285"/>
    <tableColumn id="8105" name="Columna8091" dataDxfId="24908" totalsRowDxfId="8284"/>
    <tableColumn id="8106" name="Columna8092" dataDxfId="24907" totalsRowDxfId="8283"/>
    <tableColumn id="8107" name="Columna8093" dataDxfId="24906" totalsRowDxfId="8282"/>
    <tableColumn id="8108" name="Columna8094" dataDxfId="24905" totalsRowDxfId="8281"/>
    <tableColumn id="8109" name="Columna8095" dataDxfId="24904" totalsRowDxfId="8280"/>
    <tableColumn id="8110" name="Columna8096" dataDxfId="24903" totalsRowDxfId="8279"/>
    <tableColumn id="8111" name="Columna8097" dataDxfId="24902" totalsRowDxfId="8278"/>
    <tableColumn id="8112" name="Columna8098" dataDxfId="24901" totalsRowDxfId="8277"/>
    <tableColumn id="8113" name="Columna8099" dataDxfId="24900" totalsRowDxfId="8276"/>
    <tableColumn id="8114" name="Columna8100" dataDxfId="24899" totalsRowDxfId="8275"/>
    <tableColumn id="8115" name="Columna8101" dataDxfId="24898" totalsRowDxfId="8274"/>
    <tableColumn id="8116" name="Columna8102" dataDxfId="24897" totalsRowDxfId="8273"/>
    <tableColumn id="8117" name="Columna8103" dataDxfId="24896" totalsRowDxfId="8272"/>
    <tableColumn id="8118" name="Columna8104" dataDxfId="24895" totalsRowDxfId="8271"/>
    <tableColumn id="8119" name="Columna8105" dataDxfId="24894" totalsRowDxfId="8270"/>
    <tableColumn id="8120" name="Columna8106" dataDxfId="24893" totalsRowDxfId="8269"/>
    <tableColumn id="8121" name="Columna8107" dataDxfId="24892" totalsRowDxfId="8268"/>
    <tableColumn id="8122" name="Columna8108" dataDxfId="24891" totalsRowDxfId="8267"/>
    <tableColumn id="8123" name="Columna8109" dataDxfId="24890" totalsRowDxfId="8266"/>
    <tableColumn id="8124" name="Columna8110" dataDxfId="24889" totalsRowDxfId="8265"/>
    <tableColumn id="8125" name="Columna8111" dataDxfId="24888" totalsRowDxfId="8264"/>
    <tableColumn id="8126" name="Columna8112" dataDxfId="24887" totalsRowDxfId="8263"/>
    <tableColumn id="8127" name="Columna8113" dataDxfId="24886" totalsRowDxfId="8262"/>
    <tableColumn id="8128" name="Columna8114" dataDxfId="24885" totalsRowDxfId="8261"/>
    <tableColumn id="8129" name="Columna8115" dataDxfId="24884" totalsRowDxfId="8260"/>
    <tableColumn id="8130" name="Columna8116" dataDxfId="24883" totalsRowDxfId="8259"/>
    <tableColumn id="8131" name="Columna8117" dataDxfId="24882" totalsRowDxfId="8258"/>
    <tableColumn id="8132" name="Columna8118" dataDxfId="24881" totalsRowDxfId="8257"/>
    <tableColumn id="8133" name="Columna8119" dataDxfId="24880" totalsRowDxfId="8256"/>
    <tableColumn id="8134" name="Columna8120" dataDxfId="24879" totalsRowDxfId="8255"/>
    <tableColumn id="8135" name="Columna8121" dataDxfId="24878" totalsRowDxfId="8254"/>
    <tableColumn id="8136" name="Columna8122" dataDxfId="24877" totalsRowDxfId="8253"/>
    <tableColumn id="8137" name="Columna8123" dataDxfId="24876" totalsRowDxfId="8252"/>
    <tableColumn id="8138" name="Columna8124" dataDxfId="24875" totalsRowDxfId="8251"/>
    <tableColumn id="8139" name="Columna8125" dataDxfId="24874" totalsRowDxfId="8250"/>
    <tableColumn id="8140" name="Columna8126" dataDxfId="24873" totalsRowDxfId="8249"/>
    <tableColumn id="8141" name="Columna8127" dataDxfId="24872" totalsRowDxfId="8248"/>
    <tableColumn id="8142" name="Columna8128" dataDxfId="24871" totalsRowDxfId="8247"/>
    <tableColumn id="8143" name="Columna8129" dataDxfId="24870" totalsRowDxfId="8246"/>
    <tableColumn id="8144" name="Columna8130" dataDxfId="24869" totalsRowDxfId="8245"/>
    <tableColumn id="8145" name="Columna8131" dataDxfId="24868" totalsRowDxfId="8244"/>
    <tableColumn id="8146" name="Columna8132" dataDxfId="24867" totalsRowDxfId="8243"/>
    <tableColumn id="8147" name="Columna8133" dataDxfId="24866" totalsRowDxfId="8242"/>
    <tableColumn id="8148" name="Columna8134" dataDxfId="24865" totalsRowDxfId="8241"/>
    <tableColumn id="8149" name="Columna8135" dataDxfId="24864" totalsRowDxfId="8240"/>
    <tableColumn id="8150" name="Columna8136" dataDxfId="24863" totalsRowDxfId="8239"/>
    <tableColumn id="8151" name="Columna8137" dataDxfId="24862" totalsRowDxfId="8238"/>
    <tableColumn id="8152" name="Columna8138" dataDxfId="24861" totalsRowDxfId="8237"/>
    <tableColumn id="8153" name="Columna8139" dataDxfId="24860" totalsRowDxfId="8236"/>
    <tableColumn id="8154" name="Columna8140" dataDxfId="24859" totalsRowDxfId="8235"/>
    <tableColumn id="8155" name="Columna8141" dataDxfId="24858" totalsRowDxfId="8234"/>
    <tableColumn id="8156" name="Columna8142" dataDxfId="24857" totalsRowDxfId="8233"/>
    <tableColumn id="8157" name="Columna8143" dataDxfId="24856" totalsRowDxfId="8232"/>
    <tableColumn id="8158" name="Columna8144" dataDxfId="24855" totalsRowDxfId="8231"/>
    <tableColumn id="8159" name="Columna8145" dataDxfId="24854" totalsRowDxfId="8230"/>
    <tableColumn id="8160" name="Columna8146" dataDxfId="24853" totalsRowDxfId="8229"/>
    <tableColumn id="8161" name="Columna8147" dataDxfId="24852" totalsRowDxfId="8228"/>
    <tableColumn id="8162" name="Columna8148" dataDxfId="24851" totalsRowDxfId="8227"/>
    <tableColumn id="8163" name="Columna8149" dataDxfId="24850" totalsRowDxfId="8226"/>
    <tableColumn id="8164" name="Columna8150" dataDxfId="24849" totalsRowDxfId="8225"/>
    <tableColumn id="8165" name="Columna8151" dataDxfId="24848" totalsRowDxfId="8224"/>
    <tableColumn id="8166" name="Columna8152" dataDxfId="24847" totalsRowDxfId="8223"/>
    <tableColumn id="8167" name="Columna8153" dataDxfId="24846" totalsRowDxfId="8222"/>
    <tableColumn id="8168" name="Columna8154" dataDxfId="24845" totalsRowDxfId="8221"/>
    <tableColumn id="8169" name="Columna8155" dataDxfId="24844" totalsRowDxfId="8220"/>
    <tableColumn id="8170" name="Columna8156" dataDxfId="24843" totalsRowDxfId="8219"/>
    <tableColumn id="8171" name="Columna8157" dataDxfId="24842" totalsRowDxfId="8218"/>
    <tableColumn id="8172" name="Columna8158" dataDxfId="24841" totalsRowDxfId="8217"/>
    <tableColumn id="8173" name="Columna8159" dataDxfId="24840" totalsRowDxfId="8216"/>
    <tableColumn id="8174" name="Columna8160" dataDxfId="24839" totalsRowDxfId="8215"/>
    <tableColumn id="8175" name="Columna8161" dataDxfId="24838" totalsRowDxfId="8214"/>
    <tableColumn id="8176" name="Columna8162" dataDxfId="24837" totalsRowDxfId="8213"/>
    <tableColumn id="8177" name="Columna8163" dataDxfId="24836" totalsRowDxfId="8212"/>
    <tableColumn id="8178" name="Columna8164" dataDxfId="24835" totalsRowDxfId="8211"/>
    <tableColumn id="8179" name="Columna8165" dataDxfId="24834" totalsRowDxfId="8210"/>
    <tableColumn id="8180" name="Columna8166" dataDxfId="24833" totalsRowDxfId="8209"/>
    <tableColumn id="8181" name="Columna8167" dataDxfId="24832" totalsRowDxfId="8208"/>
    <tableColumn id="8182" name="Columna8168" dataDxfId="24831" totalsRowDxfId="8207"/>
    <tableColumn id="8183" name="Columna8169" dataDxfId="24830" totalsRowDxfId="8206"/>
    <tableColumn id="8184" name="Columna8170" dataDxfId="24829" totalsRowDxfId="8205"/>
    <tableColumn id="8185" name="Columna8171" dataDxfId="24828" totalsRowDxfId="8204"/>
    <tableColumn id="8186" name="Columna8172" dataDxfId="24827" totalsRowDxfId="8203"/>
    <tableColumn id="8187" name="Columna8173" dataDxfId="24826" totalsRowDxfId="8202"/>
    <tableColumn id="8188" name="Columna8174" dataDxfId="24825" totalsRowDxfId="8201"/>
    <tableColumn id="8189" name="Columna8175" dataDxfId="24824" totalsRowDxfId="8200"/>
    <tableColumn id="8190" name="Columna8176" dataDxfId="24823" totalsRowDxfId="8199"/>
    <tableColumn id="8191" name="Columna8177" dataDxfId="24822" totalsRowDxfId="8198"/>
    <tableColumn id="8192" name="Columna8178" dataDxfId="24821" totalsRowDxfId="8197"/>
    <tableColumn id="8193" name="Columna8179" dataDxfId="24820" totalsRowDxfId="8196"/>
    <tableColumn id="8194" name="Columna8180" dataDxfId="24819" totalsRowDxfId="8195"/>
    <tableColumn id="8195" name="Columna8181" dataDxfId="24818" totalsRowDxfId="8194"/>
    <tableColumn id="8196" name="Columna8182" dataDxfId="24817" totalsRowDxfId="8193"/>
    <tableColumn id="8197" name="Columna8183" dataDxfId="24816" totalsRowDxfId="8192"/>
    <tableColumn id="8198" name="Columna8184" dataDxfId="24815" totalsRowDxfId="8191"/>
    <tableColumn id="8199" name="Columna8185" dataDxfId="24814" totalsRowDxfId="8190"/>
    <tableColumn id="8200" name="Columna8186" dataDxfId="24813" totalsRowDxfId="8189"/>
    <tableColumn id="8201" name="Columna8187" dataDxfId="24812" totalsRowDxfId="8188"/>
    <tableColumn id="8202" name="Columna8188" dataDxfId="24811" totalsRowDxfId="8187"/>
    <tableColumn id="8203" name="Columna8189" dataDxfId="24810" totalsRowDxfId="8186"/>
    <tableColumn id="8204" name="Columna8190" dataDxfId="24809" totalsRowDxfId="8185"/>
    <tableColumn id="8205" name="Columna8191" dataDxfId="24808" totalsRowDxfId="8184"/>
    <tableColumn id="8206" name="Columna8192" dataDxfId="24807" totalsRowDxfId="8183"/>
    <tableColumn id="8207" name="Columna8193" dataDxfId="24806" totalsRowDxfId="8182"/>
    <tableColumn id="8208" name="Columna8194" dataDxfId="24805" totalsRowDxfId="8181"/>
    <tableColumn id="8209" name="Columna8195" dataDxfId="24804" totalsRowDxfId="8180"/>
    <tableColumn id="8210" name="Columna8196" dataDxfId="24803" totalsRowDxfId="8179"/>
    <tableColumn id="8211" name="Columna8197" dataDxfId="24802" totalsRowDxfId="8178"/>
    <tableColumn id="8212" name="Columna8198" dataDxfId="24801" totalsRowDxfId="8177"/>
    <tableColumn id="8213" name="Columna8199" dataDxfId="24800" totalsRowDxfId="8176"/>
    <tableColumn id="8214" name="Columna8200" dataDxfId="24799" totalsRowDxfId="8175"/>
    <tableColumn id="8215" name="Columna8201" dataDxfId="24798" totalsRowDxfId="8174"/>
    <tableColumn id="8216" name="Columna8202" dataDxfId="24797" totalsRowDxfId="8173"/>
    <tableColumn id="8217" name="Columna8203" dataDxfId="24796" totalsRowDxfId="8172"/>
    <tableColumn id="8218" name="Columna8204" dataDxfId="24795" totalsRowDxfId="8171"/>
    <tableColumn id="8219" name="Columna8205" dataDxfId="24794" totalsRowDxfId="8170"/>
    <tableColumn id="8220" name="Columna8206" dataDxfId="24793" totalsRowDxfId="8169"/>
    <tableColumn id="8221" name="Columna8207" dataDxfId="24792" totalsRowDxfId="8168"/>
    <tableColumn id="8222" name="Columna8208" dataDxfId="24791" totalsRowDxfId="8167"/>
    <tableColumn id="8223" name="Columna8209" dataDxfId="24790" totalsRowDxfId="8166"/>
    <tableColumn id="8224" name="Columna8210" dataDxfId="24789" totalsRowDxfId="8165"/>
    <tableColumn id="8225" name="Columna8211" dataDxfId="24788" totalsRowDxfId="8164"/>
    <tableColumn id="8226" name="Columna8212" dataDxfId="24787" totalsRowDxfId="8163"/>
    <tableColumn id="8227" name="Columna8213" dataDxfId="24786" totalsRowDxfId="8162"/>
    <tableColumn id="8228" name="Columna8214" dataDxfId="24785" totalsRowDxfId="8161"/>
    <tableColumn id="8229" name="Columna8215" dataDxfId="24784" totalsRowDxfId="8160"/>
    <tableColumn id="8230" name="Columna8216" dataDxfId="24783" totalsRowDxfId="8159"/>
    <tableColumn id="8231" name="Columna8217" dataDxfId="24782" totalsRowDxfId="8158"/>
    <tableColumn id="8232" name="Columna8218" dataDxfId="24781" totalsRowDxfId="8157"/>
    <tableColumn id="8233" name="Columna8219" dataDxfId="24780" totalsRowDxfId="8156"/>
    <tableColumn id="8234" name="Columna8220" dataDxfId="24779" totalsRowDxfId="8155"/>
    <tableColumn id="8235" name="Columna8221" dataDxfId="24778" totalsRowDxfId="8154"/>
    <tableColumn id="8236" name="Columna8222" dataDxfId="24777" totalsRowDxfId="8153"/>
    <tableColumn id="8237" name="Columna8223" dataDxfId="24776" totalsRowDxfId="8152"/>
    <tableColumn id="8238" name="Columna8224" dataDxfId="24775" totalsRowDxfId="8151"/>
    <tableColumn id="8239" name="Columna8225" dataDxfId="24774" totalsRowDxfId="8150"/>
    <tableColumn id="8240" name="Columna8226" dataDxfId="24773" totalsRowDxfId="8149"/>
    <tableColumn id="8241" name="Columna8227" dataDxfId="24772" totalsRowDxfId="8148"/>
    <tableColumn id="8242" name="Columna8228" dataDxfId="24771" totalsRowDxfId="8147"/>
    <tableColumn id="8243" name="Columna8229" dataDxfId="24770" totalsRowDxfId="8146"/>
    <tableColumn id="8244" name="Columna8230" dataDxfId="24769" totalsRowDxfId="8145"/>
    <tableColumn id="8245" name="Columna8231" dataDxfId="24768" totalsRowDxfId="8144"/>
    <tableColumn id="8246" name="Columna8232" dataDxfId="24767" totalsRowDxfId="8143"/>
    <tableColumn id="8247" name="Columna8233" dataDxfId="24766" totalsRowDxfId="8142"/>
    <tableColumn id="8248" name="Columna8234" dataDxfId="24765" totalsRowDxfId="8141"/>
    <tableColumn id="8249" name="Columna8235" dataDxfId="24764" totalsRowDxfId="8140"/>
    <tableColumn id="8250" name="Columna8236" dataDxfId="24763" totalsRowDxfId="8139"/>
    <tableColumn id="8251" name="Columna8237" dataDxfId="24762" totalsRowDxfId="8138"/>
    <tableColumn id="8252" name="Columna8238" dataDxfId="24761" totalsRowDxfId="8137"/>
    <tableColumn id="8253" name="Columna8239" dataDxfId="24760" totalsRowDxfId="8136"/>
    <tableColumn id="8254" name="Columna8240" dataDxfId="24759" totalsRowDxfId="8135"/>
    <tableColumn id="8255" name="Columna8241" dataDxfId="24758" totalsRowDxfId="8134"/>
    <tableColumn id="8256" name="Columna8242" dataDxfId="24757" totalsRowDxfId="8133"/>
    <tableColumn id="8257" name="Columna8243" dataDxfId="24756" totalsRowDxfId="8132"/>
    <tableColumn id="8258" name="Columna8244" dataDxfId="24755" totalsRowDxfId="8131"/>
    <tableColumn id="8259" name="Columna8245" dataDxfId="24754" totalsRowDxfId="8130"/>
    <tableColumn id="8260" name="Columna8246" dataDxfId="24753" totalsRowDxfId="8129"/>
    <tableColumn id="8261" name="Columna8247" dataDxfId="24752" totalsRowDxfId="8128"/>
    <tableColumn id="8262" name="Columna8248" dataDxfId="24751" totalsRowDxfId="8127"/>
    <tableColumn id="8263" name="Columna8249" dataDxfId="24750" totalsRowDxfId="8126"/>
    <tableColumn id="8264" name="Columna8250" dataDxfId="24749" totalsRowDxfId="8125"/>
    <tableColumn id="8265" name="Columna8251" dataDxfId="24748" totalsRowDxfId="8124"/>
    <tableColumn id="8266" name="Columna8252" dataDxfId="24747" totalsRowDxfId="8123"/>
    <tableColumn id="8267" name="Columna8253" dataDxfId="24746" totalsRowDxfId="8122"/>
    <tableColumn id="8268" name="Columna8254" dataDxfId="24745" totalsRowDxfId="8121"/>
    <tableColumn id="8269" name="Columna8255" dataDxfId="24744" totalsRowDxfId="8120"/>
    <tableColumn id="8270" name="Columna8256" dataDxfId="24743" totalsRowDxfId="8119"/>
    <tableColumn id="8271" name="Columna8257" dataDxfId="24742" totalsRowDxfId="8118"/>
    <tableColumn id="8272" name="Columna8258" dataDxfId="24741" totalsRowDxfId="8117"/>
    <tableColumn id="8273" name="Columna8259" dataDxfId="24740" totalsRowDxfId="8116"/>
    <tableColumn id="8274" name="Columna8260" dataDxfId="24739" totalsRowDxfId="8115"/>
    <tableColumn id="8275" name="Columna8261" dataDxfId="24738" totalsRowDxfId="8114"/>
    <tableColumn id="8276" name="Columna8262" dataDxfId="24737" totalsRowDxfId="8113"/>
    <tableColumn id="8277" name="Columna8263" dataDxfId="24736" totalsRowDxfId="8112"/>
    <tableColumn id="8278" name="Columna8264" dataDxfId="24735" totalsRowDxfId="8111"/>
    <tableColumn id="8279" name="Columna8265" dataDxfId="24734" totalsRowDxfId="8110"/>
    <tableColumn id="8280" name="Columna8266" dataDxfId="24733" totalsRowDxfId="8109"/>
    <tableColumn id="8281" name="Columna8267" dataDxfId="24732" totalsRowDxfId="8108"/>
    <tableColumn id="8282" name="Columna8268" dataDxfId="24731" totalsRowDxfId="8107"/>
    <tableColumn id="8283" name="Columna8269" dataDxfId="24730" totalsRowDxfId="8106"/>
    <tableColumn id="8284" name="Columna8270" dataDxfId="24729" totalsRowDxfId="8105"/>
    <tableColumn id="8285" name="Columna8271" dataDxfId="24728" totalsRowDxfId="8104"/>
    <tableColumn id="8286" name="Columna8272" dataDxfId="24727" totalsRowDxfId="8103"/>
    <tableColumn id="8287" name="Columna8273" dataDxfId="24726" totalsRowDxfId="8102"/>
    <tableColumn id="8288" name="Columna8274" dataDxfId="24725" totalsRowDxfId="8101"/>
    <tableColumn id="8289" name="Columna8275" dataDxfId="24724" totalsRowDxfId="8100"/>
    <tableColumn id="8290" name="Columna8276" dataDxfId="24723" totalsRowDxfId="8099"/>
    <tableColumn id="8291" name="Columna8277" dataDxfId="24722" totalsRowDxfId="8098"/>
    <tableColumn id="8292" name="Columna8278" dataDxfId="24721" totalsRowDxfId="8097"/>
    <tableColumn id="8293" name="Columna8279" dataDxfId="24720" totalsRowDxfId="8096"/>
    <tableColumn id="8294" name="Columna8280" dataDxfId="24719" totalsRowDxfId="8095"/>
    <tableColumn id="8295" name="Columna8281" dataDxfId="24718" totalsRowDxfId="8094"/>
    <tableColumn id="8296" name="Columna8282" dataDxfId="24717" totalsRowDxfId="8093"/>
    <tableColumn id="8297" name="Columna8283" dataDxfId="24716" totalsRowDxfId="8092"/>
    <tableColumn id="8298" name="Columna8284" dataDxfId="24715" totalsRowDxfId="8091"/>
    <tableColumn id="8299" name="Columna8285" dataDxfId="24714" totalsRowDxfId="8090"/>
    <tableColumn id="8300" name="Columna8286" dataDxfId="24713" totalsRowDxfId="8089"/>
    <tableColumn id="8301" name="Columna8287" dataDxfId="24712" totalsRowDxfId="8088"/>
    <tableColumn id="8302" name="Columna8288" dataDxfId="24711" totalsRowDxfId="8087"/>
    <tableColumn id="8303" name="Columna8289" dataDxfId="24710" totalsRowDxfId="8086"/>
    <tableColumn id="8304" name="Columna8290" dataDxfId="24709" totalsRowDxfId="8085"/>
    <tableColumn id="8305" name="Columna8291" dataDxfId="24708" totalsRowDxfId="8084"/>
    <tableColumn id="8306" name="Columna8292" dataDxfId="24707" totalsRowDxfId="8083"/>
    <tableColumn id="8307" name="Columna8293" dataDxfId="24706" totalsRowDxfId="8082"/>
    <tableColumn id="8308" name="Columna8294" dataDxfId="24705" totalsRowDxfId="8081"/>
    <tableColumn id="8309" name="Columna8295" dataDxfId="24704" totalsRowDxfId="8080"/>
    <tableColumn id="8310" name="Columna8296" dataDxfId="24703" totalsRowDxfId="8079"/>
    <tableColumn id="8311" name="Columna8297" dataDxfId="24702" totalsRowDxfId="8078"/>
    <tableColumn id="8312" name="Columna8298" dataDxfId="24701" totalsRowDxfId="8077"/>
    <tableColumn id="8313" name="Columna8299" dataDxfId="24700" totalsRowDxfId="8076"/>
    <tableColumn id="8314" name="Columna8300" dataDxfId="24699" totalsRowDxfId="8075"/>
    <tableColumn id="8315" name="Columna8301" dataDxfId="24698" totalsRowDxfId="8074"/>
    <tableColumn id="8316" name="Columna8302" dataDxfId="24697" totalsRowDxfId="8073"/>
    <tableColumn id="8317" name="Columna8303" dataDxfId="24696" totalsRowDxfId="8072"/>
    <tableColumn id="8318" name="Columna8304" dataDxfId="24695" totalsRowDxfId="8071"/>
    <tableColumn id="8319" name="Columna8305" dataDxfId="24694" totalsRowDxfId="8070"/>
    <tableColumn id="8320" name="Columna8306" dataDxfId="24693" totalsRowDxfId="8069"/>
    <tableColumn id="8321" name="Columna8307" dataDxfId="24692" totalsRowDxfId="8068"/>
    <tableColumn id="8322" name="Columna8308" dataDxfId="24691" totalsRowDxfId="8067"/>
    <tableColumn id="8323" name="Columna8309" dataDxfId="24690" totalsRowDxfId="8066"/>
    <tableColumn id="8324" name="Columna8310" dataDxfId="24689" totalsRowDxfId="8065"/>
    <tableColumn id="8325" name="Columna8311" dataDxfId="24688" totalsRowDxfId="8064"/>
    <tableColumn id="8326" name="Columna8312" dataDxfId="24687" totalsRowDxfId="8063"/>
    <tableColumn id="8327" name="Columna8313" dataDxfId="24686" totalsRowDxfId="8062"/>
    <tableColumn id="8328" name="Columna8314" dataDxfId="24685" totalsRowDxfId="8061"/>
    <tableColumn id="8329" name="Columna8315" dataDxfId="24684" totalsRowDxfId="8060"/>
    <tableColumn id="8330" name="Columna8316" dataDxfId="24683" totalsRowDxfId="8059"/>
    <tableColumn id="8331" name="Columna8317" dataDxfId="24682" totalsRowDxfId="8058"/>
    <tableColumn id="8332" name="Columna8318" dataDxfId="24681" totalsRowDxfId="8057"/>
    <tableColumn id="8333" name="Columna8319" dataDxfId="24680" totalsRowDxfId="8056"/>
    <tableColumn id="8334" name="Columna8320" dataDxfId="24679" totalsRowDxfId="8055"/>
    <tableColumn id="8335" name="Columna8321" dataDxfId="24678" totalsRowDxfId="8054"/>
    <tableColumn id="8336" name="Columna8322" dataDxfId="24677" totalsRowDxfId="8053"/>
    <tableColumn id="8337" name="Columna8323" dataDxfId="24676" totalsRowDxfId="8052"/>
    <tableColumn id="8338" name="Columna8324" dataDxfId="24675" totalsRowDxfId="8051"/>
    <tableColumn id="8339" name="Columna8325" dataDxfId="24674" totalsRowDxfId="8050"/>
    <tableColumn id="8340" name="Columna8326" dataDxfId="24673" totalsRowDxfId="8049"/>
    <tableColumn id="8341" name="Columna8327" dataDxfId="24672" totalsRowDxfId="8048"/>
    <tableColumn id="8342" name="Columna8328" dataDxfId="24671" totalsRowDxfId="8047"/>
    <tableColumn id="8343" name="Columna8329" dataDxfId="24670" totalsRowDxfId="8046"/>
    <tableColumn id="8344" name="Columna8330" dataDxfId="24669" totalsRowDxfId="8045"/>
    <tableColumn id="8345" name="Columna8331" dataDxfId="24668" totalsRowDxfId="8044"/>
    <tableColumn id="8346" name="Columna8332" dataDxfId="24667" totalsRowDxfId="8043"/>
    <tableColumn id="8347" name="Columna8333" dataDxfId="24666" totalsRowDxfId="8042"/>
    <tableColumn id="8348" name="Columna8334" dataDxfId="24665" totalsRowDxfId="8041"/>
    <tableColumn id="8349" name="Columna8335" dataDxfId="24664" totalsRowDxfId="8040"/>
    <tableColumn id="8350" name="Columna8336" dataDxfId="24663" totalsRowDxfId="8039"/>
    <tableColumn id="8351" name="Columna8337" dataDxfId="24662" totalsRowDxfId="8038"/>
    <tableColumn id="8352" name="Columna8338" dataDxfId="24661" totalsRowDxfId="8037"/>
    <tableColumn id="8353" name="Columna8339" dataDxfId="24660" totalsRowDxfId="8036"/>
    <tableColumn id="8354" name="Columna8340" dataDxfId="24659" totalsRowDxfId="8035"/>
    <tableColumn id="8355" name="Columna8341" dataDxfId="24658" totalsRowDxfId="8034"/>
    <tableColumn id="8356" name="Columna8342" dataDxfId="24657" totalsRowDxfId="8033"/>
    <tableColumn id="8357" name="Columna8343" dataDxfId="24656" totalsRowDxfId="8032"/>
    <tableColumn id="8358" name="Columna8344" dataDxfId="24655" totalsRowDxfId="8031"/>
    <tableColumn id="8359" name="Columna8345" dataDxfId="24654" totalsRowDxfId="8030"/>
    <tableColumn id="8360" name="Columna8346" dataDxfId="24653" totalsRowDxfId="8029"/>
    <tableColumn id="8361" name="Columna8347" dataDxfId="24652" totalsRowDxfId="8028"/>
    <tableColumn id="8362" name="Columna8348" dataDxfId="24651" totalsRowDxfId="8027"/>
    <tableColumn id="8363" name="Columna8349" dataDxfId="24650" totalsRowDxfId="8026"/>
    <tableColumn id="8364" name="Columna8350" dataDxfId="24649" totalsRowDxfId="8025"/>
    <tableColumn id="8365" name="Columna8351" dataDxfId="24648" totalsRowDxfId="8024"/>
    <tableColumn id="8366" name="Columna8352" dataDxfId="24647" totalsRowDxfId="8023"/>
    <tableColumn id="8367" name="Columna8353" dataDxfId="24646" totalsRowDxfId="8022"/>
    <tableColumn id="8368" name="Columna8354" dataDxfId="24645" totalsRowDxfId="8021"/>
    <tableColumn id="8369" name="Columna8355" dataDxfId="24644" totalsRowDxfId="8020"/>
    <tableColumn id="8370" name="Columna8356" dataDxfId="24643" totalsRowDxfId="8019"/>
    <tableColumn id="8371" name="Columna8357" dataDxfId="24642" totalsRowDxfId="8018"/>
    <tableColumn id="8372" name="Columna8358" dataDxfId="24641" totalsRowDxfId="8017"/>
    <tableColumn id="8373" name="Columna8359" dataDxfId="24640" totalsRowDxfId="8016"/>
    <tableColumn id="8374" name="Columna8360" dataDxfId="24639" totalsRowDxfId="8015"/>
    <tableColumn id="8375" name="Columna8361" dataDxfId="24638" totalsRowDxfId="8014"/>
    <tableColumn id="8376" name="Columna8362" dataDxfId="24637" totalsRowDxfId="8013"/>
    <tableColumn id="8377" name="Columna8363" dataDxfId="24636" totalsRowDxfId="8012"/>
    <tableColumn id="8378" name="Columna8364" dataDxfId="24635" totalsRowDxfId="8011"/>
    <tableColumn id="8379" name="Columna8365" dataDxfId="24634" totalsRowDxfId="8010"/>
    <tableColumn id="8380" name="Columna8366" dataDxfId="24633" totalsRowDxfId="8009"/>
    <tableColumn id="8381" name="Columna8367" dataDxfId="24632" totalsRowDxfId="8008"/>
    <tableColumn id="8382" name="Columna8368" dataDxfId="24631" totalsRowDxfId="8007"/>
    <tableColumn id="8383" name="Columna8369" dataDxfId="24630" totalsRowDxfId="8006"/>
    <tableColumn id="8384" name="Columna8370" dataDxfId="24629" totalsRowDxfId="8005"/>
    <tableColumn id="8385" name="Columna8371" dataDxfId="24628" totalsRowDxfId="8004"/>
    <tableColumn id="8386" name="Columna8372" dataDxfId="24627" totalsRowDxfId="8003"/>
    <tableColumn id="8387" name="Columna8373" dataDxfId="24626" totalsRowDxfId="8002"/>
    <tableColumn id="8388" name="Columna8374" dataDxfId="24625" totalsRowDxfId="8001"/>
    <tableColumn id="8389" name="Columna8375" dataDxfId="24624" totalsRowDxfId="8000"/>
    <tableColumn id="8390" name="Columna8376" dataDxfId="24623" totalsRowDxfId="7999"/>
    <tableColumn id="8391" name="Columna8377" dataDxfId="24622" totalsRowDxfId="7998"/>
    <tableColumn id="8392" name="Columna8378" dataDxfId="24621" totalsRowDxfId="7997"/>
    <tableColumn id="8393" name="Columna8379" dataDxfId="24620" totalsRowDxfId="7996"/>
    <tableColumn id="8394" name="Columna8380" dataDxfId="24619" totalsRowDxfId="7995"/>
    <tableColumn id="8395" name="Columna8381" dataDxfId="24618" totalsRowDxfId="7994"/>
    <tableColumn id="8396" name="Columna8382" dataDxfId="24617" totalsRowDxfId="7993"/>
    <tableColumn id="8397" name="Columna8383" dataDxfId="24616" totalsRowDxfId="7992"/>
    <tableColumn id="8398" name="Columna8384" dataDxfId="24615" totalsRowDxfId="7991"/>
    <tableColumn id="8399" name="Columna8385" dataDxfId="24614" totalsRowDxfId="7990"/>
    <tableColumn id="8400" name="Columna8386" dataDxfId="24613" totalsRowDxfId="7989"/>
    <tableColumn id="8401" name="Columna8387" dataDxfId="24612" totalsRowDxfId="7988"/>
    <tableColumn id="8402" name="Columna8388" dataDxfId="24611" totalsRowDxfId="7987"/>
    <tableColumn id="8403" name="Columna8389" dataDxfId="24610" totalsRowDxfId="7986"/>
    <tableColumn id="8404" name="Columna8390" dataDxfId="24609" totalsRowDxfId="7985"/>
    <tableColumn id="8405" name="Columna8391" dataDxfId="24608" totalsRowDxfId="7984"/>
    <tableColumn id="8406" name="Columna8392" dataDxfId="24607" totalsRowDxfId="7983"/>
    <tableColumn id="8407" name="Columna8393" dataDxfId="24606" totalsRowDxfId="7982"/>
    <tableColumn id="8408" name="Columna8394" dataDxfId="24605" totalsRowDxfId="7981"/>
    <tableColumn id="8409" name="Columna8395" dataDxfId="24604" totalsRowDxfId="7980"/>
    <tableColumn id="8410" name="Columna8396" dataDxfId="24603" totalsRowDxfId="7979"/>
    <tableColumn id="8411" name="Columna8397" dataDxfId="24602" totalsRowDxfId="7978"/>
    <tableColumn id="8412" name="Columna8398" dataDxfId="24601" totalsRowDxfId="7977"/>
    <tableColumn id="8413" name="Columna8399" dataDxfId="24600" totalsRowDxfId="7976"/>
    <tableColumn id="8414" name="Columna8400" dataDxfId="24599" totalsRowDxfId="7975"/>
    <tableColumn id="8415" name="Columna8401" dataDxfId="24598" totalsRowDxfId="7974"/>
    <tableColumn id="8416" name="Columna8402" dataDxfId="24597" totalsRowDxfId="7973"/>
    <tableColumn id="8417" name="Columna8403" dataDxfId="24596" totalsRowDxfId="7972"/>
    <tableColumn id="8418" name="Columna8404" dataDxfId="24595" totalsRowDxfId="7971"/>
    <tableColumn id="8419" name="Columna8405" dataDxfId="24594" totalsRowDxfId="7970"/>
    <tableColumn id="8420" name="Columna8406" dataDxfId="24593" totalsRowDxfId="7969"/>
    <tableColumn id="8421" name="Columna8407" dataDxfId="24592" totalsRowDxfId="7968"/>
    <tableColumn id="8422" name="Columna8408" dataDxfId="24591" totalsRowDxfId="7967"/>
    <tableColumn id="8423" name="Columna8409" dataDxfId="24590" totalsRowDxfId="7966"/>
    <tableColumn id="8424" name="Columna8410" dataDxfId="24589" totalsRowDxfId="7965"/>
    <tableColumn id="8425" name="Columna8411" dataDxfId="24588" totalsRowDxfId="7964"/>
    <tableColumn id="8426" name="Columna8412" dataDxfId="24587" totalsRowDxfId="7963"/>
    <tableColumn id="8427" name="Columna8413" dataDxfId="24586" totalsRowDxfId="7962"/>
    <tableColumn id="8428" name="Columna8414" dataDxfId="24585" totalsRowDxfId="7961"/>
    <tableColumn id="8429" name="Columna8415" dataDxfId="24584" totalsRowDxfId="7960"/>
    <tableColumn id="8430" name="Columna8416" dataDxfId="24583" totalsRowDxfId="7959"/>
    <tableColumn id="8431" name="Columna8417" dataDxfId="24582" totalsRowDxfId="7958"/>
    <tableColumn id="8432" name="Columna8418" dataDxfId="24581" totalsRowDxfId="7957"/>
    <tableColumn id="8433" name="Columna8419" dataDxfId="24580" totalsRowDxfId="7956"/>
    <tableColumn id="8434" name="Columna8420" dataDxfId="24579" totalsRowDxfId="7955"/>
    <tableColumn id="8435" name="Columna8421" dataDxfId="24578" totalsRowDxfId="7954"/>
    <tableColumn id="8436" name="Columna8422" dataDxfId="24577" totalsRowDxfId="7953"/>
    <tableColumn id="8437" name="Columna8423" dataDxfId="24576" totalsRowDxfId="7952"/>
    <tableColumn id="8438" name="Columna8424" dataDxfId="24575" totalsRowDxfId="7951"/>
    <tableColumn id="8439" name="Columna8425" dataDxfId="24574" totalsRowDxfId="7950"/>
    <tableColumn id="8440" name="Columna8426" dataDxfId="24573" totalsRowDxfId="7949"/>
    <tableColumn id="8441" name="Columna8427" dataDxfId="24572" totalsRowDxfId="7948"/>
    <tableColumn id="8442" name="Columna8428" dataDxfId="24571" totalsRowDxfId="7947"/>
    <tableColumn id="8443" name="Columna8429" dataDxfId="24570" totalsRowDxfId="7946"/>
    <tableColumn id="8444" name="Columna8430" dataDxfId="24569" totalsRowDxfId="7945"/>
    <tableColumn id="8445" name="Columna8431" dataDxfId="24568" totalsRowDxfId="7944"/>
    <tableColumn id="8446" name="Columna8432" dataDxfId="24567" totalsRowDxfId="7943"/>
    <tableColumn id="8447" name="Columna8433" dataDxfId="24566" totalsRowDxfId="7942"/>
    <tableColumn id="8448" name="Columna8434" dataDxfId="24565" totalsRowDxfId="7941"/>
    <tableColumn id="8449" name="Columna8435" dataDxfId="24564" totalsRowDxfId="7940"/>
    <tableColumn id="8450" name="Columna8436" dataDxfId="24563" totalsRowDxfId="7939"/>
    <tableColumn id="8451" name="Columna8437" dataDxfId="24562" totalsRowDxfId="7938"/>
    <tableColumn id="8452" name="Columna8438" dataDxfId="24561" totalsRowDxfId="7937"/>
    <tableColumn id="8453" name="Columna8439" dataDxfId="24560" totalsRowDxfId="7936"/>
    <tableColumn id="8454" name="Columna8440" dataDxfId="24559" totalsRowDxfId="7935"/>
    <tableColumn id="8455" name="Columna8441" dataDxfId="24558" totalsRowDxfId="7934"/>
    <tableColumn id="8456" name="Columna8442" dataDxfId="24557" totalsRowDxfId="7933"/>
    <tableColumn id="8457" name="Columna8443" dataDxfId="24556" totalsRowDxfId="7932"/>
    <tableColumn id="8458" name="Columna8444" dataDxfId="24555" totalsRowDxfId="7931"/>
    <tableColumn id="8459" name="Columna8445" dataDxfId="24554" totalsRowDxfId="7930"/>
    <tableColumn id="8460" name="Columna8446" dataDxfId="24553" totalsRowDxfId="7929"/>
    <tableColumn id="8461" name="Columna8447" dataDxfId="24552" totalsRowDxfId="7928"/>
    <tableColumn id="8462" name="Columna8448" dataDxfId="24551" totalsRowDxfId="7927"/>
    <tableColumn id="8463" name="Columna8449" dataDxfId="24550" totalsRowDxfId="7926"/>
    <tableColumn id="8464" name="Columna8450" dataDxfId="24549" totalsRowDxfId="7925"/>
    <tableColumn id="8465" name="Columna8451" dataDxfId="24548" totalsRowDxfId="7924"/>
    <tableColumn id="8466" name="Columna8452" dataDxfId="24547" totalsRowDxfId="7923"/>
    <tableColumn id="8467" name="Columna8453" dataDxfId="24546" totalsRowDxfId="7922"/>
    <tableColumn id="8468" name="Columna8454" dataDxfId="24545" totalsRowDxfId="7921"/>
    <tableColumn id="8469" name="Columna8455" dataDxfId="24544" totalsRowDxfId="7920"/>
    <tableColumn id="8470" name="Columna8456" dataDxfId="24543" totalsRowDxfId="7919"/>
    <tableColumn id="8471" name="Columna8457" dataDxfId="24542" totalsRowDxfId="7918"/>
    <tableColumn id="8472" name="Columna8458" dataDxfId="24541" totalsRowDxfId="7917"/>
    <tableColumn id="8473" name="Columna8459" dataDxfId="24540" totalsRowDxfId="7916"/>
    <tableColumn id="8474" name="Columna8460" dataDxfId="24539" totalsRowDxfId="7915"/>
    <tableColumn id="8475" name="Columna8461" dataDxfId="24538" totalsRowDxfId="7914"/>
    <tableColumn id="8476" name="Columna8462" dataDxfId="24537" totalsRowDxfId="7913"/>
    <tableColumn id="8477" name="Columna8463" dataDxfId="24536" totalsRowDxfId="7912"/>
    <tableColumn id="8478" name="Columna8464" dataDxfId="24535" totalsRowDxfId="7911"/>
    <tableColumn id="8479" name="Columna8465" dataDxfId="24534" totalsRowDxfId="7910"/>
    <tableColumn id="8480" name="Columna8466" dataDxfId="24533" totalsRowDxfId="7909"/>
    <tableColumn id="8481" name="Columna8467" dataDxfId="24532" totalsRowDxfId="7908"/>
    <tableColumn id="8482" name="Columna8468" dataDxfId="24531" totalsRowDxfId="7907"/>
    <tableColumn id="8483" name="Columna8469" dataDxfId="24530" totalsRowDxfId="7906"/>
    <tableColumn id="8484" name="Columna8470" dataDxfId="24529" totalsRowDxfId="7905"/>
    <tableColumn id="8485" name="Columna8471" dataDxfId="24528" totalsRowDxfId="7904"/>
    <tableColumn id="8486" name="Columna8472" dataDxfId="24527" totalsRowDxfId="7903"/>
    <tableColumn id="8487" name="Columna8473" dataDxfId="24526" totalsRowDxfId="7902"/>
    <tableColumn id="8488" name="Columna8474" dataDxfId="24525" totalsRowDxfId="7901"/>
    <tableColumn id="8489" name="Columna8475" dataDxfId="24524" totalsRowDxfId="7900"/>
    <tableColumn id="8490" name="Columna8476" dataDxfId="24523" totalsRowDxfId="7899"/>
    <tableColumn id="8491" name="Columna8477" dataDxfId="24522" totalsRowDxfId="7898"/>
    <tableColumn id="8492" name="Columna8478" dataDxfId="24521" totalsRowDxfId="7897"/>
    <tableColumn id="8493" name="Columna8479" dataDxfId="24520" totalsRowDxfId="7896"/>
    <tableColumn id="8494" name="Columna8480" dataDxfId="24519" totalsRowDxfId="7895"/>
    <tableColumn id="8495" name="Columna8481" dataDxfId="24518" totalsRowDxfId="7894"/>
    <tableColumn id="8496" name="Columna8482" dataDxfId="24517" totalsRowDxfId="7893"/>
    <tableColumn id="8497" name="Columna8483" dataDxfId="24516" totalsRowDxfId="7892"/>
    <tableColumn id="8498" name="Columna8484" dataDxfId="24515" totalsRowDxfId="7891"/>
    <tableColumn id="8499" name="Columna8485" dataDxfId="24514" totalsRowDxfId="7890"/>
    <tableColumn id="8500" name="Columna8486" dataDxfId="24513" totalsRowDxfId="7889"/>
    <tableColumn id="8501" name="Columna8487" dataDxfId="24512" totalsRowDxfId="7888"/>
    <tableColumn id="8502" name="Columna8488" dataDxfId="24511" totalsRowDxfId="7887"/>
    <tableColumn id="8503" name="Columna8489" dataDxfId="24510" totalsRowDxfId="7886"/>
    <tableColumn id="8504" name="Columna8490" dataDxfId="24509" totalsRowDxfId="7885"/>
    <tableColumn id="8505" name="Columna8491" dataDxfId="24508" totalsRowDxfId="7884"/>
    <tableColumn id="8506" name="Columna8492" dataDxfId="24507" totalsRowDxfId="7883"/>
    <tableColumn id="8507" name="Columna8493" dataDxfId="24506" totalsRowDxfId="7882"/>
    <tableColumn id="8508" name="Columna8494" dataDxfId="24505" totalsRowDxfId="7881"/>
    <tableColumn id="8509" name="Columna8495" dataDxfId="24504" totalsRowDxfId="7880"/>
    <tableColumn id="8510" name="Columna8496" dataDxfId="24503" totalsRowDxfId="7879"/>
    <tableColumn id="8511" name="Columna8497" dataDxfId="24502" totalsRowDxfId="7878"/>
    <tableColumn id="8512" name="Columna8498" dataDxfId="24501" totalsRowDxfId="7877"/>
    <tableColumn id="8513" name="Columna8499" dataDxfId="24500" totalsRowDxfId="7876"/>
    <tableColumn id="8514" name="Columna8500" dataDxfId="24499" totalsRowDxfId="7875"/>
    <tableColumn id="8515" name="Columna8501" dataDxfId="24498" totalsRowDxfId="7874"/>
    <tableColumn id="8516" name="Columna8502" dataDxfId="24497" totalsRowDxfId="7873"/>
    <tableColumn id="8517" name="Columna8503" dataDxfId="24496" totalsRowDxfId="7872"/>
    <tableColumn id="8518" name="Columna8504" dataDxfId="24495" totalsRowDxfId="7871"/>
    <tableColumn id="8519" name="Columna8505" dataDxfId="24494" totalsRowDxfId="7870"/>
    <tableColumn id="8520" name="Columna8506" dataDxfId="24493" totalsRowDxfId="7869"/>
    <tableColumn id="8521" name="Columna8507" dataDxfId="24492" totalsRowDxfId="7868"/>
    <tableColumn id="8522" name="Columna8508" dataDxfId="24491" totalsRowDxfId="7867"/>
    <tableColumn id="8523" name="Columna8509" dataDxfId="24490" totalsRowDxfId="7866"/>
    <tableColumn id="8524" name="Columna8510" dataDxfId="24489" totalsRowDxfId="7865"/>
    <tableColumn id="8525" name="Columna8511" dataDxfId="24488" totalsRowDxfId="7864"/>
    <tableColumn id="8526" name="Columna8512" dataDxfId="24487" totalsRowDxfId="7863"/>
    <tableColumn id="8527" name="Columna8513" dataDxfId="24486" totalsRowDxfId="7862"/>
    <tableColumn id="8528" name="Columna8514" dataDxfId="24485" totalsRowDxfId="7861"/>
    <tableColumn id="8529" name="Columna8515" dataDxfId="24484" totalsRowDxfId="7860"/>
    <tableColumn id="8530" name="Columna8516" dataDxfId="24483" totalsRowDxfId="7859"/>
    <tableColumn id="8531" name="Columna8517" dataDxfId="24482" totalsRowDxfId="7858"/>
    <tableColumn id="8532" name="Columna8518" dataDxfId="24481" totalsRowDxfId="7857"/>
    <tableColumn id="8533" name="Columna8519" dataDxfId="24480" totalsRowDxfId="7856"/>
    <tableColumn id="8534" name="Columna8520" dataDxfId="24479" totalsRowDxfId="7855"/>
    <tableColumn id="8535" name="Columna8521" dataDxfId="24478" totalsRowDxfId="7854"/>
    <tableColumn id="8536" name="Columna8522" dataDxfId="24477" totalsRowDxfId="7853"/>
    <tableColumn id="8537" name="Columna8523" dataDxfId="24476" totalsRowDxfId="7852"/>
    <tableColumn id="8538" name="Columna8524" dataDxfId="24475" totalsRowDxfId="7851"/>
    <tableColumn id="8539" name="Columna8525" dataDxfId="24474" totalsRowDxfId="7850"/>
    <tableColumn id="8540" name="Columna8526" dataDxfId="24473" totalsRowDxfId="7849"/>
    <tableColumn id="8541" name="Columna8527" dataDxfId="24472" totalsRowDxfId="7848"/>
    <tableColumn id="8542" name="Columna8528" dataDxfId="24471" totalsRowDxfId="7847"/>
    <tableColumn id="8543" name="Columna8529" dataDxfId="24470" totalsRowDxfId="7846"/>
    <tableColumn id="8544" name="Columna8530" dataDxfId="24469" totalsRowDxfId="7845"/>
    <tableColumn id="8545" name="Columna8531" dataDxfId="24468" totalsRowDxfId="7844"/>
    <tableColumn id="8546" name="Columna8532" dataDxfId="24467" totalsRowDxfId="7843"/>
    <tableColumn id="8547" name="Columna8533" dataDxfId="24466" totalsRowDxfId="7842"/>
    <tableColumn id="8548" name="Columna8534" dataDxfId="24465" totalsRowDxfId="7841"/>
    <tableColumn id="8549" name="Columna8535" dataDxfId="24464" totalsRowDxfId="7840"/>
    <tableColumn id="8550" name="Columna8536" dataDxfId="24463" totalsRowDxfId="7839"/>
    <tableColumn id="8551" name="Columna8537" dataDxfId="24462" totalsRowDxfId="7838"/>
    <tableColumn id="8552" name="Columna8538" dataDxfId="24461" totalsRowDxfId="7837"/>
    <tableColumn id="8553" name="Columna8539" dataDxfId="24460" totalsRowDxfId="7836"/>
    <tableColumn id="8554" name="Columna8540" dataDxfId="24459" totalsRowDxfId="7835"/>
    <tableColumn id="8555" name="Columna8541" dataDxfId="24458" totalsRowDxfId="7834"/>
    <tableColumn id="8556" name="Columna8542" dataDxfId="24457" totalsRowDxfId="7833"/>
    <tableColumn id="8557" name="Columna8543" dataDxfId="24456" totalsRowDxfId="7832"/>
    <tableColumn id="8558" name="Columna8544" dataDxfId="24455" totalsRowDxfId="7831"/>
    <tableColumn id="8559" name="Columna8545" dataDxfId="24454" totalsRowDxfId="7830"/>
    <tableColumn id="8560" name="Columna8546" dataDxfId="24453" totalsRowDxfId="7829"/>
    <tableColumn id="8561" name="Columna8547" dataDxfId="24452" totalsRowDxfId="7828"/>
    <tableColumn id="8562" name="Columna8548" dataDxfId="24451" totalsRowDxfId="7827"/>
    <tableColumn id="8563" name="Columna8549" dataDxfId="24450" totalsRowDxfId="7826"/>
    <tableColumn id="8564" name="Columna8550" dataDxfId="24449" totalsRowDxfId="7825"/>
    <tableColumn id="8565" name="Columna8551" dataDxfId="24448" totalsRowDxfId="7824"/>
    <tableColumn id="8566" name="Columna8552" dataDxfId="24447" totalsRowDxfId="7823"/>
    <tableColumn id="8567" name="Columna8553" dataDxfId="24446" totalsRowDxfId="7822"/>
    <tableColumn id="8568" name="Columna8554" dataDxfId="24445" totalsRowDxfId="7821"/>
    <tableColumn id="8569" name="Columna8555" dataDxfId="24444" totalsRowDxfId="7820"/>
    <tableColumn id="8570" name="Columna8556" dataDxfId="24443" totalsRowDxfId="7819"/>
    <tableColumn id="8571" name="Columna8557" dataDxfId="24442" totalsRowDxfId="7818"/>
    <tableColumn id="8572" name="Columna8558" dataDxfId="24441" totalsRowDxfId="7817"/>
    <tableColumn id="8573" name="Columna8559" dataDxfId="24440" totalsRowDxfId="7816"/>
    <tableColumn id="8574" name="Columna8560" dataDxfId="24439" totalsRowDxfId="7815"/>
    <tableColumn id="8575" name="Columna8561" dataDxfId="24438" totalsRowDxfId="7814"/>
    <tableColumn id="8576" name="Columna8562" dataDxfId="24437" totalsRowDxfId="7813"/>
    <tableColumn id="8577" name="Columna8563" dataDxfId="24436" totalsRowDxfId="7812"/>
    <tableColumn id="8578" name="Columna8564" dataDxfId="24435" totalsRowDxfId="7811"/>
    <tableColumn id="8579" name="Columna8565" dataDxfId="24434" totalsRowDxfId="7810"/>
    <tableColumn id="8580" name="Columna8566" dataDxfId="24433" totalsRowDxfId="7809"/>
    <tableColumn id="8581" name="Columna8567" dataDxfId="24432" totalsRowDxfId="7808"/>
    <tableColumn id="8582" name="Columna8568" dataDxfId="24431" totalsRowDxfId="7807"/>
    <tableColumn id="8583" name="Columna8569" dataDxfId="24430" totalsRowDxfId="7806"/>
    <tableColumn id="8584" name="Columna8570" dataDxfId="24429" totalsRowDxfId="7805"/>
    <tableColumn id="8585" name="Columna8571" dataDxfId="24428" totalsRowDxfId="7804"/>
    <tableColumn id="8586" name="Columna8572" dataDxfId="24427" totalsRowDxfId="7803"/>
    <tableColumn id="8587" name="Columna8573" dataDxfId="24426" totalsRowDxfId="7802"/>
    <tableColumn id="8588" name="Columna8574" dataDxfId="24425" totalsRowDxfId="7801"/>
    <tableColumn id="8589" name="Columna8575" dataDxfId="24424" totalsRowDxfId="7800"/>
    <tableColumn id="8590" name="Columna8576" dataDxfId="24423" totalsRowDxfId="7799"/>
    <tableColumn id="8591" name="Columna8577" dataDxfId="24422" totalsRowDxfId="7798"/>
    <tableColumn id="8592" name="Columna8578" dataDxfId="24421" totalsRowDxfId="7797"/>
    <tableColumn id="8593" name="Columna8579" dataDxfId="24420" totalsRowDxfId="7796"/>
    <tableColumn id="8594" name="Columna8580" dataDxfId="24419" totalsRowDxfId="7795"/>
    <tableColumn id="8595" name="Columna8581" dataDxfId="24418" totalsRowDxfId="7794"/>
    <tableColumn id="8596" name="Columna8582" dataDxfId="24417" totalsRowDxfId="7793"/>
    <tableColumn id="8597" name="Columna8583" dataDxfId="24416" totalsRowDxfId="7792"/>
    <tableColumn id="8598" name="Columna8584" dataDxfId="24415" totalsRowDxfId="7791"/>
    <tableColumn id="8599" name="Columna8585" dataDxfId="24414" totalsRowDxfId="7790"/>
    <tableColumn id="8600" name="Columna8586" dataDxfId="24413" totalsRowDxfId="7789"/>
    <tableColumn id="8601" name="Columna8587" dataDxfId="24412" totalsRowDxfId="7788"/>
    <tableColumn id="8602" name="Columna8588" dataDxfId="24411" totalsRowDxfId="7787"/>
    <tableColumn id="8603" name="Columna8589" dataDxfId="24410" totalsRowDxfId="7786"/>
    <tableColumn id="8604" name="Columna8590" dataDxfId="24409" totalsRowDxfId="7785"/>
    <tableColumn id="8605" name="Columna8591" dataDxfId="24408" totalsRowDxfId="7784"/>
    <tableColumn id="8606" name="Columna8592" dataDxfId="24407" totalsRowDxfId="7783"/>
    <tableColumn id="8607" name="Columna8593" dataDxfId="24406" totalsRowDxfId="7782"/>
    <tableColumn id="8608" name="Columna8594" dataDxfId="24405" totalsRowDxfId="7781"/>
    <tableColumn id="8609" name="Columna8595" dataDxfId="24404" totalsRowDxfId="7780"/>
    <tableColumn id="8610" name="Columna8596" dataDxfId="24403" totalsRowDxfId="7779"/>
    <tableColumn id="8611" name="Columna8597" dataDxfId="24402" totalsRowDxfId="7778"/>
    <tableColumn id="8612" name="Columna8598" dataDxfId="24401" totalsRowDxfId="7777"/>
    <tableColumn id="8613" name="Columna8599" dataDxfId="24400" totalsRowDxfId="7776"/>
    <tableColumn id="8614" name="Columna8600" dataDxfId="24399" totalsRowDxfId="7775"/>
    <tableColumn id="8615" name="Columna8601" dataDxfId="24398" totalsRowDxfId="7774"/>
    <tableColumn id="8616" name="Columna8602" dataDxfId="24397" totalsRowDxfId="7773"/>
    <tableColumn id="8617" name="Columna8603" dataDxfId="24396" totalsRowDxfId="7772"/>
    <tableColumn id="8618" name="Columna8604" dataDxfId="24395" totalsRowDxfId="7771"/>
    <tableColumn id="8619" name="Columna8605" dataDxfId="24394" totalsRowDxfId="7770"/>
    <tableColumn id="8620" name="Columna8606" dataDxfId="24393" totalsRowDxfId="7769"/>
    <tableColumn id="8621" name="Columna8607" dataDxfId="24392" totalsRowDxfId="7768"/>
    <tableColumn id="8622" name="Columna8608" dataDxfId="24391" totalsRowDxfId="7767"/>
    <tableColumn id="8623" name="Columna8609" dataDxfId="24390" totalsRowDxfId="7766"/>
    <tableColumn id="8624" name="Columna8610" dataDxfId="24389" totalsRowDxfId="7765"/>
    <tableColumn id="8625" name="Columna8611" dataDxfId="24388" totalsRowDxfId="7764"/>
    <tableColumn id="8626" name="Columna8612" dataDxfId="24387" totalsRowDxfId="7763"/>
    <tableColumn id="8627" name="Columna8613" dataDxfId="24386" totalsRowDxfId="7762"/>
    <tableColumn id="8628" name="Columna8614" dataDxfId="24385" totalsRowDxfId="7761"/>
    <tableColumn id="8629" name="Columna8615" dataDxfId="24384" totalsRowDxfId="7760"/>
    <tableColumn id="8630" name="Columna8616" dataDxfId="24383" totalsRowDxfId="7759"/>
    <tableColumn id="8631" name="Columna8617" dataDxfId="24382" totalsRowDxfId="7758"/>
    <tableColumn id="8632" name="Columna8618" dataDxfId="24381" totalsRowDxfId="7757"/>
    <tableColumn id="8633" name="Columna8619" dataDxfId="24380" totalsRowDxfId="7756"/>
    <tableColumn id="8634" name="Columna8620" dataDxfId="24379" totalsRowDxfId="7755"/>
    <tableColumn id="8635" name="Columna8621" dataDxfId="24378" totalsRowDxfId="7754"/>
    <tableColumn id="8636" name="Columna8622" dataDxfId="24377" totalsRowDxfId="7753"/>
    <tableColumn id="8637" name="Columna8623" dataDxfId="24376" totalsRowDxfId="7752"/>
    <tableColumn id="8638" name="Columna8624" dataDxfId="24375" totalsRowDxfId="7751"/>
    <tableColumn id="8639" name="Columna8625" dataDxfId="24374" totalsRowDxfId="7750"/>
    <tableColumn id="8640" name="Columna8626" dataDxfId="24373" totalsRowDxfId="7749"/>
    <tableColumn id="8641" name="Columna8627" dataDxfId="24372" totalsRowDxfId="7748"/>
    <tableColumn id="8642" name="Columna8628" dataDxfId="24371" totalsRowDxfId="7747"/>
    <tableColumn id="8643" name="Columna8629" dataDxfId="24370" totalsRowDxfId="7746"/>
    <tableColumn id="8644" name="Columna8630" dataDxfId="24369" totalsRowDxfId="7745"/>
    <tableColumn id="8645" name="Columna8631" dataDxfId="24368" totalsRowDxfId="7744"/>
    <tableColumn id="8646" name="Columna8632" dataDxfId="24367" totalsRowDxfId="7743"/>
    <tableColumn id="8647" name="Columna8633" dataDxfId="24366" totalsRowDxfId="7742"/>
    <tableColumn id="8648" name="Columna8634" dataDxfId="24365" totalsRowDxfId="7741"/>
    <tableColumn id="8649" name="Columna8635" dataDxfId="24364" totalsRowDxfId="7740"/>
    <tableColumn id="8650" name="Columna8636" dataDxfId="24363" totalsRowDxfId="7739"/>
    <tableColumn id="8651" name="Columna8637" dataDxfId="24362" totalsRowDxfId="7738"/>
    <tableColumn id="8652" name="Columna8638" dataDxfId="24361" totalsRowDxfId="7737"/>
    <tableColumn id="8653" name="Columna8639" dataDxfId="24360" totalsRowDxfId="7736"/>
    <tableColumn id="8654" name="Columna8640" dataDxfId="24359" totalsRowDxfId="7735"/>
    <tableColumn id="8655" name="Columna8641" dataDxfId="24358" totalsRowDxfId="7734"/>
    <tableColumn id="8656" name="Columna8642" dataDxfId="24357" totalsRowDxfId="7733"/>
    <tableColumn id="8657" name="Columna8643" dataDxfId="24356" totalsRowDxfId="7732"/>
    <tableColumn id="8658" name="Columna8644" dataDxfId="24355" totalsRowDxfId="7731"/>
    <tableColumn id="8659" name="Columna8645" dataDxfId="24354" totalsRowDxfId="7730"/>
    <tableColumn id="8660" name="Columna8646" dataDxfId="24353" totalsRowDxfId="7729"/>
    <tableColumn id="8661" name="Columna8647" dataDxfId="24352" totalsRowDxfId="7728"/>
    <tableColumn id="8662" name="Columna8648" dataDxfId="24351" totalsRowDxfId="7727"/>
    <tableColumn id="8663" name="Columna8649" dataDxfId="24350" totalsRowDxfId="7726"/>
    <tableColumn id="8664" name="Columna8650" dataDxfId="24349" totalsRowDxfId="7725"/>
    <tableColumn id="8665" name="Columna8651" dataDxfId="24348" totalsRowDxfId="7724"/>
    <tableColumn id="8666" name="Columna8652" dataDxfId="24347" totalsRowDxfId="7723"/>
    <tableColumn id="8667" name="Columna8653" dataDxfId="24346" totalsRowDxfId="7722"/>
    <tableColumn id="8668" name="Columna8654" dataDxfId="24345" totalsRowDxfId="7721"/>
    <tableColumn id="8669" name="Columna8655" dataDxfId="24344" totalsRowDxfId="7720"/>
    <tableColumn id="8670" name="Columna8656" dataDxfId="24343" totalsRowDxfId="7719"/>
    <tableColumn id="8671" name="Columna8657" dataDxfId="24342" totalsRowDxfId="7718"/>
    <tableColumn id="8672" name="Columna8658" dataDxfId="24341" totalsRowDxfId="7717"/>
    <tableColumn id="8673" name="Columna8659" dataDxfId="24340" totalsRowDxfId="7716"/>
    <tableColumn id="8674" name="Columna8660" dataDxfId="24339" totalsRowDxfId="7715"/>
    <tableColumn id="8675" name="Columna8661" dataDxfId="24338" totalsRowDxfId="7714"/>
    <tableColumn id="8676" name="Columna8662" dataDxfId="24337" totalsRowDxfId="7713"/>
    <tableColumn id="8677" name="Columna8663" dataDxfId="24336" totalsRowDxfId="7712"/>
    <tableColumn id="8678" name="Columna8664" dataDxfId="24335" totalsRowDxfId="7711"/>
    <tableColumn id="8679" name="Columna8665" dataDxfId="24334" totalsRowDxfId="7710"/>
    <tableColumn id="8680" name="Columna8666" dataDxfId="24333" totalsRowDxfId="7709"/>
    <tableColumn id="8681" name="Columna8667" dataDxfId="24332" totalsRowDxfId="7708"/>
    <tableColumn id="8682" name="Columna8668" dataDxfId="24331" totalsRowDxfId="7707"/>
    <tableColumn id="8683" name="Columna8669" dataDxfId="24330" totalsRowDxfId="7706"/>
    <tableColumn id="8684" name="Columna8670" dataDxfId="24329" totalsRowDxfId="7705"/>
    <tableColumn id="8685" name="Columna8671" dataDxfId="24328" totalsRowDxfId="7704"/>
    <tableColumn id="8686" name="Columna8672" dataDxfId="24327" totalsRowDxfId="7703"/>
    <tableColumn id="8687" name="Columna8673" dataDxfId="24326" totalsRowDxfId="7702"/>
    <tableColumn id="8688" name="Columna8674" dataDxfId="24325" totalsRowDxfId="7701"/>
    <tableColumn id="8689" name="Columna8675" dataDxfId="24324" totalsRowDxfId="7700"/>
    <tableColumn id="8690" name="Columna8676" dataDxfId="24323" totalsRowDxfId="7699"/>
    <tableColumn id="8691" name="Columna8677" dataDxfId="24322" totalsRowDxfId="7698"/>
    <tableColumn id="8692" name="Columna8678" dataDxfId="24321" totalsRowDxfId="7697"/>
    <tableColumn id="8693" name="Columna8679" dataDxfId="24320" totalsRowDxfId="7696"/>
    <tableColumn id="8694" name="Columna8680" dataDxfId="24319" totalsRowDxfId="7695"/>
    <tableColumn id="8695" name="Columna8681" dataDxfId="24318" totalsRowDxfId="7694"/>
    <tableColumn id="8696" name="Columna8682" dataDxfId="24317" totalsRowDxfId="7693"/>
    <tableColumn id="8697" name="Columna8683" dataDxfId="24316" totalsRowDxfId="7692"/>
    <tableColumn id="8698" name="Columna8684" dataDxfId="24315" totalsRowDxfId="7691"/>
    <tableColumn id="8699" name="Columna8685" dataDxfId="24314" totalsRowDxfId="7690"/>
    <tableColumn id="8700" name="Columna8686" dataDxfId="24313" totalsRowDxfId="7689"/>
    <tableColumn id="8701" name="Columna8687" dataDxfId="24312" totalsRowDxfId="7688"/>
    <tableColumn id="8702" name="Columna8688" dataDxfId="24311" totalsRowDxfId="7687"/>
    <tableColumn id="8703" name="Columna8689" dataDxfId="24310" totalsRowDxfId="7686"/>
    <tableColumn id="8704" name="Columna8690" dataDxfId="24309" totalsRowDxfId="7685"/>
    <tableColumn id="8705" name="Columna8691" dataDxfId="24308" totalsRowDxfId="7684"/>
    <tableColumn id="8706" name="Columna8692" dataDxfId="24307" totalsRowDxfId="7683"/>
    <tableColumn id="8707" name="Columna8693" dataDxfId="24306" totalsRowDxfId="7682"/>
    <tableColumn id="8708" name="Columna8694" dataDxfId="24305" totalsRowDxfId="7681"/>
    <tableColumn id="8709" name="Columna8695" dataDxfId="24304" totalsRowDxfId="7680"/>
    <tableColumn id="8710" name="Columna8696" dataDxfId="24303" totalsRowDxfId="7679"/>
    <tableColumn id="8711" name="Columna8697" dataDxfId="24302" totalsRowDxfId="7678"/>
    <tableColumn id="8712" name="Columna8698" dataDxfId="24301" totalsRowDxfId="7677"/>
    <tableColumn id="8713" name="Columna8699" dataDxfId="24300" totalsRowDxfId="7676"/>
    <tableColumn id="8714" name="Columna8700" dataDxfId="24299" totalsRowDxfId="7675"/>
    <tableColumn id="8715" name="Columna8701" dataDxfId="24298" totalsRowDxfId="7674"/>
    <tableColumn id="8716" name="Columna8702" dataDxfId="24297" totalsRowDxfId="7673"/>
    <tableColumn id="8717" name="Columna8703" dataDxfId="24296" totalsRowDxfId="7672"/>
    <tableColumn id="8718" name="Columna8704" dataDxfId="24295" totalsRowDxfId="7671"/>
    <tableColumn id="8719" name="Columna8705" dataDxfId="24294" totalsRowDxfId="7670"/>
    <tableColumn id="8720" name="Columna8706" dataDxfId="24293" totalsRowDxfId="7669"/>
    <tableColumn id="8721" name="Columna8707" dataDxfId="24292" totalsRowDxfId="7668"/>
    <tableColumn id="8722" name="Columna8708" dataDxfId="24291" totalsRowDxfId="7667"/>
    <tableColumn id="8723" name="Columna8709" dataDxfId="24290" totalsRowDxfId="7666"/>
    <tableColumn id="8724" name="Columna8710" dataDxfId="24289" totalsRowDxfId="7665"/>
    <tableColumn id="8725" name="Columna8711" dataDxfId="24288" totalsRowDxfId="7664"/>
    <tableColumn id="8726" name="Columna8712" dataDxfId="24287" totalsRowDxfId="7663"/>
    <tableColumn id="8727" name="Columna8713" dataDxfId="24286" totalsRowDxfId="7662"/>
    <tableColumn id="8728" name="Columna8714" dataDxfId="24285" totalsRowDxfId="7661"/>
    <tableColumn id="8729" name="Columna8715" dataDxfId="24284" totalsRowDxfId="7660"/>
    <tableColumn id="8730" name="Columna8716" dataDxfId="24283" totalsRowDxfId="7659"/>
    <tableColumn id="8731" name="Columna8717" dataDxfId="24282" totalsRowDxfId="7658"/>
    <tableColumn id="8732" name="Columna8718" dataDxfId="24281" totalsRowDxfId="7657"/>
    <tableColumn id="8733" name="Columna8719" dataDxfId="24280" totalsRowDxfId="7656"/>
    <tableColumn id="8734" name="Columna8720" dataDxfId="24279" totalsRowDxfId="7655"/>
    <tableColumn id="8735" name="Columna8721" dataDxfId="24278" totalsRowDxfId="7654"/>
    <tableColumn id="8736" name="Columna8722" dataDxfId="24277" totalsRowDxfId="7653"/>
    <tableColumn id="8737" name="Columna8723" dataDxfId="24276" totalsRowDxfId="7652"/>
    <tableColumn id="8738" name="Columna8724" dataDxfId="24275" totalsRowDxfId="7651"/>
    <tableColumn id="8739" name="Columna8725" dataDxfId="24274" totalsRowDxfId="7650"/>
    <tableColumn id="8740" name="Columna8726" dataDxfId="24273" totalsRowDxfId="7649"/>
    <tableColumn id="8741" name="Columna8727" dataDxfId="24272" totalsRowDxfId="7648"/>
    <tableColumn id="8742" name="Columna8728" dataDxfId="24271" totalsRowDxfId="7647"/>
    <tableColumn id="8743" name="Columna8729" dataDxfId="24270" totalsRowDxfId="7646"/>
    <tableColumn id="8744" name="Columna8730" dataDxfId="24269" totalsRowDxfId="7645"/>
    <tableColumn id="8745" name="Columna8731" dataDxfId="24268" totalsRowDxfId="7644"/>
    <tableColumn id="8746" name="Columna8732" dataDxfId="24267" totalsRowDxfId="7643"/>
    <tableColumn id="8747" name="Columna8733" dataDxfId="24266" totalsRowDxfId="7642"/>
    <tableColumn id="8748" name="Columna8734" dataDxfId="24265" totalsRowDxfId="7641"/>
    <tableColumn id="8749" name="Columna8735" dataDxfId="24264" totalsRowDxfId="7640"/>
    <tableColumn id="8750" name="Columna8736" dataDxfId="24263" totalsRowDxfId="7639"/>
    <tableColumn id="8751" name="Columna8737" dataDxfId="24262" totalsRowDxfId="7638"/>
    <tableColumn id="8752" name="Columna8738" dataDxfId="24261" totalsRowDxfId="7637"/>
    <tableColumn id="8753" name="Columna8739" dataDxfId="24260" totalsRowDxfId="7636"/>
    <tableColumn id="8754" name="Columna8740" dataDxfId="24259" totalsRowDxfId="7635"/>
    <tableColumn id="8755" name="Columna8741" dataDxfId="24258" totalsRowDxfId="7634"/>
    <tableColumn id="8756" name="Columna8742" dataDxfId="24257" totalsRowDxfId="7633"/>
    <tableColumn id="8757" name="Columna8743" dataDxfId="24256" totalsRowDxfId="7632"/>
    <tableColumn id="8758" name="Columna8744" dataDxfId="24255" totalsRowDxfId="7631"/>
    <tableColumn id="8759" name="Columna8745" dataDxfId="24254" totalsRowDxfId="7630"/>
    <tableColumn id="8760" name="Columna8746" dataDxfId="24253" totalsRowDxfId="7629"/>
    <tableColumn id="8761" name="Columna8747" dataDxfId="24252" totalsRowDxfId="7628"/>
    <tableColumn id="8762" name="Columna8748" dataDxfId="24251" totalsRowDxfId="7627"/>
    <tableColumn id="8763" name="Columna8749" dataDxfId="24250" totalsRowDxfId="7626"/>
    <tableColumn id="8764" name="Columna8750" dataDxfId="24249" totalsRowDxfId="7625"/>
    <tableColumn id="8765" name="Columna8751" dataDxfId="24248" totalsRowDxfId="7624"/>
    <tableColumn id="8766" name="Columna8752" dataDxfId="24247" totalsRowDxfId="7623"/>
    <tableColumn id="8767" name="Columna8753" dataDxfId="24246" totalsRowDxfId="7622"/>
    <tableColumn id="8768" name="Columna8754" dataDxfId="24245" totalsRowDxfId="7621"/>
    <tableColumn id="8769" name="Columna8755" dataDxfId="24244" totalsRowDxfId="7620"/>
    <tableColumn id="8770" name="Columna8756" dataDxfId="24243" totalsRowDxfId="7619"/>
    <tableColumn id="8771" name="Columna8757" dataDxfId="24242" totalsRowDxfId="7618"/>
    <tableColumn id="8772" name="Columna8758" dataDxfId="24241" totalsRowDxfId="7617"/>
    <tableColumn id="8773" name="Columna8759" dataDxfId="24240" totalsRowDxfId="7616"/>
    <tableColumn id="8774" name="Columna8760" dataDxfId="24239" totalsRowDxfId="7615"/>
    <tableColumn id="8775" name="Columna8761" dataDxfId="24238" totalsRowDxfId="7614"/>
    <tableColumn id="8776" name="Columna8762" dataDxfId="24237" totalsRowDxfId="7613"/>
    <tableColumn id="8777" name="Columna8763" dataDxfId="24236" totalsRowDxfId="7612"/>
    <tableColumn id="8778" name="Columna8764" dataDxfId="24235" totalsRowDxfId="7611"/>
    <tableColumn id="8779" name="Columna8765" dataDxfId="24234" totalsRowDxfId="7610"/>
    <tableColumn id="8780" name="Columna8766" dataDxfId="24233" totalsRowDxfId="7609"/>
    <tableColumn id="8781" name="Columna8767" dataDxfId="24232" totalsRowDxfId="7608"/>
    <tableColumn id="8782" name="Columna8768" dataDxfId="24231" totalsRowDxfId="7607"/>
    <tableColumn id="8783" name="Columna8769" dataDxfId="24230" totalsRowDxfId="7606"/>
    <tableColumn id="8784" name="Columna8770" dataDxfId="24229" totalsRowDxfId="7605"/>
    <tableColumn id="8785" name="Columna8771" dataDxfId="24228" totalsRowDxfId="7604"/>
    <tableColumn id="8786" name="Columna8772" dataDxfId="24227" totalsRowDxfId="7603"/>
    <tableColumn id="8787" name="Columna8773" dataDxfId="24226" totalsRowDxfId="7602"/>
    <tableColumn id="8788" name="Columna8774" dataDxfId="24225" totalsRowDxfId="7601"/>
    <tableColumn id="8789" name="Columna8775" dataDxfId="24224" totalsRowDxfId="7600"/>
    <tableColumn id="8790" name="Columna8776" dataDxfId="24223" totalsRowDxfId="7599"/>
    <tableColumn id="8791" name="Columna8777" dataDxfId="24222" totalsRowDxfId="7598"/>
    <tableColumn id="8792" name="Columna8778" dataDxfId="24221" totalsRowDxfId="7597"/>
    <tableColumn id="8793" name="Columna8779" dataDxfId="24220" totalsRowDxfId="7596"/>
    <tableColumn id="8794" name="Columna8780" dataDxfId="24219" totalsRowDxfId="7595"/>
    <tableColumn id="8795" name="Columna8781" dataDxfId="24218" totalsRowDxfId="7594"/>
    <tableColumn id="8796" name="Columna8782" dataDxfId="24217" totalsRowDxfId="7593"/>
    <tableColumn id="8797" name="Columna8783" dataDxfId="24216" totalsRowDxfId="7592"/>
    <tableColumn id="8798" name="Columna8784" dataDxfId="24215" totalsRowDxfId="7591"/>
    <tableColumn id="8799" name="Columna8785" dataDxfId="24214" totalsRowDxfId="7590"/>
    <tableColumn id="8800" name="Columna8786" dataDxfId="24213" totalsRowDxfId="7589"/>
    <tableColumn id="8801" name="Columna8787" dataDxfId="24212" totalsRowDxfId="7588"/>
    <tableColumn id="8802" name="Columna8788" dataDxfId="24211" totalsRowDxfId="7587"/>
    <tableColumn id="8803" name="Columna8789" dataDxfId="24210" totalsRowDxfId="7586"/>
    <tableColumn id="8804" name="Columna8790" dataDxfId="24209" totalsRowDxfId="7585"/>
    <tableColumn id="8805" name="Columna8791" dataDxfId="24208" totalsRowDxfId="7584"/>
    <tableColumn id="8806" name="Columna8792" dataDxfId="24207" totalsRowDxfId="7583"/>
    <tableColumn id="8807" name="Columna8793" dataDxfId="24206" totalsRowDxfId="7582"/>
    <tableColumn id="8808" name="Columna8794" dataDxfId="24205" totalsRowDxfId="7581"/>
    <tableColumn id="8809" name="Columna8795" dataDxfId="24204" totalsRowDxfId="7580"/>
    <tableColumn id="8810" name="Columna8796" dataDxfId="24203" totalsRowDxfId="7579"/>
    <tableColumn id="8811" name="Columna8797" dataDxfId="24202" totalsRowDxfId="7578"/>
    <tableColumn id="8812" name="Columna8798" dataDxfId="24201" totalsRowDxfId="7577"/>
    <tableColumn id="8813" name="Columna8799" dataDxfId="24200" totalsRowDxfId="7576"/>
    <tableColumn id="8814" name="Columna8800" dataDxfId="24199" totalsRowDxfId="7575"/>
    <tableColumn id="8815" name="Columna8801" dataDxfId="24198" totalsRowDxfId="7574"/>
    <tableColumn id="8816" name="Columna8802" dataDxfId="24197" totalsRowDxfId="7573"/>
    <tableColumn id="8817" name="Columna8803" dataDxfId="24196" totalsRowDxfId="7572"/>
    <tableColumn id="8818" name="Columna8804" dataDxfId="24195" totalsRowDxfId="7571"/>
    <tableColumn id="8819" name="Columna8805" dataDxfId="24194" totalsRowDxfId="7570"/>
    <tableColumn id="8820" name="Columna8806" dataDxfId="24193" totalsRowDxfId="7569"/>
    <tableColumn id="8821" name="Columna8807" dataDxfId="24192" totalsRowDxfId="7568"/>
    <tableColumn id="8822" name="Columna8808" dataDxfId="24191" totalsRowDxfId="7567"/>
    <tableColumn id="8823" name="Columna8809" dataDxfId="24190" totalsRowDxfId="7566"/>
    <tableColumn id="8824" name="Columna8810" dataDxfId="24189" totalsRowDxfId="7565"/>
    <tableColumn id="8825" name="Columna8811" dataDxfId="24188" totalsRowDxfId="7564"/>
    <tableColumn id="8826" name="Columna8812" dataDxfId="24187" totalsRowDxfId="7563"/>
    <tableColumn id="8827" name="Columna8813" dataDxfId="24186" totalsRowDxfId="7562"/>
    <tableColumn id="8828" name="Columna8814" dataDxfId="24185" totalsRowDxfId="7561"/>
    <tableColumn id="8829" name="Columna8815" dataDxfId="24184" totalsRowDxfId="7560"/>
    <tableColumn id="8830" name="Columna8816" dataDxfId="24183" totalsRowDxfId="7559"/>
    <tableColumn id="8831" name="Columna8817" dataDxfId="24182" totalsRowDxfId="7558"/>
    <tableColumn id="8832" name="Columna8818" dataDxfId="24181" totalsRowDxfId="7557"/>
    <tableColumn id="8833" name="Columna8819" dataDxfId="24180" totalsRowDxfId="7556"/>
    <tableColumn id="8834" name="Columna8820" dataDxfId="24179" totalsRowDxfId="7555"/>
    <tableColumn id="8835" name="Columna8821" dataDxfId="24178" totalsRowDxfId="7554"/>
    <tableColumn id="8836" name="Columna8822" dataDxfId="24177" totalsRowDxfId="7553"/>
    <tableColumn id="8837" name="Columna8823" dataDxfId="24176" totalsRowDxfId="7552"/>
    <tableColumn id="8838" name="Columna8824" dataDxfId="24175" totalsRowDxfId="7551"/>
    <tableColumn id="8839" name="Columna8825" dataDxfId="24174" totalsRowDxfId="7550"/>
    <tableColumn id="8840" name="Columna8826" dataDxfId="24173" totalsRowDxfId="7549"/>
    <tableColumn id="8841" name="Columna8827" dataDxfId="24172" totalsRowDxfId="7548"/>
    <tableColumn id="8842" name="Columna8828" dataDxfId="24171" totalsRowDxfId="7547"/>
    <tableColumn id="8843" name="Columna8829" dataDxfId="24170" totalsRowDxfId="7546"/>
    <tableColumn id="8844" name="Columna8830" dataDxfId="24169" totalsRowDxfId="7545"/>
    <tableColumn id="8845" name="Columna8831" dataDxfId="24168" totalsRowDxfId="7544"/>
    <tableColumn id="8846" name="Columna8832" dataDxfId="24167" totalsRowDxfId="7543"/>
    <tableColumn id="8847" name="Columna8833" dataDxfId="24166" totalsRowDxfId="7542"/>
    <tableColumn id="8848" name="Columna8834" dataDxfId="24165" totalsRowDxfId="7541"/>
    <tableColumn id="8849" name="Columna8835" dataDxfId="24164" totalsRowDxfId="7540"/>
    <tableColumn id="8850" name="Columna8836" dataDxfId="24163" totalsRowDxfId="7539"/>
    <tableColumn id="8851" name="Columna8837" dataDxfId="24162" totalsRowDxfId="7538"/>
    <tableColumn id="8852" name="Columna8838" dataDxfId="24161" totalsRowDxfId="7537"/>
    <tableColumn id="8853" name="Columna8839" dataDxfId="24160" totalsRowDxfId="7536"/>
    <tableColumn id="8854" name="Columna8840" dataDxfId="24159" totalsRowDxfId="7535"/>
    <tableColumn id="8855" name="Columna8841" dataDxfId="24158" totalsRowDxfId="7534"/>
    <tableColumn id="8856" name="Columna8842" dataDxfId="24157" totalsRowDxfId="7533"/>
    <tableColumn id="8857" name="Columna8843" dataDxfId="24156" totalsRowDxfId="7532"/>
    <tableColumn id="8858" name="Columna8844" dataDxfId="24155" totalsRowDxfId="7531"/>
    <tableColumn id="8859" name="Columna8845" dataDxfId="24154" totalsRowDxfId="7530"/>
    <tableColumn id="8860" name="Columna8846" dataDxfId="24153" totalsRowDxfId="7529"/>
    <tableColumn id="8861" name="Columna8847" dataDxfId="24152" totalsRowDxfId="7528"/>
    <tableColumn id="8862" name="Columna8848" dataDxfId="24151" totalsRowDxfId="7527"/>
    <tableColumn id="8863" name="Columna8849" dataDxfId="24150" totalsRowDxfId="7526"/>
    <tableColumn id="8864" name="Columna8850" dataDxfId="24149" totalsRowDxfId="7525"/>
    <tableColumn id="8865" name="Columna8851" dataDxfId="24148" totalsRowDxfId="7524"/>
    <tableColumn id="8866" name="Columna8852" dataDxfId="24147" totalsRowDxfId="7523"/>
    <tableColumn id="8867" name="Columna8853" dataDxfId="24146" totalsRowDxfId="7522"/>
    <tableColumn id="8868" name="Columna8854" dataDxfId="24145" totalsRowDxfId="7521"/>
    <tableColumn id="8869" name="Columna8855" dataDxfId="24144" totalsRowDxfId="7520"/>
    <tableColumn id="8870" name="Columna8856" dataDxfId="24143" totalsRowDxfId="7519"/>
    <tableColumn id="8871" name="Columna8857" dataDxfId="24142" totalsRowDxfId="7518"/>
    <tableColumn id="8872" name="Columna8858" dataDxfId="24141" totalsRowDxfId="7517"/>
    <tableColumn id="8873" name="Columna8859" dataDxfId="24140" totalsRowDxfId="7516"/>
    <tableColumn id="8874" name="Columna8860" dataDxfId="24139" totalsRowDxfId="7515"/>
    <tableColumn id="8875" name="Columna8861" dataDxfId="24138" totalsRowDxfId="7514"/>
    <tableColumn id="8876" name="Columna8862" dataDxfId="24137" totalsRowDxfId="7513"/>
    <tableColumn id="8877" name="Columna8863" dataDxfId="24136" totalsRowDxfId="7512"/>
    <tableColumn id="8878" name="Columna8864" dataDxfId="24135" totalsRowDxfId="7511"/>
    <tableColumn id="8879" name="Columna8865" dataDxfId="24134" totalsRowDxfId="7510"/>
    <tableColumn id="8880" name="Columna8866" dataDxfId="24133" totalsRowDxfId="7509"/>
    <tableColumn id="8881" name="Columna8867" dataDxfId="24132" totalsRowDxfId="7508"/>
    <tableColumn id="8882" name="Columna8868" dataDxfId="24131" totalsRowDxfId="7507"/>
    <tableColumn id="8883" name="Columna8869" dataDxfId="24130" totalsRowDxfId="7506"/>
    <tableColumn id="8884" name="Columna8870" dataDxfId="24129" totalsRowDxfId="7505"/>
    <tableColumn id="8885" name="Columna8871" dataDxfId="24128" totalsRowDxfId="7504"/>
    <tableColumn id="8886" name="Columna8872" dataDxfId="24127" totalsRowDxfId="7503"/>
    <tableColumn id="8887" name="Columna8873" dataDxfId="24126" totalsRowDxfId="7502"/>
    <tableColumn id="8888" name="Columna8874" dataDxfId="24125" totalsRowDxfId="7501"/>
    <tableColumn id="8889" name="Columna8875" dataDxfId="24124" totalsRowDxfId="7500"/>
    <tableColumn id="8890" name="Columna8876" dataDxfId="24123" totalsRowDxfId="7499"/>
    <tableColumn id="8891" name="Columna8877" dataDxfId="24122" totalsRowDxfId="7498"/>
    <tableColumn id="8892" name="Columna8878" dataDxfId="24121" totalsRowDxfId="7497"/>
    <tableColumn id="8893" name="Columna8879" dataDxfId="24120" totalsRowDxfId="7496"/>
    <tableColumn id="8894" name="Columna8880" dataDxfId="24119" totalsRowDxfId="7495"/>
    <tableColumn id="8895" name="Columna8881" dataDxfId="24118" totalsRowDxfId="7494"/>
    <tableColumn id="8896" name="Columna8882" dataDxfId="24117" totalsRowDxfId="7493"/>
    <tableColumn id="8897" name="Columna8883" dataDxfId="24116" totalsRowDxfId="7492"/>
    <tableColumn id="8898" name="Columna8884" dataDxfId="24115" totalsRowDxfId="7491"/>
    <tableColumn id="8899" name="Columna8885" dataDxfId="24114" totalsRowDxfId="7490"/>
    <tableColumn id="8900" name="Columna8886" dataDxfId="24113" totalsRowDxfId="7489"/>
    <tableColumn id="8901" name="Columna8887" dataDxfId="24112" totalsRowDxfId="7488"/>
    <tableColumn id="8902" name="Columna8888" dataDxfId="24111" totalsRowDxfId="7487"/>
    <tableColumn id="8903" name="Columna8889" dataDxfId="24110" totalsRowDxfId="7486"/>
    <tableColumn id="8904" name="Columna8890" dataDxfId="24109" totalsRowDxfId="7485"/>
    <tableColumn id="8905" name="Columna8891" dataDxfId="24108" totalsRowDxfId="7484"/>
    <tableColumn id="8906" name="Columna8892" dataDxfId="24107" totalsRowDxfId="7483"/>
    <tableColumn id="8907" name="Columna8893" dataDxfId="24106" totalsRowDxfId="7482"/>
    <tableColumn id="8908" name="Columna8894" dataDxfId="24105" totalsRowDxfId="7481"/>
    <tableColumn id="8909" name="Columna8895" dataDxfId="24104" totalsRowDxfId="7480"/>
    <tableColumn id="8910" name="Columna8896" dataDxfId="24103" totalsRowDxfId="7479"/>
    <tableColumn id="8911" name="Columna8897" dataDxfId="24102" totalsRowDxfId="7478"/>
    <tableColumn id="8912" name="Columna8898" dataDxfId="24101" totalsRowDxfId="7477"/>
    <tableColumn id="8913" name="Columna8899" dataDxfId="24100" totalsRowDxfId="7476"/>
    <tableColumn id="8914" name="Columna8900" dataDxfId="24099" totalsRowDxfId="7475"/>
    <tableColumn id="8915" name="Columna8901" dataDxfId="24098" totalsRowDxfId="7474"/>
    <tableColumn id="8916" name="Columna8902" dataDxfId="24097" totalsRowDxfId="7473"/>
    <tableColumn id="8917" name="Columna8903" dataDxfId="24096" totalsRowDxfId="7472"/>
    <tableColumn id="8918" name="Columna8904" dataDxfId="24095" totalsRowDxfId="7471"/>
    <tableColumn id="8919" name="Columna8905" dataDxfId="24094" totalsRowDxfId="7470"/>
    <tableColumn id="8920" name="Columna8906" dataDxfId="24093" totalsRowDxfId="7469"/>
    <tableColumn id="8921" name="Columna8907" dataDxfId="24092" totalsRowDxfId="7468"/>
    <tableColumn id="8922" name="Columna8908" dataDxfId="24091" totalsRowDxfId="7467"/>
    <tableColumn id="8923" name="Columna8909" dataDxfId="24090" totalsRowDxfId="7466"/>
    <tableColumn id="8924" name="Columna8910" dataDxfId="24089" totalsRowDxfId="7465"/>
    <tableColumn id="8925" name="Columna8911" dataDxfId="24088" totalsRowDxfId="7464"/>
    <tableColumn id="8926" name="Columna8912" dataDxfId="24087" totalsRowDxfId="7463"/>
    <tableColumn id="8927" name="Columna8913" dataDxfId="24086" totalsRowDxfId="7462"/>
    <tableColumn id="8928" name="Columna8914" dataDxfId="24085" totalsRowDxfId="7461"/>
    <tableColumn id="8929" name="Columna8915" dataDxfId="24084" totalsRowDxfId="7460"/>
    <tableColumn id="8930" name="Columna8916" dataDxfId="24083" totalsRowDxfId="7459"/>
    <tableColumn id="8931" name="Columna8917" dataDxfId="24082" totalsRowDxfId="7458"/>
    <tableColumn id="8932" name="Columna8918" dataDxfId="24081" totalsRowDxfId="7457"/>
    <tableColumn id="8933" name="Columna8919" dataDxfId="24080" totalsRowDxfId="7456"/>
    <tableColumn id="8934" name="Columna8920" dataDxfId="24079" totalsRowDxfId="7455"/>
    <tableColumn id="8935" name="Columna8921" dataDxfId="24078" totalsRowDxfId="7454"/>
    <tableColumn id="8936" name="Columna8922" dataDxfId="24077" totalsRowDxfId="7453"/>
    <tableColumn id="8937" name="Columna8923" dataDxfId="24076" totalsRowDxfId="7452"/>
    <tableColumn id="8938" name="Columna8924" dataDxfId="24075" totalsRowDxfId="7451"/>
    <tableColumn id="8939" name="Columna8925" dataDxfId="24074" totalsRowDxfId="7450"/>
    <tableColumn id="8940" name="Columna8926" dataDxfId="24073" totalsRowDxfId="7449"/>
    <tableColumn id="8941" name="Columna8927" dataDxfId="24072" totalsRowDxfId="7448"/>
    <tableColumn id="8942" name="Columna8928" dataDxfId="24071" totalsRowDxfId="7447"/>
    <tableColumn id="8943" name="Columna8929" dataDxfId="24070" totalsRowDxfId="7446"/>
    <tableColumn id="8944" name="Columna8930" dataDxfId="24069" totalsRowDxfId="7445"/>
    <tableColumn id="8945" name="Columna8931" dataDxfId="24068" totalsRowDxfId="7444"/>
    <tableColumn id="8946" name="Columna8932" dataDxfId="24067" totalsRowDxfId="7443"/>
    <tableColumn id="8947" name="Columna8933" dataDxfId="24066" totalsRowDxfId="7442"/>
    <tableColumn id="8948" name="Columna8934" dataDxfId="24065" totalsRowDxfId="7441"/>
    <tableColumn id="8949" name="Columna8935" dataDxfId="24064" totalsRowDxfId="7440"/>
    <tableColumn id="8950" name="Columna8936" dataDxfId="24063" totalsRowDxfId="7439"/>
    <tableColumn id="8951" name="Columna8937" dataDxfId="24062" totalsRowDxfId="7438"/>
    <tableColumn id="8952" name="Columna8938" dataDxfId="24061" totalsRowDxfId="7437"/>
    <tableColumn id="8953" name="Columna8939" dataDxfId="24060" totalsRowDxfId="7436"/>
    <tableColumn id="8954" name="Columna8940" dataDxfId="24059" totalsRowDxfId="7435"/>
    <tableColumn id="8955" name="Columna8941" dataDxfId="24058" totalsRowDxfId="7434"/>
    <tableColumn id="8956" name="Columna8942" dataDxfId="24057" totalsRowDxfId="7433"/>
    <tableColumn id="8957" name="Columna8943" dataDxfId="24056" totalsRowDxfId="7432"/>
    <tableColumn id="8958" name="Columna8944" dataDxfId="24055" totalsRowDxfId="7431"/>
    <tableColumn id="8959" name="Columna8945" dataDxfId="24054" totalsRowDxfId="7430"/>
    <tableColumn id="8960" name="Columna8946" dataDxfId="24053" totalsRowDxfId="7429"/>
    <tableColumn id="8961" name="Columna8947" dataDxfId="24052" totalsRowDxfId="7428"/>
    <tableColumn id="8962" name="Columna8948" dataDxfId="24051" totalsRowDxfId="7427"/>
    <tableColumn id="8963" name="Columna8949" dataDxfId="24050" totalsRowDxfId="7426"/>
    <tableColumn id="8964" name="Columna8950" dataDxfId="24049" totalsRowDxfId="7425"/>
    <tableColumn id="8965" name="Columna8951" dataDxfId="24048" totalsRowDxfId="7424"/>
    <tableColumn id="8966" name="Columna8952" dataDxfId="24047" totalsRowDxfId="7423"/>
    <tableColumn id="8967" name="Columna8953" dataDxfId="24046" totalsRowDxfId="7422"/>
    <tableColumn id="8968" name="Columna8954" dataDxfId="24045" totalsRowDxfId="7421"/>
    <tableColumn id="8969" name="Columna8955" dataDxfId="24044" totalsRowDxfId="7420"/>
    <tableColumn id="8970" name="Columna8956" dataDxfId="24043" totalsRowDxfId="7419"/>
    <tableColumn id="8971" name="Columna8957" dataDxfId="24042" totalsRowDxfId="7418"/>
    <tableColumn id="8972" name="Columna8958" dataDxfId="24041" totalsRowDxfId="7417"/>
    <tableColumn id="8973" name="Columna8959" dataDxfId="24040" totalsRowDxfId="7416"/>
    <tableColumn id="8974" name="Columna8960" dataDxfId="24039" totalsRowDxfId="7415"/>
    <tableColumn id="8975" name="Columna8961" dataDxfId="24038" totalsRowDxfId="7414"/>
    <tableColumn id="8976" name="Columna8962" dataDxfId="24037" totalsRowDxfId="7413"/>
    <tableColumn id="8977" name="Columna8963" dataDxfId="24036" totalsRowDxfId="7412"/>
    <tableColumn id="8978" name="Columna8964" dataDxfId="24035" totalsRowDxfId="7411"/>
    <tableColumn id="8979" name="Columna8965" dataDxfId="24034" totalsRowDxfId="7410"/>
    <tableColumn id="8980" name="Columna8966" dataDxfId="24033" totalsRowDxfId="7409"/>
    <tableColumn id="8981" name="Columna8967" dataDxfId="24032" totalsRowDxfId="7408"/>
    <tableColumn id="8982" name="Columna8968" dataDxfId="24031" totalsRowDxfId="7407"/>
    <tableColumn id="8983" name="Columna8969" dataDxfId="24030" totalsRowDxfId="7406"/>
    <tableColumn id="8984" name="Columna8970" dataDxfId="24029" totalsRowDxfId="7405"/>
    <tableColumn id="8985" name="Columna8971" dataDxfId="24028" totalsRowDxfId="7404"/>
    <tableColumn id="8986" name="Columna8972" dataDxfId="24027" totalsRowDxfId="7403"/>
    <tableColumn id="8987" name="Columna8973" dataDxfId="24026" totalsRowDxfId="7402"/>
    <tableColumn id="8988" name="Columna8974" dataDxfId="24025" totalsRowDxfId="7401"/>
    <tableColumn id="8989" name="Columna8975" dataDxfId="24024" totalsRowDxfId="7400"/>
    <tableColumn id="8990" name="Columna8976" dataDxfId="24023" totalsRowDxfId="7399"/>
    <tableColumn id="8991" name="Columna8977" dataDxfId="24022" totalsRowDxfId="7398"/>
    <tableColumn id="8992" name="Columna8978" dataDxfId="24021" totalsRowDxfId="7397"/>
    <tableColumn id="8993" name="Columna8979" dataDxfId="24020" totalsRowDxfId="7396"/>
    <tableColumn id="8994" name="Columna8980" dataDxfId="24019" totalsRowDxfId="7395"/>
    <tableColumn id="8995" name="Columna8981" dataDxfId="24018" totalsRowDxfId="7394"/>
    <tableColumn id="8996" name="Columna8982" dataDxfId="24017" totalsRowDxfId="7393"/>
    <tableColumn id="8997" name="Columna8983" dataDxfId="24016" totalsRowDxfId="7392"/>
    <tableColumn id="8998" name="Columna8984" dataDxfId="24015" totalsRowDxfId="7391"/>
    <tableColumn id="8999" name="Columna8985" dataDxfId="24014" totalsRowDxfId="7390"/>
    <tableColumn id="9000" name="Columna8986" dataDxfId="24013" totalsRowDxfId="7389"/>
    <tableColumn id="9001" name="Columna8987" dataDxfId="24012" totalsRowDxfId="7388"/>
    <tableColumn id="9002" name="Columna8988" dataDxfId="24011" totalsRowDxfId="7387"/>
    <tableColumn id="9003" name="Columna8989" dataDxfId="24010" totalsRowDxfId="7386"/>
    <tableColumn id="9004" name="Columna8990" dataDxfId="24009" totalsRowDxfId="7385"/>
    <tableColumn id="9005" name="Columna8991" dataDxfId="24008" totalsRowDxfId="7384"/>
    <tableColumn id="9006" name="Columna8992" dataDxfId="24007" totalsRowDxfId="7383"/>
    <tableColumn id="9007" name="Columna8993" dataDxfId="24006" totalsRowDxfId="7382"/>
    <tableColumn id="9008" name="Columna8994" dataDxfId="24005" totalsRowDxfId="7381"/>
    <tableColumn id="9009" name="Columna8995" dataDxfId="24004" totalsRowDxfId="7380"/>
    <tableColumn id="9010" name="Columna8996" dataDxfId="24003" totalsRowDxfId="7379"/>
    <tableColumn id="9011" name="Columna8997" dataDxfId="24002" totalsRowDxfId="7378"/>
    <tableColumn id="9012" name="Columna8998" dataDxfId="24001" totalsRowDxfId="7377"/>
    <tableColumn id="9013" name="Columna8999" dataDxfId="24000" totalsRowDxfId="7376"/>
    <tableColumn id="9014" name="Columna9000" dataDxfId="23999" totalsRowDxfId="7375"/>
    <tableColumn id="9015" name="Columna9001" dataDxfId="23998" totalsRowDxfId="7374"/>
    <tableColumn id="9016" name="Columna9002" dataDxfId="23997" totalsRowDxfId="7373"/>
    <tableColumn id="9017" name="Columna9003" dataDxfId="23996" totalsRowDxfId="7372"/>
    <tableColumn id="9018" name="Columna9004" dataDxfId="23995" totalsRowDxfId="7371"/>
    <tableColumn id="9019" name="Columna9005" dataDxfId="23994" totalsRowDxfId="7370"/>
    <tableColumn id="9020" name="Columna9006" dataDxfId="23993" totalsRowDxfId="7369"/>
    <tableColumn id="9021" name="Columna9007" dataDxfId="23992" totalsRowDxfId="7368"/>
    <tableColumn id="9022" name="Columna9008" dataDxfId="23991" totalsRowDxfId="7367"/>
    <tableColumn id="9023" name="Columna9009" dataDxfId="23990" totalsRowDxfId="7366"/>
    <tableColumn id="9024" name="Columna9010" dataDxfId="23989" totalsRowDxfId="7365"/>
    <tableColumn id="9025" name="Columna9011" dataDxfId="23988" totalsRowDxfId="7364"/>
    <tableColumn id="9026" name="Columna9012" dataDxfId="23987" totalsRowDxfId="7363"/>
    <tableColumn id="9027" name="Columna9013" dataDxfId="23986" totalsRowDxfId="7362"/>
    <tableColumn id="9028" name="Columna9014" dataDxfId="23985" totalsRowDxfId="7361"/>
    <tableColumn id="9029" name="Columna9015" dataDxfId="23984" totalsRowDxfId="7360"/>
    <tableColumn id="9030" name="Columna9016" dataDxfId="23983" totalsRowDxfId="7359"/>
    <tableColumn id="9031" name="Columna9017" dataDxfId="23982" totalsRowDxfId="7358"/>
    <tableColumn id="9032" name="Columna9018" dataDxfId="23981" totalsRowDxfId="7357"/>
    <tableColumn id="9033" name="Columna9019" dataDxfId="23980" totalsRowDxfId="7356"/>
    <tableColumn id="9034" name="Columna9020" dataDxfId="23979" totalsRowDxfId="7355"/>
    <tableColumn id="9035" name="Columna9021" dataDxfId="23978" totalsRowDxfId="7354"/>
    <tableColumn id="9036" name="Columna9022" dataDxfId="23977" totalsRowDxfId="7353"/>
    <tableColumn id="9037" name="Columna9023" dataDxfId="23976" totalsRowDxfId="7352"/>
    <tableColumn id="9038" name="Columna9024" dataDxfId="23975" totalsRowDxfId="7351"/>
    <tableColumn id="9039" name="Columna9025" dataDxfId="23974" totalsRowDxfId="7350"/>
    <tableColumn id="9040" name="Columna9026" dataDxfId="23973" totalsRowDxfId="7349"/>
    <tableColumn id="9041" name="Columna9027" dataDxfId="23972" totalsRowDxfId="7348"/>
    <tableColumn id="9042" name="Columna9028" dataDxfId="23971" totalsRowDxfId="7347"/>
    <tableColumn id="9043" name="Columna9029" dataDxfId="23970" totalsRowDxfId="7346"/>
    <tableColumn id="9044" name="Columna9030" dataDxfId="23969" totalsRowDxfId="7345"/>
    <tableColumn id="9045" name="Columna9031" dataDxfId="23968" totalsRowDxfId="7344"/>
    <tableColumn id="9046" name="Columna9032" dataDxfId="23967" totalsRowDxfId="7343"/>
    <tableColumn id="9047" name="Columna9033" dataDxfId="23966" totalsRowDxfId="7342"/>
    <tableColumn id="9048" name="Columna9034" dataDxfId="23965" totalsRowDxfId="7341"/>
    <tableColumn id="9049" name="Columna9035" dataDxfId="23964" totalsRowDxfId="7340"/>
    <tableColumn id="9050" name="Columna9036" dataDxfId="23963" totalsRowDxfId="7339"/>
    <tableColumn id="9051" name="Columna9037" dataDxfId="23962" totalsRowDxfId="7338"/>
    <tableColumn id="9052" name="Columna9038" dataDxfId="23961" totalsRowDxfId="7337"/>
    <tableColumn id="9053" name="Columna9039" dataDxfId="23960" totalsRowDxfId="7336"/>
    <tableColumn id="9054" name="Columna9040" dataDxfId="23959" totalsRowDxfId="7335"/>
    <tableColumn id="9055" name="Columna9041" dataDxfId="23958" totalsRowDxfId="7334"/>
    <tableColumn id="9056" name="Columna9042" dataDxfId="23957" totalsRowDxfId="7333"/>
    <tableColumn id="9057" name="Columna9043" dataDxfId="23956" totalsRowDxfId="7332"/>
    <tableColumn id="9058" name="Columna9044" dataDxfId="23955" totalsRowDxfId="7331"/>
    <tableColumn id="9059" name="Columna9045" dataDxfId="23954" totalsRowDxfId="7330"/>
    <tableColumn id="9060" name="Columna9046" dataDxfId="23953" totalsRowDxfId="7329"/>
    <tableColumn id="9061" name="Columna9047" dataDxfId="23952" totalsRowDxfId="7328"/>
    <tableColumn id="9062" name="Columna9048" dataDxfId="23951" totalsRowDxfId="7327"/>
    <tableColumn id="9063" name="Columna9049" dataDxfId="23950" totalsRowDxfId="7326"/>
    <tableColumn id="9064" name="Columna9050" dataDxfId="23949" totalsRowDxfId="7325"/>
    <tableColumn id="9065" name="Columna9051" dataDxfId="23948" totalsRowDxfId="7324"/>
    <tableColumn id="9066" name="Columna9052" dataDxfId="23947" totalsRowDxfId="7323"/>
    <tableColumn id="9067" name="Columna9053" dataDxfId="23946" totalsRowDxfId="7322"/>
    <tableColumn id="9068" name="Columna9054" dataDxfId="23945" totalsRowDxfId="7321"/>
    <tableColumn id="9069" name="Columna9055" dataDxfId="23944" totalsRowDxfId="7320"/>
    <tableColumn id="9070" name="Columna9056" dataDxfId="23943" totalsRowDxfId="7319"/>
    <tableColumn id="9071" name="Columna9057" dataDxfId="23942" totalsRowDxfId="7318"/>
    <tableColumn id="9072" name="Columna9058" dataDxfId="23941" totalsRowDxfId="7317"/>
    <tableColumn id="9073" name="Columna9059" dataDxfId="23940" totalsRowDxfId="7316"/>
    <tableColumn id="9074" name="Columna9060" dataDxfId="23939" totalsRowDxfId="7315"/>
    <tableColumn id="9075" name="Columna9061" dataDxfId="23938" totalsRowDxfId="7314"/>
    <tableColumn id="9076" name="Columna9062" dataDxfId="23937" totalsRowDxfId="7313"/>
    <tableColumn id="9077" name="Columna9063" dataDxfId="23936" totalsRowDxfId="7312"/>
    <tableColumn id="9078" name="Columna9064" dataDxfId="23935" totalsRowDxfId="7311"/>
    <tableColumn id="9079" name="Columna9065" dataDxfId="23934" totalsRowDxfId="7310"/>
    <tableColumn id="9080" name="Columna9066" dataDxfId="23933" totalsRowDxfId="7309"/>
    <tableColumn id="9081" name="Columna9067" dataDxfId="23932" totalsRowDxfId="7308"/>
    <tableColumn id="9082" name="Columna9068" dataDxfId="23931" totalsRowDxfId="7307"/>
    <tableColumn id="9083" name="Columna9069" dataDxfId="23930" totalsRowDxfId="7306"/>
    <tableColumn id="9084" name="Columna9070" dataDxfId="23929" totalsRowDxfId="7305"/>
    <tableColumn id="9085" name="Columna9071" dataDxfId="23928" totalsRowDxfId="7304"/>
    <tableColumn id="9086" name="Columna9072" dataDxfId="23927" totalsRowDxfId="7303"/>
    <tableColumn id="9087" name="Columna9073" dataDxfId="23926" totalsRowDxfId="7302"/>
    <tableColumn id="9088" name="Columna9074" dataDxfId="23925" totalsRowDxfId="7301"/>
    <tableColumn id="9089" name="Columna9075" dataDxfId="23924" totalsRowDxfId="7300"/>
    <tableColumn id="9090" name="Columna9076" dataDxfId="23923" totalsRowDxfId="7299"/>
    <tableColumn id="9091" name="Columna9077" dataDxfId="23922" totalsRowDxfId="7298"/>
    <tableColumn id="9092" name="Columna9078" dataDxfId="23921" totalsRowDxfId="7297"/>
    <tableColumn id="9093" name="Columna9079" dataDxfId="23920" totalsRowDxfId="7296"/>
    <tableColumn id="9094" name="Columna9080" dataDxfId="23919" totalsRowDxfId="7295"/>
    <tableColumn id="9095" name="Columna9081" dataDxfId="23918" totalsRowDxfId="7294"/>
    <tableColumn id="9096" name="Columna9082" dataDxfId="23917" totalsRowDxfId="7293"/>
    <tableColumn id="9097" name="Columna9083" dataDxfId="23916" totalsRowDxfId="7292"/>
    <tableColumn id="9098" name="Columna9084" dataDxfId="23915" totalsRowDxfId="7291"/>
    <tableColumn id="9099" name="Columna9085" dataDxfId="23914" totalsRowDxfId="7290"/>
    <tableColumn id="9100" name="Columna9086" dataDxfId="23913" totalsRowDxfId="7289"/>
    <tableColumn id="9101" name="Columna9087" dataDxfId="23912" totalsRowDxfId="7288"/>
    <tableColumn id="9102" name="Columna9088" dataDxfId="23911" totalsRowDxfId="7287"/>
    <tableColumn id="9103" name="Columna9089" dataDxfId="23910" totalsRowDxfId="7286"/>
    <tableColumn id="9104" name="Columna9090" dataDxfId="23909" totalsRowDxfId="7285"/>
    <tableColumn id="9105" name="Columna9091" dataDxfId="23908" totalsRowDxfId="7284"/>
    <tableColumn id="9106" name="Columna9092" dataDxfId="23907" totalsRowDxfId="7283"/>
    <tableColumn id="9107" name="Columna9093" dataDxfId="23906" totalsRowDxfId="7282"/>
    <tableColumn id="9108" name="Columna9094" dataDxfId="23905" totalsRowDxfId="7281"/>
    <tableColumn id="9109" name="Columna9095" dataDxfId="23904" totalsRowDxfId="7280"/>
    <tableColumn id="9110" name="Columna9096" dataDxfId="23903" totalsRowDxfId="7279"/>
    <tableColumn id="9111" name="Columna9097" dataDxfId="23902" totalsRowDxfId="7278"/>
    <tableColumn id="9112" name="Columna9098" dataDxfId="23901" totalsRowDxfId="7277"/>
    <tableColumn id="9113" name="Columna9099" dataDxfId="23900" totalsRowDxfId="7276"/>
    <tableColumn id="9114" name="Columna9100" dataDxfId="23899" totalsRowDxfId="7275"/>
    <tableColumn id="9115" name="Columna9101" dataDxfId="23898" totalsRowDxfId="7274"/>
    <tableColumn id="9116" name="Columna9102" dataDxfId="23897" totalsRowDxfId="7273"/>
    <tableColumn id="9117" name="Columna9103" dataDxfId="23896" totalsRowDxfId="7272"/>
    <tableColumn id="9118" name="Columna9104" dataDxfId="23895" totalsRowDxfId="7271"/>
    <tableColumn id="9119" name="Columna9105" dataDxfId="23894" totalsRowDxfId="7270"/>
    <tableColumn id="9120" name="Columna9106" dataDxfId="23893" totalsRowDxfId="7269"/>
    <tableColumn id="9121" name="Columna9107" dataDxfId="23892" totalsRowDxfId="7268"/>
    <tableColumn id="9122" name="Columna9108" dataDxfId="23891" totalsRowDxfId="7267"/>
    <tableColumn id="9123" name="Columna9109" dataDxfId="23890" totalsRowDxfId="7266"/>
    <tableColumn id="9124" name="Columna9110" dataDxfId="23889" totalsRowDxfId="7265"/>
    <tableColumn id="9125" name="Columna9111" dataDxfId="23888" totalsRowDxfId="7264"/>
    <tableColumn id="9126" name="Columna9112" dataDxfId="23887" totalsRowDxfId="7263"/>
    <tableColumn id="9127" name="Columna9113" dataDxfId="23886" totalsRowDxfId="7262"/>
    <tableColumn id="9128" name="Columna9114" dataDxfId="23885" totalsRowDxfId="7261"/>
    <tableColumn id="9129" name="Columna9115" dataDxfId="23884" totalsRowDxfId="7260"/>
    <tableColumn id="9130" name="Columna9116" dataDxfId="23883" totalsRowDxfId="7259"/>
    <tableColumn id="9131" name="Columna9117" dataDxfId="23882" totalsRowDxfId="7258"/>
    <tableColumn id="9132" name="Columna9118" dataDxfId="23881" totalsRowDxfId="7257"/>
    <tableColumn id="9133" name="Columna9119" dataDxfId="23880" totalsRowDxfId="7256"/>
    <tableColumn id="9134" name="Columna9120" dataDxfId="23879" totalsRowDxfId="7255"/>
    <tableColumn id="9135" name="Columna9121" dataDxfId="23878" totalsRowDxfId="7254"/>
    <tableColumn id="9136" name="Columna9122" dataDxfId="23877" totalsRowDxfId="7253"/>
    <tableColumn id="9137" name="Columna9123" dataDxfId="23876" totalsRowDxfId="7252"/>
    <tableColumn id="9138" name="Columna9124" dataDxfId="23875" totalsRowDxfId="7251"/>
    <tableColumn id="9139" name="Columna9125" dataDxfId="23874" totalsRowDxfId="7250"/>
    <tableColumn id="9140" name="Columna9126" dataDxfId="23873" totalsRowDxfId="7249"/>
    <tableColumn id="9141" name="Columna9127" dataDxfId="23872" totalsRowDxfId="7248"/>
    <tableColumn id="9142" name="Columna9128" dataDxfId="23871" totalsRowDxfId="7247"/>
    <tableColumn id="9143" name="Columna9129" dataDxfId="23870" totalsRowDxfId="7246"/>
    <tableColumn id="9144" name="Columna9130" dataDxfId="23869" totalsRowDxfId="7245"/>
    <tableColumn id="9145" name="Columna9131" dataDxfId="23868" totalsRowDxfId="7244"/>
    <tableColumn id="9146" name="Columna9132" dataDxfId="23867" totalsRowDxfId="7243"/>
    <tableColumn id="9147" name="Columna9133" dataDxfId="23866" totalsRowDxfId="7242"/>
    <tableColumn id="9148" name="Columna9134" dataDxfId="23865" totalsRowDxfId="7241"/>
    <tableColumn id="9149" name="Columna9135" dataDxfId="23864" totalsRowDxfId="7240"/>
    <tableColumn id="9150" name="Columna9136" dataDxfId="23863" totalsRowDxfId="7239"/>
    <tableColumn id="9151" name="Columna9137" dataDxfId="23862" totalsRowDxfId="7238"/>
    <tableColumn id="9152" name="Columna9138" dataDxfId="23861" totalsRowDxfId="7237"/>
    <tableColumn id="9153" name="Columna9139" dataDxfId="23860" totalsRowDxfId="7236"/>
    <tableColumn id="9154" name="Columna9140" dataDxfId="23859" totalsRowDxfId="7235"/>
    <tableColumn id="9155" name="Columna9141" dataDxfId="23858" totalsRowDxfId="7234"/>
    <tableColumn id="9156" name="Columna9142" dataDxfId="23857" totalsRowDxfId="7233"/>
    <tableColumn id="9157" name="Columna9143" dataDxfId="23856" totalsRowDxfId="7232"/>
    <tableColumn id="9158" name="Columna9144" dataDxfId="23855" totalsRowDxfId="7231"/>
    <tableColumn id="9159" name="Columna9145" dataDxfId="23854" totalsRowDxfId="7230"/>
    <tableColumn id="9160" name="Columna9146" dataDxfId="23853" totalsRowDxfId="7229"/>
    <tableColumn id="9161" name="Columna9147" dataDxfId="23852" totalsRowDxfId="7228"/>
    <tableColumn id="9162" name="Columna9148" dataDxfId="23851" totalsRowDxfId="7227"/>
    <tableColumn id="9163" name="Columna9149" dataDxfId="23850" totalsRowDxfId="7226"/>
    <tableColumn id="9164" name="Columna9150" dataDxfId="23849" totalsRowDxfId="7225"/>
    <tableColumn id="9165" name="Columna9151" dataDxfId="23848" totalsRowDxfId="7224"/>
    <tableColumn id="9166" name="Columna9152" dataDxfId="23847" totalsRowDxfId="7223"/>
    <tableColumn id="9167" name="Columna9153" dataDxfId="23846" totalsRowDxfId="7222"/>
    <tableColumn id="9168" name="Columna9154" dataDxfId="23845" totalsRowDxfId="7221"/>
    <tableColumn id="9169" name="Columna9155" dataDxfId="23844" totalsRowDxfId="7220"/>
    <tableColumn id="9170" name="Columna9156" dataDxfId="23843" totalsRowDxfId="7219"/>
    <tableColumn id="9171" name="Columna9157" dataDxfId="23842" totalsRowDxfId="7218"/>
    <tableColumn id="9172" name="Columna9158" dataDxfId="23841" totalsRowDxfId="7217"/>
    <tableColumn id="9173" name="Columna9159" dataDxfId="23840" totalsRowDxfId="7216"/>
    <tableColumn id="9174" name="Columna9160" dataDxfId="23839" totalsRowDxfId="7215"/>
    <tableColumn id="9175" name="Columna9161" dataDxfId="23838" totalsRowDxfId="7214"/>
    <tableColumn id="9176" name="Columna9162" dataDxfId="23837" totalsRowDxfId="7213"/>
    <tableColumn id="9177" name="Columna9163" dataDxfId="23836" totalsRowDxfId="7212"/>
    <tableColumn id="9178" name="Columna9164" dataDxfId="23835" totalsRowDxfId="7211"/>
    <tableColumn id="9179" name="Columna9165" dataDxfId="23834" totalsRowDxfId="7210"/>
    <tableColumn id="9180" name="Columna9166" dataDxfId="23833" totalsRowDxfId="7209"/>
    <tableColumn id="9181" name="Columna9167" dataDxfId="23832" totalsRowDxfId="7208"/>
    <tableColumn id="9182" name="Columna9168" dataDxfId="23831" totalsRowDxfId="7207"/>
    <tableColumn id="9183" name="Columna9169" dataDxfId="23830" totalsRowDxfId="7206"/>
    <tableColumn id="9184" name="Columna9170" dataDxfId="23829" totalsRowDxfId="7205"/>
    <tableColumn id="9185" name="Columna9171" dataDxfId="23828" totalsRowDxfId="7204"/>
    <tableColumn id="9186" name="Columna9172" dataDxfId="23827" totalsRowDxfId="7203"/>
    <tableColumn id="9187" name="Columna9173" dataDxfId="23826" totalsRowDxfId="7202"/>
    <tableColumn id="9188" name="Columna9174" dataDxfId="23825" totalsRowDxfId="7201"/>
    <tableColumn id="9189" name="Columna9175" dataDxfId="23824" totalsRowDxfId="7200"/>
    <tableColumn id="9190" name="Columna9176" dataDxfId="23823" totalsRowDxfId="7199"/>
    <tableColumn id="9191" name="Columna9177" dataDxfId="23822" totalsRowDxfId="7198"/>
    <tableColumn id="9192" name="Columna9178" dataDxfId="23821" totalsRowDxfId="7197"/>
    <tableColumn id="9193" name="Columna9179" dataDxfId="23820" totalsRowDxfId="7196"/>
    <tableColumn id="9194" name="Columna9180" dataDxfId="23819" totalsRowDxfId="7195"/>
    <tableColumn id="9195" name="Columna9181" dataDxfId="23818" totalsRowDxfId="7194"/>
    <tableColumn id="9196" name="Columna9182" dataDxfId="23817" totalsRowDxfId="7193"/>
    <tableColumn id="9197" name="Columna9183" dataDxfId="23816" totalsRowDxfId="7192"/>
    <tableColumn id="9198" name="Columna9184" dataDxfId="23815" totalsRowDxfId="7191"/>
    <tableColumn id="9199" name="Columna9185" dataDxfId="23814" totalsRowDxfId="7190"/>
    <tableColumn id="9200" name="Columna9186" dataDxfId="23813" totalsRowDxfId="7189"/>
    <tableColumn id="9201" name="Columna9187" dataDxfId="23812" totalsRowDxfId="7188"/>
    <tableColumn id="9202" name="Columna9188" dataDxfId="23811" totalsRowDxfId="7187"/>
    <tableColumn id="9203" name="Columna9189" dataDxfId="23810" totalsRowDxfId="7186"/>
    <tableColumn id="9204" name="Columna9190" dataDxfId="23809" totalsRowDxfId="7185"/>
    <tableColumn id="9205" name="Columna9191" dataDxfId="23808" totalsRowDxfId="7184"/>
    <tableColumn id="9206" name="Columna9192" dataDxfId="23807" totalsRowDxfId="7183"/>
    <tableColumn id="9207" name="Columna9193" dataDxfId="23806" totalsRowDxfId="7182"/>
    <tableColumn id="9208" name="Columna9194" dataDxfId="23805" totalsRowDxfId="7181"/>
    <tableColumn id="9209" name="Columna9195" dataDxfId="23804" totalsRowDxfId="7180"/>
    <tableColumn id="9210" name="Columna9196" dataDxfId="23803" totalsRowDxfId="7179"/>
    <tableColumn id="9211" name="Columna9197" dataDxfId="23802" totalsRowDxfId="7178"/>
    <tableColumn id="9212" name="Columna9198" dataDxfId="23801" totalsRowDxfId="7177"/>
    <tableColumn id="9213" name="Columna9199" dataDxfId="23800" totalsRowDxfId="7176"/>
    <tableColumn id="9214" name="Columna9200" dataDxfId="23799" totalsRowDxfId="7175"/>
    <tableColumn id="9215" name="Columna9201" dataDxfId="23798" totalsRowDxfId="7174"/>
    <tableColumn id="9216" name="Columna9202" dataDxfId="23797" totalsRowDxfId="7173"/>
    <tableColumn id="9217" name="Columna9203" dataDxfId="23796" totalsRowDxfId="7172"/>
    <tableColumn id="9218" name="Columna9204" dataDxfId="23795" totalsRowDxfId="7171"/>
    <tableColumn id="9219" name="Columna9205" dataDxfId="23794" totalsRowDxfId="7170"/>
    <tableColumn id="9220" name="Columna9206" dataDxfId="23793" totalsRowDxfId="7169"/>
    <tableColumn id="9221" name="Columna9207" dataDxfId="23792" totalsRowDxfId="7168"/>
    <tableColumn id="9222" name="Columna9208" dataDxfId="23791" totalsRowDxfId="7167"/>
    <tableColumn id="9223" name="Columna9209" dataDxfId="23790" totalsRowDxfId="7166"/>
    <tableColumn id="9224" name="Columna9210" dataDxfId="23789" totalsRowDxfId="7165"/>
    <tableColumn id="9225" name="Columna9211" dataDxfId="23788" totalsRowDxfId="7164"/>
    <tableColumn id="9226" name="Columna9212" dataDxfId="23787" totalsRowDxfId="7163"/>
    <tableColumn id="9227" name="Columna9213" dataDxfId="23786" totalsRowDxfId="7162"/>
    <tableColumn id="9228" name="Columna9214" dataDxfId="23785" totalsRowDxfId="7161"/>
    <tableColumn id="9229" name="Columna9215" dataDxfId="23784" totalsRowDxfId="7160"/>
    <tableColumn id="9230" name="Columna9216" dataDxfId="23783" totalsRowDxfId="7159"/>
    <tableColumn id="9231" name="Columna9217" dataDxfId="23782" totalsRowDxfId="7158"/>
    <tableColumn id="9232" name="Columna9218" dataDxfId="23781" totalsRowDxfId="7157"/>
    <tableColumn id="9233" name="Columna9219" dataDxfId="23780" totalsRowDxfId="7156"/>
    <tableColumn id="9234" name="Columna9220" dataDxfId="23779" totalsRowDxfId="7155"/>
    <tableColumn id="9235" name="Columna9221" dataDxfId="23778" totalsRowDxfId="7154"/>
    <tableColumn id="9236" name="Columna9222" dataDxfId="23777" totalsRowDxfId="7153"/>
    <tableColumn id="9237" name="Columna9223" dataDxfId="23776" totalsRowDxfId="7152"/>
    <tableColumn id="9238" name="Columna9224" dataDxfId="23775" totalsRowDxfId="7151"/>
    <tableColumn id="9239" name="Columna9225" dataDxfId="23774" totalsRowDxfId="7150"/>
    <tableColumn id="9240" name="Columna9226" dataDxfId="23773" totalsRowDxfId="7149"/>
    <tableColumn id="9241" name="Columna9227" dataDxfId="23772" totalsRowDxfId="7148"/>
    <tableColumn id="9242" name="Columna9228" dataDxfId="23771" totalsRowDxfId="7147"/>
    <tableColumn id="9243" name="Columna9229" dataDxfId="23770" totalsRowDxfId="7146"/>
    <tableColumn id="9244" name="Columna9230" dataDxfId="23769" totalsRowDxfId="7145"/>
    <tableColumn id="9245" name="Columna9231" dataDxfId="23768" totalsRowDxfId="7144"/>
    <tableColumn id="9246" name="Columna9232" dataDxfId="23767" totalsRowDxfId="7143"/>
    <tableColumn id="9247" name="Columna9233" dataDxfId="23766" totalsRowDxfId="7142"/>
    <tableColumn id="9248" name="Columna9234" dataDxfId="23765" totalsRowDxfId="7141"/>
    <tableColumn id="9249" name="Columna9235" dataDxfId="23764" totalsRowDxfId="7140"/>
    <tableColumn id="9250" name="Columna9236" dataDxfId="23763" totalsRowDxfId="7139"/>
    <tableColumn id="9251" name="Columna9237" dataDxfId="23762" totalsRowDxfId="7138"/>
    <tableColumn id="9252" name="Columna9238" dataDxfId="23761" totalsRowDxfId="7137"/>
    <tableColumn id="9253" name="Columna9239" dataDxfId="23760" totalsRowDxfId="7136"/>
    <tableColumn id="9254" name="Columna9240" dataDxfId="23759" totalsRowDxfId="7135"/>
    <tableColumn id="9255" name="Columna9241" dataDxfId="23758" totalsRowDxfId="7134"/>
    <tableColumn id="9256" name="Columna9242" dataDxfId="23757" totalsRowDxfId="7133"/>
    <tableColumn id="9257" name="Columna9243" dataDxfId="23756" totalsRowDxfId="7132"/>
    <tableColumn id="9258" name="Columna9244" dataDxfId="23755" totalsRowDxfId="7131"/>
    <tableColumn id="9259" name="Columna9245" dataDxfId="23754" totalsRowDxfId="7130"/>
    <tableColumn id="9260" name="Columna9246" dataDxfId="23753" totalsRowDxfId="7129"/>
    <tableColumn id="9261" name="Columna9247" dataDxfId="23752" totalsRowDxfId="7128"/>
    <tableColumn id="9262" name="Columna9248" dataDxfId="23751" totalsRowDxfId="7127"/>
    <tableColumn id="9263" name="Columna9249" dataDxfId="23750" totalsRowDxfId="7126"/>
    <tableColumn id="9264" name="Columna9250" dataDxfId="23749" totalsRowDxfId="7125"/>
    <tableColumn id="9265" name="Columna9251" dataDxfId="23748" totalsRowDxfId="7124"/>
    <tableColumn id="9266" name="Columna9252" dataDxfId="23747" totalsRowDxfId="7123"/>
    <tableColumn id="9267" name="Columna9253" dataDxfId="23746" totalsRowDxfId="7122"/>
    <tableColumn id="9268" name="Columna9254" dataDxfId="23745" totalsRowDxfId="7121"/>
    <tableColumn id="9269" name="Columna9255" dataDxfId="23744" totalsRowDxfId="7120"/>
    <tableColumn id="9270" name="Columna9256" dataDxfId="23743" totalsRowDxfId="7119"/>
    <tableColumn id="9271" name="Columna9257" dataDxfId="23742" totalsRowDxfId="7118"/>
    <tableColumn id="9272" name="Columna9258" dataDxfId="23741" totalsRowDxfId="7117"/>
    <tableColumn id="9273" name="Columna9259" dataDxfId="23740" totalsRowDxfId="7116"/>
    <tableColumn id="9274" name="Columna9260" dataDxfId="23739" totalsRowDxfId="7115"/>
    <tableColumn id="9275" name="Columna9261" dataDxfId="23738" totalsRowDxfId="7114"/>
    <tableColumn id="9276" name="Columna9262" dataDxfId="23737" totalsRowDxfId="7113"/>
    <tableColumn id="9277" name="Columna9263" dataDxfId="23736" totalsRowDxfId="7112"/>
    <tableColumn id="9278" name="Columna9264" dataDxfId="23735" totalsRowDxfId="7111"/>
    <tableColumn id="9279" name="Columna9265" dataDxfId="23734" totalsRowDxfId="7110"/>
    <tableColumn id="9280" name="Columna9266" dataDxfId="23733" totalsRowDxfId="7109"/>
    <tableColumn id="9281" name="Columna9267" dataDxfId="23732" totalsRowDxfId="7108"/>
    <tableColumn id="9282" name="Columna9268" dataDxfId="23731" totalsRowDxfId="7107"/>
    <tableColumn id="9283" name="Columna9269" dataDxfId="23730" totalsRowDxfId="7106"/>
    <tableColumn id="9284" name="Columna9270" dataDxfId="23729" totalsRowDxfId="7105"/>
    <tableColumn id="9285" name="Columna9271" dataDxfId="23728" totalsRowDxfId="7104"/>
    <tableColumn id="9286" name="Columna9272" dataDxfId="23727" totalsRowDxfId="7103"/>
    <tableColumn id="9287" name="Columna9273" dataDxfId="23726" totalsRowDxfId="7102"/>
    <tableColumn id="9288" name="Columna9274" dataDxfId="23725" totalsRowDxfId="7101"/>
    <tableColumn id="9289" name="Columna9275" dataDxfId="23724" totalsRowDxfId="7100"/>
    <tableColumn id="9290" name="Columna9276" dataDxfId="23723" totalsRowDxfId="7099"/>
    <tableColumn id="9291" name="Columna9277" dataDxfId="23722" totalsRowDxfId="7098"/>
    <tableColumn id="9292" name="Columna9278" dataDxfId="23721" totalsRowDxfId="7097"/>
    <tableColumn id="9293" name="Columna9279" dataDxfId="23720" totalsRowDxfId="7096"/>
    <tableColumn id="9294" name="Columna9280" dataDxfId="23719" totalsRowDxfId="7095"/>
    <tableColumn id="9295" name="Columna9281" dataDxfId="23718" totalsRowDxfId="7094"/>
    <tableColumn id="9296" name="Columna9282" dataDxfId="23717" totalsRowDxfId="7093"/>
    <tableColumn id="9297" name="Columna9283" dataDxfId="23716" totalsRowDxfId="7092"/>
    <tableColumn id="9298" name="Columna9284" dataDxfId="23715" totalsRowDxfId="7091"/>
    <tableColumn id="9299" name="Columna9285" dataDxfId="23714" totalsRowDxfId="7090"/>
    <tableColumn id="9300" name="Columna9286" dataDxfId="23713" totalsRowDxfId="7089"/>
    <tableColumn id="9301" name="Columna9287" dataDxfId="23712" totalsRowDxfId="7088"/>
    <tableColumn id="9302" name="Columna9288" dataDxfId="23711" totalsRowDxfId="7087"/>
    <tableColumn id="9303" name="Columna9289" dataDxfId="23710" totalsRowDxfId="7086"/>
    <tableColumn id="9304" name="Columna9290" dataDxfId="23709" totalsRowDxfId="7085"/>
    <tableColumn id="9305" name="Columna9291" dataDxfId="23708" totalsRowDxfId="7084"/>
    <tableColumn id="9306" name="Columna9292" dataDxfId="23707" totalsRowDxfId="7083"/>
    <tableColumn id="9307" name="Columna9293" dataDxfId="23706" totalsRowDxfId="7082"/>
    <tableColumn id="9308" name="Columna9294" dataDxfId="23705" totalsRowDxfId="7081"/>
    <tableColumn id="9309" name="Columna9295" dataDxfId="23704" totalsRowDxfId="7080"/>
    <tableColumn id="9310" name="Columna9296" dataDxfId="23703" totalsRowDxfId="7079"/>
    <tableColumn id="9311" name="Columna9297" dataDxfId="23702" totalsRowDxfId="7078"/>
    <tableColumn id="9312" name="Columna9298" dataDxfId="23701" totalsRowDxfId="7077"/>
    <tableColumn id="9313" name="Columna9299" dataDxfId="23700" totalsRowDxfId="7076"/>
    <tableColumn id="9314" name="Columna9300" dataDxfId="23699" totalsRowDxfId="7075"/>
    <tableColumn id="9315" name="Columna9301" dataDxfId="23698" totalsRowDxfId="7074"/>
    <tableColumn id="9316" name="Columna9302" dataDxfId="23697" totalsRowDxfId="7073"/>
    <tableColumn id="9317" name="Columna9303" dataDxfId="23696" totalsRowDxfId="7072"/>
    <tableColumn id="9318" name="Columna9304" dataDxfId="23695" totalsRowDxfId="7071"/>
    <tableColumn id="9319" name="Columna9305" dataDxfId="23694" totalsRowDxfId="7070"/>
    <tableColumn id="9320" name="Columna9306" dataDxfId="23693" totalsRowDxfId="7069"/>
    <tableColumn id="9321" name="Columna9307" dataDxfId="23692" totalsRowDxfId="7068"/>
    <tableColumn id="9322" name="Columna9308" dataDxfId="23691" totalsRowDxfId="7067"/>
    <tableColumn id="9323" name="Columna9309" dataDxfId="23690" totalsRowDxfId="7066"/>
    <tableColumn id="9324" name="Columna9310" dataDxfId="23689" totalsRowDxfId="7065"/>
    <tableColumn id="9325" name="Columna9311" dataDxfId="23688" totalsRowDxfId="7064"/>
    <tableColumn id="9326" name="Columna9312" dataDxfId="23687" totalsRowDxfId="7063"/>
    <tableColumn id="9327" name="Columna9313" dataDxfId="23686" totalsRowDxfId="7062"/>
    <tableColumn id="9328" name="Columna9314" dataDxfId="23685" totalsRowDxfId="7061"/>
    <tableColumn id="9329" name="Columna9315" dataDxfId="23684" totalsRowDxfId="7060"/>
    <tableColumn id="9330" name="Columna9316" dataDxfId="23683" totalsRowDxfId="7059"/>
    <tableColumn id="9331" name="Columna9317" dataDxfId="23682" totalsRowDxfId="7058"/>
    <tableColumn id="9332" name="Columna9318" dataDxfId="23681" totalsRowDxfId="7057"/>
    <tableColumn id="9333" name="Columna9319" dataDxfId="23680" totalsRowDxfId="7056"/>
    <tableColumn id="9334" name="Columna9320" dataDxfId="23679" totalsRowDxfId="7055"/>
    <tableColumn id="9335" name="Columna9321" dataDxfId="23678" totalsRowDxfId="7054"/>
    <tableColumn id="9336" name="Columna9322" dataDxfId="23677" totalsRowDxfId="7053"/>
    <tableColumn id="9337" name="Columna9323" dataDxfId="23676" totalsRowDxfId="7052"/>
    <tableColumn id="9338" name="Columna9324" dataDxfId="23675" totalsRowDxfId="7051"/>
    <tableColumn id="9339" name="Columna9325" dataDxfId="23674" totalsRowDxfId="7050"/>
    <tableColumn id="9340" name="Columna9326" dataDxfId="23673" totalsRowDxfId="7049"/>
    <tableColumn id="9341" name="Columna9327" dataDxfId="23672" totalsRowDxfId="7048"/>
    <tableColumn id="9342" name="Columna9328" dataDxfId="23671" totalsRowDxfId="7047"/>
    <tableColumn id="9343" name="Columna9329" dataDxfId="23670" totalsRowDxfId="7046"/>
    <tableColumn id="9344" name="Columna9330" dataDxfId="23669" totalsRowDxfId="7045"/>
    <tableColumn id="9345" name="Columna9331" dataDxfId="23668" totalsRowDxfId="7044"/>
    <tableColumn id="9346" name="Columna9332" dataDxfId="23667" totalsRowDxfId="7043"/>
    <tableColumn id="9347" name="Columna9333" dataDxfId="23666" totalsRowDxfId="7042"/>
    <tableColumn id="9348" name="Columna9334" dataDxfId="23665" totalsRowDxfId="7041"/>
    <tableColumn id="9349" name="Columna9335" dataDxfId="23664" totalsRowDxfId="7040"/>
    <tableColumn id="9350" name="Columna9336" dataDxfId="23663" totalsRowDxfId="7039"/>
    <tableColumn id="9351" name="Columna9337" dataDxfId="23662" totalsRowDxfId="7038"/>
    <tableColumn id="9352" name="Columna9338" dataDxfId="23661" totalsRowDxfId="7037"/>
    <tableColumn id="9353" name="Columna9339" dataDxfId="23660" totalsRowDxfId="7036"/>
    <tableColumn id="9354" name="Columna9340" dataDxfId="23659" totalsRowDxfId="7035"/>
    <tableColumn id="9355" name="Columna9341" dataDxfId="23658" totalsRowDxfId="7034"/>
    <tableColumn id="9356" name="Columna9342" dataDxfId="23657" totalsRowDxfId="7033"/>
    <tableColumn id="9357" name="Columna9343" dataDxfId="23656" totalsRowDxfId="7032"/>
    <tableColumn id="9358" name="Columna9344" dataDxfId="23655" totalsRowDxfId="7031"/>
    <tableColumn id="9359" name="Columna9345" dataDxfId="23654" totalsRowDxfId="7030"/>
    <tableColumn id="9360" name="Columna9346" dataDxfId="23653" totalsRowDxfId="7029"/>
    <tableColumn id="9361" name="Columna9347" dataDxfId="23652" totalsRowDxfId="7028"/>
    <tableColumn id="9362" name="Columna9348" dataDxfId="23651" totalsRowDxfId="7027"/>
    <tableColumn id="9363" name="Columna9349" dataDxfId="23650" totalsRowDxfId="7026"/>
    <tableColumn id="9364" name="Columna9350" dataDxfId="23649" totalsRowDxfId="7025"/>
    <tableColumn id="9365" name="Columna9351" dataDxfId="23648" totalsRowDxfId="7024"/>
    <tableColumn id="9366" name="Columna9352" dataDxfId="23647" totalsRowDxfId="7023"/>
    <tableColumn id="9367" name="Columna9353" dataDxfId="23646" totalsRowDxfId="7022"/>
    <tableColumn id="9368" name="Columna9354" dataDxfId="23645" totalsRowDxfId="7021"/>
    <tableColumn id="9369" name="Columna9355" dataDxfId="23644" totalsRowDxfId="7020"/>
    <tableColumn id="9370" name="Columna9356" dataDxfId="23643" totalsRowDxfId="7019"/>
    <tableColumn id="9371" name="Columna9357" dataDxfId="23642" totalsRowDxfId="7018"/>
    <tableColumn id="9372" name="Columna9358" dataDxfId="23641" totalsRowDxfId="7017"/>
    <tableColumn id="9373" name="Columna9359" dataDxfId="23640" totalsRowDxfId="7016"/>
    <tableColumn id="9374" name="Columna9360" dataDxfId="23639" totalsRowDxfId="7015"/>
    <tableColumn id="9375" name="Columna9361" dataDxfId="23638" totalsRowDxfId="7014"/>
    <tableColumn id="9376" name="Columna9362" dataDxfId="23637" totalsRowDxfId="7013"/>
    <tableColumn id="9377" name="Columna9363" dataDxfId="23636" totalsRowDxfId="7012"/>
    <tableColumn id="9378" name="Columna9364" dataDxfId="23635" totalsRowDxfId="7011"/>
    <tableColumn id="9379" name="Columna9365" dataDxfId="23634" totalsRowDxfId="7010"/>
    <tableColumn id="9380" name="Columna9366" dataDxfId="23633" totalsRowDxfId="7009"/>
    <tableColumn id="9381" name="Columna9367" dataDxfId="23632" totalsRowDxfId="7008"/>
    <tableColumn id="9382" name="Columna9368" dataDxfId="23631" totalsRowDxfId="7007"/>
    <tableColumn id="9383" name="Columna9369" dataDxfId="23630" totalsRowDxfId="7006"/>
    <tableColumn id="9384" name="Columna9370" dataDxfId="23629" totalsRowDxfId="7005"/>
    <tableColumn id="9385" name="Columna9371" dataDxfId="23628" totalsRowDxfId="7004"/>
    <tableColumn id="9386" name="Columna9372" dataDxfId="23627" totalsRowDxfId="7003"/>
    <tableColumn id="9387" name="Columna9373" dataDxfId="23626" totalsRowDxfId="7002"/>
    <tableColumn id="9388" name="Columna9374" dataDxfId="23625" totalsRowDxfId="7001"/>
    <tableColumn id="9389" name="Columna9375" dataDxfId="23624" totalsRowDxfId="7000"/>
    <tableColumn id="9390" name="Columna9376" dataDxfId="23623" totalsRowDxfId="6999"/>
    <tableColumn id="9391" name="Columna9377" dataDxfId="23622" totalsRowDxfId="6998"/>
    <tableColumn id="9392" name="Columna9378" dataDxfId="23621" totalsRowDxfId="6997"/>
    <tableColumn id="9393" name="Columna9379" dataDxfId="23620" totalsRowDxfId="6996"/>
    <tableColumn id="9394" name="Columna9380" dataDxfId="23619" totalsRowDxfId="6995"/>
    <tableColumn id="9395" name="Columna9381" dataDxfId="23618" totalsRowDxfId="6994"/>
    <tableColumn id="9396" name="Columna9382" dataDxfId="23617" totalsRowDxfId="6993"/>
    <tableColumn id="9397" name="Columna9383" dataDxfId="23616" totalsRowDxfId="6992"/>
    <tableColumn id="9398" name="Columna9384" dataDxfId="23615" totalsRowDxfId="6991"/>
    <tableColumn id="9399" name="Columna9385" dataDxfId="23614" totalsRowDxfId="6990"/>
    <tableColumn id="9400" name="Columna9386" dataDxfId="23613" totalsRowDxfId="6989"/>
    <tableColumn id="9401" name="Columna9387" dataDxfId="23612" totalsRowDxfId="6988"/>
    <tableColumn id="9402" name="Columna9388" dataDxfId="23611" totalsRowDxfId="6987"/>
    <tableColumn id="9403" name="Columna9389" dataDxfId="23610" totalsRowDxfId="6986"/>
    <tableColumn id="9404" name="Columna9390" dataDxfId="23609" totalsRowDxfId="6985"/>
    <tableColumn id="9405" name="Columna9391" dataDxfId="23608" totalsRowDxfId="6984"/>
    <tableColumn id="9406" name="Columna9392" dataDxfId="23607" totalsRowDxfId="6983"/>
    <tableColumn id="9407" name="Columna9393" dataDxfId="23606" totalsRowDxfId="6982"/>
    <tableColumn id="9408" name="Columna9394" dataDxfId="23605" totalsRowDxfId="6981"/>
    <tableColumn id="9409" name="Columna9395" dataDxfId="23604" totalsRowDxfId="6980"/>
    <tableColumn id="9410" name="Columna9396" dataDxfId="23603" totalsRowDxfId="6979"/>
    <tableColumn id="9411" name="Columna9397" dataDxfId="23602" totalsRowDxfId="6978"/>
    <tableColumn id="9412" name="Columna9398" dataDxfId="23601" totalsRowDxfId="6977"/>
    <tableColumn id="9413" name="Columna9399" dataDxfId="23600" totalsRowDxfId="6976"/>
    <tableColumn id="9414" name="Columna9400" dataDxfId="23599" totalsRowDxfId="6975"/>
    <tableColumn id="9415" name="Columna9401" dataDxfId="23598" totalsRowDxfId="6974"/>
    <tableColumn id="9416" name="Columna9402" dataDxfId="23597" totalsRowDxfId="6973"/>
    <tableColumn id="9417" name="Columna9403" dataDxfId="23596" totalsRowDxfId="6972"/>
    <tableColumn id="9418" name="Columna9404" dataDxfId="23595" totalsRowDxfId="6971"/>
    <tableColumn id="9419" name="Columna9405" dataDxfId="23594" totalsRowDxfId="6970"/>
    <tableColumn id="9420" name="Columna9406" dataDxfId="23593" totalsRowDxfId="6969"/>
    <tableColumn id="9421" name="Columna9407" dataDxfId="23592" totalsRowDxfId="6968"/>
    <tableColumn id="9422" name="Columna9408" dataDxfId="23591" totalsRowDxfId="6967"/>
    <tableColumn id="9423" name="Columna9409" dataDxfId="23590" totalsRowDxfId="6966"/>
    <tableColumn id="9424" name="Columna9410" dataDxfId="23589" totalsRowDxfId="6965"/>
    <tableColumn id="9425" name="Columna9411" dataDxfId="23588" totalsRowDxfId="6964"/>
    <tableColumn id="9426" name="Columna9412" dataDxfId="23587" totalsRowDxfId="6963"/>
    <tableColumn id="9427" name="Columna9413" dataDxfId="23586" totalsRowDxfId="6962"/>
    <tableColumn id="9428" name="Columna9414" dataDxfId="23585" totalsRowDxfId="6961"/>
    <tableColumn id="9429" name="Columna9415" dataDxfId="23584" totalsRowDxfId="6960"/>
    <tableColumn id="9430" name="Columna9416" dataDxfId="23583" totalsRowDxfId="6959"/>
    <tableColumn id="9431" name="Columna9417" dataDxfId="23582" totalsRowDxfId="6958"/>
    <tableColumn id="9432" name="Columna9418" dataDxfId="23581" totalsRowDxfId="6957"/>
    <tableColumn id="9433" name="Columna9419" dataDxfId="23580" totalsRowDxfId="6956"/>
    <tableColumn id="9434" name="Columna9420" dataDxfId="23579" totalsRowDxfId="6955"/>
    <tableColumn id="9435" name="Columna9421" dataDxfId="23578" totalsRowDxfId="6954"/>
    <tableColumn id="9436" name="Columna9422" dataDxfId="23577" totalsRowDxfId="6953"/>
    <tableColumn id="9437" name="Columna9423" dataDxfId="23576" totalsRowDxfId="6952"/>
    <tableColumn id="9438" name="Columna9424" dataDxfId="23575" totalsRowDxfId="6951"/>
    <tableColumn id="9439" name="Columna9425" dataDxfId="23574" totalsRowDxfId="6950"/>
    <tableColumn id="9440" name="Columna9426" dataDxfId="23573" totalsRowDxfId="6949"/>
    <tableColumn id="9441" name="Columna9427" dataDxfId="23572" totalsRowDxfId="6948"/>
    <tableColumn id="9442" name="Columna9428" dataDxfId="23571" totalsRowDxfId="6947"/>
    <tableColumn id="9443" name="Columna9429" dataDxfId="23570" totalsRowDxfId="6946"/>
    <tableColumn id="9444" name="Columna9430" dataDxfId="23569" totalsRowDxfId="6945"/>
    <tableColumn id="9445" name="Columna9431" dataDxfId="23568" totalsRowDxfId="6944"/>
    <tableColumn id="9446" name="Columna9432" dataDxfId="23567" totalsRowDxfId="6943"/>
    <tableColumn id="9447" name="Columna9433" dataDxfId="23566" totalsRowDxfId="6942"/>
    <tableColumn id="9448" name="Columna9434" dataDxfId="23565" totalsRowDxfId="6941"/>
    <tableColumn id="9449" name="Columna9435" dataDxfId="23564" totalsRowDxfId="6940"/>
    <tableColumn id="9450" name="Columna9436" dataDxfId="23563" totalsRowDxfId="6939"/>
    <tableColumn id="9451" name="Columna9437" dataDxfId="23562" totalsRowDxfId="6938"/>
    <tableColumn id="9452" name="Columna9438" dataDxfId="23561" totalsRowDxfId="6937"/>
    <tableColumn id="9453" name="Columna9439" dataDxfId="23560" totalsRowDxfId="6936"/>
    <tableColumn id="9454" name="Columna9440" dataDxfId="23559" totalsRowDxfId="6935"/>
    <tableColumn id="9455" name="Columna9441" dataDxfId="23558" totalsRowDxfId="6934"/>
    <tableColumn id="9456" name="Columna9442" dataDxfId="23557" totalsRowDxfId="6933"/>
    <tableColumn id="9457" name="Columna9443" dataDxfId="23556" totalsRowDxfId="6932"/>
    <tableColumn id="9458" name="Columna9444" dataDxfId="23555" totalsRowDxfId="6931"/>
    <tableColumn id="9459" name="Columna9445" dataDxfId="23554" totalsRowDxfId="6930"/>
    <tableColumn id="9460" name="Columna9446" dataDxfId="23553" totalsRowDxfId="6929"/>
    <tableColumn id="9461" name="Columna9447" dataDxfId="23552" totalsRowDxfId="6928"/>
    <tableColumn id="9462" name="Columna9448" dataDxfId="23551" totalsRowDxfId="6927"/>
    <tableColumn id="9463" name="Columna9449" dataDxfId="23550" totalsRowDxfId="6926"/>
    <tableColumn id="9464" name="Columna9450" dataDxfId="23549" totalsRowDxfId="6925"/>
    <tableColumn id="9465" name="Columna9451" dataDxfId="23548" totalsRowDxfId="6924"/>
    <tableColumn id="9466" name="Columna9452" dataDxfId="23547" totalsRowDxfId="6923"/>
    <tableColumn id="9467" name="Columna9453" dataDxfId="23546" totalsRowDxfId="6922"/>
    <tableColumn id="9468" name="Columna9454" dataDxfId="23545" totalsRowDxfId="6921"/>
    <tableColumn id="9469" name="Columna9455" dataDxfId="23544" totalsRowDxfId="6920"/>
    <tableColumn id="9470" name="Columna9456" dataDxfId="23543" totalsRowDxfId="6919"/>
    <tableColumn id="9471" name="Columna9457" dataDxfId="23542" totalsRowDxfId="6918"/>
    <tableColumn id="9472" name="Columna9458" dataDxfId="23541" totalsRowDxfId="6917"/>
    <tableColumn id="9473" name="Columna9459" dataDxfId="23540" totalsRowDxfId="6916"/>
    <tableColumn id="9474" name="Columna9460" dataDxfId="23539" totalsRowDxfId="6915"/>
    <tableColumn id="9475" name="Columna9461" dataDxfId="23538" totalsRowDxfId="6914"/>
    <tableColumn id="9476" name="Columna9462" dataDxfId="23537" totalsRowDxfId="6913"/>
    <tableColumn id="9477" name="Columna9463" dataDxfId="23536" totalsRowDxfId="6912"/>
    <tableColumn id="9478" name="Columna9464" dataDxfId="23535" totalsRowDxfId="6911"/>
    <tableColumn id="9479" name="Columna9465" dataDxfId="23534" totalsRowDxfId="6910"/>
    <tableColumn id="9480" name="Columna9466" dataDxfId="23533" totalsRowDxfId="6909"/>
    <tableColumn id="9481" name="Columna9467" dataDxfId="23532" totalsRowDxfId="6908"/>
    <tableColumn id="9482" name="Columna9468" dataDxfId="23531" totalsRowDxfId="6907"/>
    <tableColumn id="9483" name="Columna9469" dataDxfId="23530" totalsRowDxfId="6906"/>
    <tableColumn id="9484" name="Columna9470" dataDxfId="23529" totalsRowDxfId="6905"/>
    <tableColumn id="9485" name="Columna9471" dataDxfId="23528" totalsRowDxfId="6904"/>
    <tableColumn id="9486" name="Columna9472" dataDxfId="23527" totalsRowDxfId="6903"/>
    <tableColumn id="9487" name="Columna9473" dataDxfId="23526" totalsRowDxfId="6902"/>
    <tableColumn id="9488" name="Columna9474" dataDxfId="23525" totalsRowDxfId="6901"/>
    <tableColumn id="9489" name="Columna9475" dataDxfId="23524" totalsRowDxfId="6900"/>
    <tableColumn id="9490" name="Columna9476" dataDxfId="23523" totalsRowDxfId="6899"/>
    <tableColumn id="9491" name="Columna9477" dataDxfId="23522" totalsRowDxfId="6898"/>
    <tableColumn id="9492" name="Columna9478" dataDxfId="23521" totalsRowDxfId="6897"/>
    <tableColumn id="9493" name="Columna9479" dataDxfId="23520" totalsRowDxfId="6896"/>
    <tableColumn id="9494" name="Columna9480" dataDxfId="23519" totalsRowDxfId="6895"/>
    <tableColumn id="9495" name="Columna9481" dataDxfId="23518" totalsRowDxfId="6894"/>
    <tableColumn id="9496" name="Columna9482" dataDxfId="23517" totalsRowDxfId="6893"/>
    <tableColumn id="9497" name="Columna9483" dataDxfId="23516" totalsRowDxfId="6892"/>
    <tableColumn id="9498" name="Columna9484" dataDxfId="23515" totalsRowDxfId="6891"/>
    <tableColumn id="9499" name="Columna9485" dataDxfId="23514" totalsRowDxfId="6890"/>
    <tableColumn id="9500" name="Columna9486" dataDxfId="23513" totalsRowDxfId="6889"/>
    <tableColumn id="9501" name="Columna9487" dataDxfId="23512" totalsRowDxfId="6888"/>
    <tableColumn id="9502" name="Columna9488" dataDxfId="23511" totalsRowDxfId="6887"/>
    <tableColumn id="9503" name="Columna9489" dataDxfId="23510" totalsRowDxfId="6886"/>
    <tableColumn id="9504" name="Columna9490" dataDxfId="23509" totalsRowDxfId="6885"/>
    <tableColumn id="9505" name="Columna9491" dataDxfId="23508" totalsRowDxfId="6884"/>
    <tableColumn id="9506" name="Columna9492" dataDxfId="23507" totalsRowDxfId="6883"/>
    <tableColumn id="9507" name="Columna9493" dataDxfId="23506" totalsRowDxfId="6882"/>
    <tableColumn id="9508" name="Columna9494" dataDxfId="23505" totalsRowDxfId="6881"/>
    <tableColumn id="9509" name="Columna9495" dataDxfId="23504" totalsRowDxfId="6880"/>
    <tableColumn id="9510" name="Columna9496" dataDxfId="23503" totalsRowDxfId="6879"/>
    <tableColumn id="9511" name="Columna9497" dataDxfId="23502" totalsRowDxfId="6878"/>
    <tableColumn id="9512" name="Columna9498" dataDxfId="23501" totalsRowDxfId="6877"/>
    <tableColumn id="9513" name="Columna9499" dataDxfId="23500" totalsRowDxfId="6876"/>
    <tableColumn id="9514" name="Columna9500" dataDxfId="23499" totalsRowDxfId="6875"/>
    <tableColumn id="9515" name="Columna9501" dataDxfId="23498" totalsRowDxfId="6874"/>
    <tableColumn id="9516" name="Columna9502" dataDxfId="23497" totalsRowDxfId="6873"/>
    <tableColumn id="9517" name="Columna9503" dataDxfId="23496" totalsRowDxfId="6872"/>
    <tableColumn id="9518" name="Columna9504" dataDxfId="23495" totalsRowDxfId="6871"/>
    <tableColumn id="9519" name="Columna9505" dataDxfId="23494" totalsRowDxfId="6870"/>
    <tableColumn id="9520" name="Columna9506" dataDxfId="23493" totalsRowDxfId="6869"/>
    <tableColumn id="9521" name="Columna9507" dataDxfId="23492" totalsRowDxfId="6868"/>
    <tableColumn id="9522" name="Columna9508" dataDxfId="23491" totalsRowDxfId="6867"/>
    <tableColumn id="9523" name="Columna9509" dataDxfId="23490" totalsRowDxfId="6866"/>
    <tableColumn id="9524" name="Columna9510" dataDxfId="23489" totalsRowDxfId="6865"/>
    <tableColumn id="9525" name="Columna9511" dataDxfId="23488" totalsRowDxfId="6864"/>
    <tableColumn id="9526" name="Columna9512" dataDxfId="23487" totalsRowDxfId="6863"/>
    <tableColumn id="9527" name="Columna9513" dataDxfId="23486" totalsRowDxfId="6862"/>
    <tableColumn id="9528" name="Columna9514" dataDxfId="23485" totalsRowDxfId="6861"/>
    <tableColumn id="9529" name="Columna9515" dataDxfId="23484" totalsRowDxfId="6860"/>
    <tableColumn id="9530" name="Columna9516" dataDxfId="23483" totalsRowDxfId="6859"/>
    <tableColumn id="9531" name="Columna9517" dataDxfId="23482" totalsRowDxfId="6858"/>
    <tableColumn id="9532" name="Columna9518" dataDxfId="23481" totalsRowDxfId="6857"/>
    <tableColumn id="9533" name="Columna9519" dataDxfId="23480" totalsRowDxfId="6856"/>
    <tableColumn id="9534" name="Columna9520" dataDxfId="23479" totalsRowDxfId="6855"/>
    <tableColumn id="9535" name="Columna9521" dataDxfId="23478" totalsRowDxfId="6854"/>
    <tableColumn id="9536" name="Columna9522" dataDxfId="23477" totalsRowDxfId="6853"/>
    <tableColumn id="9537" name="Columna9523" dataDxfId="23476" totalsRowDxfId="6852"/>
    <tableColumn id="9538" name="Columna9524" dataDxfId="23475" totalsRowDxfId="6851"/>
    <tableColumn id="9539" name="Columna9525" dataDxfId="23474" totalsRowDxfId="6850"/>
    <tableColumn id="9540" name="Columna9526" dataDxfId="23473" totalsRowDxfId="6849"/>
    <tableColumn id="9541" name="Columna9527" dataDxfId="23472" totalsRowDxfId="6848"/>
    <tableColumn id="9542" name="Columna9528" dataDxfId="23471" totalsRowDxfId="6847"/>
    <tableColumn id="9543" name="Columna9529" dataDxfId="23470" totalsRowDxfId="6846"/>
    <tableColumn id="9544" name="Columna9530" dataDxfId="23469" totalsRowDxfId="6845"/>
    <tableColumn id="9545" name="Columna9531" dataDxfId="23468" totalsRowDxfId="6844"/>
    <tableColumn id="9546" name="Columna9532" dataDxfId="23467" totalsRowDxfId="6843"/>
    <tableColumn id="9547" name="Columna9533" dataDxfId="23466" totalsRowDxfId="6842"/>
    <tableColumn id="9548" name="Columna9534" dataDxfId="23465" totalsRowDxfId="6841"/>
    <tableColumn id="9549" name="Columna9535" dataDxfId="23464" totalsRowDxfId="6840"/>
    <tableColumn id="9550" name="Columna9536" dataDxfId="23463" totalsRowDxfId="6839"/>
    <tableColumn id="9551" name="Columna9537" dataDxfId="23462" totalsRowDxfId="6838"/>
    <tableColumn id="9552" name="Columna9538" dataDxfId="23461" totalsRowDxfId="6837"/>
    <tableColumn id="9553" name="Columna9539" dataDxfId="23460" totalsRowDxfId="6836"/>
    <tableColumn id="9554" name="Columna9540" dataDxfId="23459" totalsRowDxfId="6835"/>
    <tableColumn id="9555" name="Columna9541" dataDxfId="23458" totalsRowDxfId="6834"/>
    <tableColumn id="9556" name="Columna9542" dataDxfId="23457" totalsRowDxfId="6833"/>
    <tableColumn id="9557" name="Columna9543" dataDxfId="23456" totalsRowDxfId="6832"/>
    <tableColumn id="9558" name="Columna9544" dataDxfId="23455" totalsRowDxfId="6831"/>
    <tableColumn id="9559" name="Columna9545" dataDxfId="23454" totalsRowDxfId="6830"/>
    <tableColumn id="9560" name="Columna9546" dataDxfId="23453" totalsRowDxfId="6829"/>
    <tableColumn id="9561" name="Columna9547" dataDxfId="23452" totalsRowDxfId="6828"/>
    <tableColumn id="9562" name="Columna9548" dataDxfId="23451" totalsRowDxfId="6827"/>
    <tableColumn id="9563" name="Columna9549" dataDxfId="23450" totalsRowDxfId="6826"/>
    <tableColumn id="9564" name="Columna9550" dataDxfId="23449" totalsRowDxfId="6825"/>
    <tableColumn id="9565" name="Columna9551" dataDxfId="23448" totalsRowDxfId="6824"/>
    <tableColumn id="9566" name="Columna9552" dataDxfId="23447" totalsRowDxfId="6823"/>
    <tableColumn id="9567" name="Columna9553" dataDxfId="23446" totalsRowDxfId="6822"/>
    <tableColumn id="9568" name="Columna9554" dataDxfId="23445" totalsRowDxfId="6821"/>
    <tableColumn id="9569" name="Columna9555" dataDxfId="23444" totalsRowDxfId="6820"/>
    <tableColumn id="9570" name="Columna9556" dataDxfId="23443" totalsRowDxfId="6819"/>
    <tableColumn id="9571" name="Columna9557" dataDxfId="23442" totalsRowDxfId="6818"/>
    <tableColumn id="9572" name="Columna9558" dataDxfId="23441" totalsRowDxfId="6817"/>
    <tableColumn id="9573" name="Columna9559" dataDxfId="23440" totalsRowDxfId="6816"/>
    <tableColumn id="9574" name="Columna9560" dataDxfId="23439" totalsRowDxfId="6815"/>
    <tableColumn id="9575" name="Columna9561" dataDxfId="23438" totalsRowDxfId="6814"/>
    <tableColumn id="9576" name="Columna9562" dataDxfId="23437" totalsRowDxfId="6813"/>
    <tableColumn id="9577" name="Columna9563" dataDxfId="23436" totalsRowDxfId="6812"/>
    <tableColumn id="9578" name="Columna9564" dataDxfId="23435" totalsRowDxfId="6811"/>
    <tableColumn id="9579" name="Columna9565" dataDxfId="23434" totalsRowDxfId="6810"/>
    <tableColumn id="9580" name="Columna9566" dataDxfId="23433" totalsRowDxfId="6809"/>
    <tableColumn id="9581" name="Columna9567" dataDxfId="23432" totalsRowDxfId="6808"/>
    <tableColumn id="9582" name="Columna9568" dataDxfId="23431" totalsRowDxfId="6807"/>
    <tableColumn id="9583" name="Columna9569" dataDxfId="23430" totalsRowDxfId="6806"/>
    <tableColumn id="9584" name="Columna9570" dataDxfId="23429" totalsRowDxfId="6805"/>
    <tableColumn id="9585" name="Columna9571" dataDxfId="23428" totalsRowDxfId="6804"/>
    <tableColumn id="9586" name="Columna9572" dataDxfId="23427" totalsRowDxfId="6803"/>
    <tableColumn id="9587" name="Columna9573" dataDxfId="23426" totalsRowDxfId="6802"/>
    <tableColumn id="9588" name="Columna9574" dataDxfId="23425" totalsRowDxfId="6801"/>
    <tableColumn id="9589" name="Columna9575" dataDxfId="23424" totalsRowDxfId="6800"/>
    <tableColumn id="9590" name="Columna9576" dataDxfId="23423" totalsRowDxfId="6799"/>
    <tableColumn id="9591" name="Columna9577" dataDxfId="23422" totalsRowDxfId="6798"/>
    <tableColumn id="9592" name="Columna9578" dataDxfId="23421" totalsRowDxfId="6797"/>
    <tableColumn id="9593" name="Columna9579" dataDxfId="23420" totalsRowDxfId="6796"/>
    <tableColumn id="9594" name="Columna9580" dataDxfId="23419" totalsRowDxfId="6795"/>
    <tableColumn id="9595" name="Columna9581" dataDxfId="23418" totalsRowDxfId="6794"/>
    <tableColumn id="9596" name="Columna9582" dataDxfId="23417" totalsRowDxfId="6793"/>
    <tableColumn id="9597" name="Columna9583" dataDxfId="23416" totalsRowDxfId="6792"/>
    <tableColumn id="9598" name="Columna9584" dataDxfId="23415" totalsRowDxfId="6791"/>
    <tableColumn id="9599" name="Columna9585" dataDxfId="23414" totalsRowDxfId="6790"/>
    <tableColumn id="9600" name="Columna9586" dataDxfId="23413" totalsRowDxfId="6789"/>
    <tableColumn id="9601" name="Columna9587" dataDxfId="23412" totalsRowDxfId="6788"/>
    <tableColumn id="9602" name="Columna9588" dataDxfId="23411" totalsRowDxfId="6787"/>
    <tableColumn id="9603" name="Columna9589" dataDxfId="23410" totalsRowDxfId="6786"/>
    <tableColumn id="9604" name="Columna9590" dataDxfId="23409" totalsRowDxfId="6785"/>
    <tableColumn id="9605" name="Columna9591" dataDxfId="23408" totalsRowDxfId="6784"/>
    <tableColumn id="9606" name="Columna9592" dataDxfId="23407" totalsRowDxfId="6783"/>
    <tableColumn id="9607" name="Columna9593" dataDxfId="23406" totalsRowDxfId="6782"/>
    <tableColumn id="9608" name="Columna9594" dataDxfId="23405" totalsRowDxfId="6781"/>
    <tableColumn id="9609" name="Columna9595" dataDxfId="23404" totalsRowDxfId="6780"/>
    <tableColumn id="9610" name="Columna9596" dataDxfId="23403" totalsRowDxfId="6779"/>
    <tableColumn id="9611" name="Columna9597" dataDxfId="23402" totalsRowDxfId="6778"/>
    <tableColumn id="9612" name="Columna9598" dataDxfId="23401" totalsRowDxfId="6777"/>
    <tableColumn id="9613" name="Columna9599" dataDxfId="23400" totalsRowDxfId="6776"/>
    <tableColumn id="9614" name="Columna9600" dataDxfId="23399" totalsRowDxfId="6775"/>
    <tableColumn id="9615" name="Columna9601" dataDxfId="23398" totalsRowDxfId="6774"/>
    <tableColumn id="9616" name="Columna9602" dataDxfId="23397" totalsRowDxfId="6773"/>
    <tableColumn id="9617" name="Columna9603" dataDxfId="23396" totalsRowDxfId="6772"/>
    <tableColumn id="9618" name="Columna9604" dataDxfId="23395" totalsRowDxfId="6771"/>
    <tableColumn id="9619" name="Columna9605" dataDxfId="23394" totalsRowDxfId="6770"/>
    <tableColumn id="9620" name="Columna9606" dataDxfId="23393" totalsRowDxfId="6769"/>
    <tableColumn id="9621" name="Columna9607" dataDxfId="23392" totalsRowDxfId="6768"/>
    <tableColumn id="9622" name="Columna9608" dataDxfId="23391" totalsRowDxfId="6767"/>
    <tableColumn id="9623" name="Columna9609" dataDxfId="23390" totalsRowDxfId="6766"/>
    <tableColumn id="9624" name="Columna9610" dataDxfId="23389" totalsRowDxfId="6765"/>
    <tableColumn id="9625" name="Columna9611" dataDxfId="23388" totalsRowDxfId="6764"/>
    <tableColumn id="9626" name="Columna9612" dataDxfId="23387" totalsRowDxfId="6763"/>
    <tableColumn id="9627" name="Columna9613" dataDxfId="23386" totalsRowDxfId="6762"/>
    <tableColumn id="9628" name="Columna9614" dataDxfId="23385" totalsRowDxfId="6761"/>
    <tableColumn id="9629" name="Columna9615" dataDxfId="23384" totalsRowDxfId="6760"/>
    <tableColumn id="9630" name="Columna9616" dataDxfId="23383" totalsRowDxfId="6759"/>
    <tableColumn id="9631" name="Columna9617" dataDxfId="23382" totalsRowDxfId="6758"/>
    <tableColumn id="9632" name="Columna9618" dataDxfId="23381" totalsRowDxfId="6757"/>
    <tableColumn id="9633" name="Columna9619" dataDxfId="23380" totalsRowDxfId="6756"/>
    <tableColumn id="9634" name="Columna9620" dataDxfId="23379" totalsRowDxfId="6755"/>
    <tableColumn id="9635" name="Columna9621" dataDxfId="23378" totalsRowDxfId="6754"/>
    <tableColumn id="9636" name="Columna9622" dataDxfId="23377" totalsRowDxfId="6753"/>
    <tableColumn id="9637" name="Columna9623" dataDxfId="23376" totalsRowDxfId="6752"/>
    <tableColumn id="9638" name="Columna9624" dataDxfId="23375" totalsRowDxfId="6751"/>
    <tableColumn id="9639" name="Columna9625" dataDxfId="23374" totalsRowDxfId="6750"/>
    <tableColumn id="9640" name="Columna9626" dataDxfId="23373" totalsRowDxfId="6749"/>
    <tableColumn id="9641" name="Columna9627" dataDxfId="23372" totalsRowDxfId="6748"/>
    <tableColumn id="9642" name="Columna9628" dataDxfId="23371" totalsRowDxfId="6747"/>
    <tableColumn id="9643" name="Columna9629" dataDxfId="23370" totalsRowDxfId="6746"/>
    <tableColumn id="9644" name="Columna9630" dataDxfId="23369" totalsRowDxfId="6745"/>
    <tableColumn id="9645" name="Columna9631" dataDxfId="23368" totalsRowDxfId="6744"/>
    <tableColumn id="9646" name="Columna9632" dataDxfId="23367" totalsRowDxfId="6743"/>
    <tableColumn id="9647" name="Columna9633" dataDxfId="23366" totalsRowDxfId="6742"/>
    <tableColumn id="9648" name="Columna9634" dataDxfId="23365" totalsRowDxfId="6741"/>
    <tableColumn id="9649" name="Columna9635" dataDxfId="23364" totalsRowDxfId="6740"/>
    <tableColumn id="9650" name="Columna9636" dataDxfId="23363" totalsRowDxfId="6739"/>
    <tableColumn id="9651" name="Columna9637" dataDxfId="23362" totalsRowDxfId="6738"/>
    <tableColumn id="9652" name="Columna9638" dataDxfId="23361" totalsRowDxfId="6737"/>
    <tableColumn id="9653" name="Columna9639" dataDxfId="23360" totalsRowDxfId="6736"/>
    <tableColumn id="9654" name="Columna9640" dataDxfId="23359" totalsRowDxfId="6735"/>
    <tableColumn id="9655" name="Columna9641" dataDxfId="23358" totalsRowDxfId="6734"/>
    <tableColumn id="9656" name="Columna9642" dataDxfId="23357" totalsRowDxfId="6733"/>
    <tableColumn id="9657" name="Columna9643" dataDxfId="23356" totalsRowDxfId="6732"/>
    <tableColumn id="9658" name="Columna9644" dataDxfId="23355" totalsRowDxfId="6731"/>
    <tableColumn id="9659" name="Columna9645" dataDxfId="23354" totalsRowDxfId="6730"/>
    <tableColumn id="9660" name="Columna9646" dataDxfId="23353" totalsRowDxfId="6729"/>
    <tableColumn id="9661" name="Columna9647" dataDxfId="23352" totalsRowDxfId="6728"/>
    <tableColumn id="9662" name="Columna9648" dataDxfId="23351" totalsRowDxfId="6727"/>
    <tableColumn id="9663" name="Columna9649" dataDxfId="23350" totalsRowDxfId="6726"/>
    <tableColumn id="9664" name="Columna9650" dataDxfId="23349" totalsRowDxfId="6725"/>
    <tableColumn id="9665" name="Columna9651" dataDxfId="23348" totalsRowDxfId="6724"/>
    <tableColumn id="9666" name="Columna9652" dataDxfId="23347" totalsRowDxfId="6723"/>
    <tableColumn id="9667" name="Columna9653" dataDxfId="23346" totalsRowDxfId="6722"/>
    <tableColumn id="9668" name="Columna9654" dataDxfId="23345" totalsRowDxfId="6721"/>
    <tableColumn id="9669" name="Columna9655" dataDxfId="23344" totalsRowDxfId="6720"/>
    <tableColumn id="9670" name="Columna9656" dataDxfId="23343" totalsRowDxfId="6719"/>
    <tableColumn id="9671" name="Columna9657" dataDxfId="23342" totalsRowDxfId="6718"/>
    <tableColumn id="9672" name="Columna9658" dataDxfId="23341" totalsRowDxfId="6717"/>
    <tableColumn id="9673" name="Columna9659" dataDxfId="23340" totalsRowDxfId="6716"/>
    <tableColumn id="9674" name="Columna9660" dataDxfId="23339" totalsRowDxfId="6715"/>
    <tableColumn id="9675" name="Columna9661" dataDxfId="23338" totalsRowDxfId="6714"/>
    <tableColumn id="9676" name="Columna9662" dataDxfId="23337" totalsRowDxfId="6713"/>
    <tableColumn id="9677" name="Columna9663" dataDxfId="23336" totalsRowDxfId="6712"/>
    <tableColumn id="9678" name="Columna9664" dataDxfId="23335" totalsRowDxfId="6711"/>
    <tableColumn id="9679" name="Columna9665" dataDxfId="23334" totalsRowDxfId="6710"/>
    <tableColumn id="9680" name="Columna9666" dataDxfId="23333" totalsRowDxfId="6709"/>
    <tableColumn id="9681" name="Columna9667" dataDxfId="23332" totalsRowDxfId="6708"/>
    <tableColumn id="9682" name="Columna9668" dataDxfId="23331" totalsRowDxfId="6707"/>
    <tableColumn id="9683" name="Columna9669" dataDxfId="23330" totalsRowDxfId="6706"/>
    <tableColumn id="9684" name="Columna9670" dataDxfId="23329" totalsRowDxfId="6705"/>
    <tableColumn id="9685" name="Columna9671" dataDxfId="23328" totalsRowDxfId="6704"/>
    <tableColumn id="9686" name="Columna9672" dataDxfId="23327" totalsRowDxfId="6703"/>
    <tableColumn id="9687" name="Columna9673" dataDxfId="23326" totalsRowDxfId="6702"/>
    <tableColumn id="9688" name="Columna9674" dataDxfId="23325" totalsRowDxfId="6701"/>
    <tableColumn id="9689" name="Columna9675" dataDxfId="23324" totalsRowDxfId="6700"/>
    <tableColumn id="9690" name="Columna9676" dataDxfId="23323" totalsRowDxfId="6699"/>
    <tableColumn id="9691" name="Columna9677" dataDxfId="23322" totalsRowDxfId="6698"/>
    <tableColumn id="9692" name="Columna9678" dataDxfId="23321" totalsRowDxfId="6697"/>
    <tableColumn id="9693" name="Columna9679" dataDxfId="23320" totalsRowDxfId="6696"/>
    <tableColumn id="9694" name="Columna9680" dataDxfId="23319" totalsRowDxfId="6695"/>
    <tableColumn id="9695" name="Columna9681" dataDxfId="23318" totalsRowDxfId="6694"/>
    <tableColumn id="9696" name="Columna9682" dataDxfId="23317" totalsRowDxfId="6693"/>
    <tableColumn id="9697" name="Columna9683" dataDxfId="23316" totalsRowDxfId="6692"/>
    <tableColumn id="9698" name="Columna9684" dataDxfId="23315" totalsRowDxfId="6691"/>
    <tableColumn id="9699" name="Columna9685" dataDxfId="23314" totalsRowDxfId="6690"/>
    <tableColumn id="9700" name="Columna9686" dataDxfId="23313" totalsRowDxfId="6689"/>
    <tableColumn id="9701" name="Columna9687" dataDxfId="23312" totalsRowDxfId="6688"/>
    <tableColumn id="9702" name="Columna9688" dataDxfId="23311" totalsRowDxfId="6687"/>
    <tableColumn id="9703" name="Columna9689" dataDxfId="23310" totalsRowDxfId="6686"/>
    <tableColumn id="9704" name="Columna9690" dataDxfId="23309" totalsRowDxfId="6685"/>
    <tableColumn id="9705" name="Columna9691" dataDxfId="23308" totalsRowDxfId="6684"/>
    <tableColumn id="9706" name="Columna9692" dataDxfId="23307" totalsRowDxfId="6683"/>
    <tableColumn id="9707" name="Columna9693" dataDxfId="23306" totalsRowDxfId="6682"/>
    <tableColumn id="9708" name="Columna9694" dataDxfId="23305" totalsRowDxfId="6681"/>
    <tableColumn id="9709" name="Columna9695" dataDxfId="23304" totalsRowDxfId="6680"/>
    <tableColumn id="9710" name="Columna9696" dataDxfId="23303" totalsRowDxfId="6679"/>
    <tableColumn id="9711" name="Columna9697" dataDxfId="23302" totalsRowDxfId="6678"/>
    <tableColumn id="9712" name="Columna9698" dataDxfId="23301" totalsRowDxfId="6677"/>
    <tableColumn id="9713" name="Columna9699" dataDxfId="23300" totalsRowDxfId="6676"/>
    <tableColumn id="9714" name="Columna9700" dataDxfId="23299" totalsRowDxfId="6675"/>
    <tableColumn id="9715" name="Columna9701" dataDxfId="23298" totalsRowDxfId="6674"/>
    <tableColumn id="9716" name="Columna9702" dataDxfId="23297" totalsRowDxfId="6673"/>
    <tableColumn id="9717" name="Columna9703" dataDxfId="23296" totalsRowDxfId="6672"/>
    <tableColumn id="9718" name="Columna9704" dataDxfId="23295" totalsRowDxfId="6671"/>
    <tableColumn id="9719" name="Columna9705" dataDxfId="23294" totalsRowDxfId="6670"/>
    <tableColumn id="9720" name="Columna9706" dataDxfId="23293" totalsRowDxfId="6669"/>
    <tableColumn id="9721" name="Columna9707" dataDxfId="23292" totalsRowDxfId="6668"/>
    <tableColumn id="9722" name="Columna9708" dataDxfId="23291" totalsRowDxfId="6667"/>
    <tableColumn id="9723" name="Columna9709" dataDxfId="23290" totalsRowDxfId="6666"/>
    <tableColumn id="9724" name="Columna9710" dataDxfId="23289" totalsRowDxfId="6665"/>
    <tableColumn id="9725" name="Columna9711" dataDxfId="23288" totalsRowDxfId="6664"/>
    <tableColumn id="9726" name="Columna9712" dataDxfId="23287" totalsRowDxfId="6663"/>
    <tableColumn id="9727" name="Columna9713" dataDxfId="23286" totalsRowDxfId="6662"/>
    <tableColumn id="9728" name="Columna9714" dataDxfId="23285" totalsRowDxfId="6661"/>
    <tableColumn id="9729" name="Columna9715" dataDxfId="23284" totalsRowDxfId="6660"/>
    <tableColumn id="9730" name="Columna9716" dataDxfId="23283" totalsRowDxfId="6659"/>
    <tableColumn id="9731" name="Columna9717" dataDxfId="23282" totalsRowDxfId="6658"/>
    <tableColumn id="9732" name="Columna9718" dataDxfId="23281" totalsRowDxfId="6657"/>
    <tableColumn id="9733" name="Columna9719" dataDxfId="23280" totalsRowDxfId="6656"/>
    <tableColumn id="9734" name="Columna9720" dataDxfId="23279" totalsRowDxfId="6655"/>
    <tableColumn id="9735" name="Columna9721" dataDxfId="23278" totalsRowDxfId="6654"/>
    <tableColumn id="9736" name="Columna9722" dataDxfId="23277" totalsRowDxfId="6653"/>
    <tableColumn id="9737" name="Columna9723" dataDxfId="23276" totalsRowDxfId="6652"/>
    <tableColumn id="9738" name="Columna9724" dataDxfId="23275" totalsRowDxfId="6651"/>
    <tableColumn id="9739" name="Columna9725" dataDxfId="23274" totalsRowDxfId="6650"/>
    <tableColumn id="9740" name="Columna9726" dataDxfId="23273" totalsRowDxfId="6649"/>
    <tableColumn id="9741" name="Columna9727" dataDxfId="23272" totalsRowDxfId="6648"/>
    <tableColumn id="9742" name="Columna9728" dataDxfId="23271" totalsRowDxfId="6647"/>
    <tableColumn id="9743" name="Columna9729" dataDxfId="23270" totalsRowDxfId="6646"/>
    <tableColumn id="9744" name="Columna9730" dataDxfId="23269" totalsRowDxfId="6645"/>
    <tableColumn id="9745" name="Columna9731" dataDxfId="23268" totalsRowDxfId="6644"/>
    <tableColumn id="9746" name="Columna9732" dataDxfId="23267" totalsRowDxfId="6643"/>
    <tableColumn id="9747" name="Columna9733" dataDxfId="23266" totalsRowDxfId="6642"/>
    <tableColumn id="9748" name="Columna9734" dataDxfId="23265" totalsRowDxfId="6641"/>
    <tableColumn id="9749" name="Columna9735" dataDxfId="23264" totalsRowDxfId="6640"/>
    <tableColumn id="9750" name="Columna9736" dataDxfId="23263" totalsRowDxfId="6639"/>
    <tableColumn id="9751" name="Columna9737" dataDxfId="23262" totalsRowDxfId="6638"/>
    <tableColumn id="9752" name="Columna9738" dataDxfId="23261" totalsRowDxfId="6637"/>
    <tableColumn id="9753" name="Columna9739" dataDxfId="23260" totalsRowDxfId="6636"/>
    <tableColumn id="9754" name="Columna9740" dataDxfId="23259" totalsRowDxfId="6635"/>
    <tableColumn id="9755" name="Columna9741" dataDxfId="23258" totalsRowDxfId="6634"/>
    <tableColumn id="9756" name="Columna9742" dataDxfId="23257" totalsRowDxfId="6633"/>
    <tableColumn id="9757" name="Columna9743" dataDxfId="23256" totalsRowDxfId="6632"/>
    <tableColumn id="9758" name="Columna9744" dataDxfId="23255" totalsRowDxfId="6631"/>
    <tableColumn id="9759" name="Columna9745" dataDxfId="23254" totalsRowDxfId="6630"/>
    <tableColumn id="9760" name="Columna9746" dataDxfId="23253" totalsRowDxfId="6629"/>
    <tableColumn id="9761" name="Columna9747" dataDxfId="23252" totalsRowDxfId="6628"/>
    <tableColumn id="9762" name="Columna9748" dataDxfId="23251" totalsRowDxfId="6627"/>
    <tableColumn id="9763" name="Columna9749" dataDxfId="23250" totalsRowDxfId="6626"/>
    <tableColumn id="9764" name="Columna9750" dataDxfId="23249" totalsRowDxfId="6625"/>
    <tableColumn id="9765" name="Columna9751" dataDxfId="23248" totalsRowDxfId="6624"/>
    <tableColumn id="9766" name="Columna9752" dataDxfId="23247" totalsRowDxfId="6623"/>
    <tableColumn id="9767" name="Columna9753" dataDxfId="23246" totalsRowDxfId="6622"/>
    <tableColumn id="9768" name="Columna9754" dataDxfId="23245" totalsRowDxfId="6621"/>
    <tableColumn id="9769" name="Columna9755" dataDxfId="23244" totalsRowDxfId="6620"/>
    <tableColumn id="9770" name="Columna9756" dataDxfId="23243" totalsRowDxfId="6619"/>
    <tableColumn id="9771" name="Columna9757" dataDxfId="23242" totalsRowDxfId="6618"/>
    <tableColumn id="9772" name="Columna9758" dataDxfId="23241" totalsRowDxfId="6617"/>
    <tableColumn id="9773" name="Columna9759" dataDxfId="23240" totalsRowDxfId="6616"/>
    <tableColumn id="9774" name="Columna9760" dataDxfId="23239" totalsRowDxfId="6615"/>
    <tableColumn id="9775" name="Columna9761" dataDxfId="23238" totalsRowDxfId="6614"/>
    <tableColumn id="9776" name="Columna9762" dataDxfId="23237" totalsRowDxfId="6613"/>
    <tableColumn id="9777" name="Columna9763" dataDxfId="23236" totalsRowDxfId="6612"/>
    <tableColumn id="9778" name="Columna9764" dataDxfId="23235" totalsRowDxfId="6611"/>
    <tableColumn id="9779" name="Columna9765" dataDxfId="23234" totalsRowDxfId="6610"/>
    <tableColumn id="9780" name="Columna9766" dataDxfId="23233" totalsRowDxfId="6609"/>
    <tableColumn id="9781" name="Columna9767" dataDxfId="23232" totalsRowDxfId="6608"/>
    <tableColumn id="9782" name="Columna9768" dataDxfId="23231" totalsRowDxfId="6607"/>
    <tableColumn id="9783" name="Columna9769" dataDxfId="23230" totalsRowDxfId="6606"/>
    <tableColumn id="9784" name="Columna9770" dataDxfId="23229" totalsRowDxfId="6605"/>
    <tableColumn id="9785" name="Columna9771" dataDxfId="23228" totalsRowDxfId="6604"/>
    <tableColumn id="9786" name="Columna9772" dataDxfId="23227" totalsRowDxfId="6603"/>
    <tableColumn id="9787" name="Columna9773" dataDxfId="23226" totalsRowDxfId="6602"/>
    <tableColumn id="9788" name="Columna9774" dataDxfId="23225" totalsRowDxfId="6601"/>
    <tableColumn id="9789" name="Columna9775" dataDxfId="23224" totalsRowDxfId="6600"/>
    <tableColumn id="9790" name="Columna9776" dataDxfId="23223" totalsRowDxfId="6599"/>
    <tableColumn id="9791" name="Columna9777" dataDxfId="23222" totalsRowDxfId="6598"/>
    <tableColumn id="9792" name="Columna9778" dataDxfId="23221" totalsRowDxfId="6597"/>
    <tableColumn id="9793" name="Columna9779" dataDxfId="23220" totalsRowDxfId="6596"/>
    <tableColumn id="9794" name="Columna9780" dataDxfId="23219" totalsRowDxfId="6595"/>
    <tableColumn id="9795" name="Columna9781" dataDxfId="23218" totalsRowDxfId="6594"/>
    <tableColumn id="9796" name="Columna9782" dataDxfId="23217" totalsRowDxfId="6593"/>
    <tableColumn id="9797" name="Columna9783" dataDxfId="23216" totalsRowDxfId="6592"/>
    <tableColumn id="9798" name="Columna9784" dataDxfId="23215" totalsRowDxfId="6591"/>
    <tableColumn id="9799" name="Columna9785" dataDxfId="23214" totalsRowDxfId="6590"/>
    <tableColumn id="9800" name="Columna9786" dataDxfId="23213" totalsRowDxfId="6589"/>
    <tableColumn id="9801" name="Columna9787" dataDxfId="23212" totalsRowDxfId="6588"/>
    <tableColumn id="9802" name="Columna9788" dataDxfId="23211" totalsRowDxfId="6587"/>
    <tableColumn id="9803" name="Columna9789" dataDxfId="23210" totalsRowDxfId="6586"/>
    <tableColumn id="9804" name="Columna9790" dataDxfId="23209" totalsRowDxfId="6585"/>
    <tableColumn id="9805" name="Columna9791" dataDxfId="23208" totalsRowDxfId="6584"/>
    <tableColumn id="9806" name="Columna9792" dataDxfId="23207" totalsRowDxfId="6583"/>
    <tableColumn id="9807" name="Columna9793" dataDxfId="23206" totalsRowDxfId="6582"/>
    <tableColumn id="9808" name="Columna9794" dataDxfId="23205" totalsRowDxfId="6581"/>
    <tableColumn id="9809" name="Columna9795" dataDxfId="23204" totalsRowDxfId="6580"/>
    <tableColumn id="9810" name="Columna9796" dataDxfId="23203" totalsRowDxfId="6579"/>
    <tableColumn id="9811" name="Columna9797" dataDxfId="23202" totalsRowDxfId="6578"/>
    <tableColumn id="9812" name="Columna9798" dataDxfId="23201" totalsRowDxfId="6577"/>
    <tableColumn id="9813" name="Columna9799" dataDxfId="23200" totalsRowDxfId="6576"/>
    <tableColumn id="9814" name="Columna9800" dataDxfId="23199" totalsRowDxfId="6575"/>
    <tableColumn id="9815" name="Columna9801" dataDxfId="23198" totalsRowDxfId="6574"/>
    <tableColumn id="9816" name="Columna9802" dataDxfId="23197" totalsRowDxfId="6573"/>
    <tableColumn id="9817" name="Columna9803" dataDxfId="23196" totalsRowDxfId="6572"/>
    <tableColumn id="9818" name="Columna9804" dataDxfId="23195" totalsRowDxfId="6571"/>
    <tableColumn id="9819" name="Columna9805" dataDxfId="23194" totalsRowDxfId="6570"/>
    <tableColumn id="9820" name="Columna9806" dataDxfId="23193" totalsRowDxfId="6569"/>
    <tableColumn id="9821" name="Columna9807" dataDxfId="23192" totalsRowDxfId="6568"/>
    <tableColumn id="9822" name="Columna9808" dataDxfId="23191" totalsRowDxfId="6567"/>
    <tableColumn id="9823" name="Columna9809" dataDxfId="23190" totalsRowDxfId="6566"/>
    <tableColumn id="9824" name="Columna9810" dataDxfId="23189" totalsRowDxfId="6565"/>
    <tableColumn id="9825" name="Columna9811" dataDxfId="23188" totalsRowDxfId="6564"/>
    <tableColumn id="9826" name="Columna9812" dataDxfId="23187" totalsRowDxfId="6563"/>
    <tableColumn id="9827" name="Columna9813" dataDxfId="23186" totalsRowDxfId="6562"/>
    <tableColumn id="9828" name="Columna9814" dataDxfId="23185" totalsRowDxfId="6561"/>
    <tableColumn id="9829" name="Columna9815" dataDxfId="23184" totalsRowDxfId="6560"/>
    <tableColumn id="9830" name="Columna9816" dataDxfId="23183" totalsRowDxfId="6559"/>
    <tableColumn id="9831" name="Columna9817" dataDxfId="23182" totalsRowDxfId="6558"/>
    <tableColumn id="9832" name="Columna9818" dataDxfId="23181" totalsRowDxfId="6557"/>
    <tableColumn id="9833" name="Columna9819" dataDxfId="23180" totalsRowDxfId="6556"/>
    <tableColumn id="9834" name="Columna9820" dataDxfId="23179" totalsRowDxfId="6555"/>
    <tableColumn id="9835" name="Columna9821" dataDxfId="23178" totalsRowDxfId="6554"/>
    <tableColumn id="9836" name="Columna9822" dataDxfId="23177" totalsRowDxfId="6553"/>
    <tableColumn id="9837" name="Columna9823" dataDxfId="23176" totalsRowDxfId="6552"/>
    <tableColumn id="9838" name="Columna9824" dataDxfId="23175" totalsRowDxfId="6551"/>
    <tableColumn id="9839" name="Columna9825" dataDxfId="23174" totalsRowDxfId="6550"/>
    <tableColumn id="9840" name="Columna9826" dataDxfId="23173" totalsRowDxfId="6549"/>
    <tableColumn id="9841" name="Columna9827" dataDxfId="23172" totalsRowDxfId="6548"/>
    <tableColumn id="9842" name="Columna9828" dataDxfId="23171" totalsRowDxfId="6547"/>
    <tableColumn id="9843" name="Columna9829" dataDxfId="23170" totalsRowDxfId="6546"/>
    <tableColumn id="9844" name="Columna9830" dataDxfId="23169" totalsRowDxfId="6545"/>
    <tableColumn id="9845" name="Columna9831" dataDxfId="23168" totalsRowDxfId="6544"/>
    <tableColumn id="9846" name="Columna9832" dataDxfId="23167" totalsRowDxfId="6543"/>
    <tableColumn id="9847" name="Columna9833" dataDxfId="23166" totalsRowDxfId="6542"/>
    <tableColumn id="9848" name="Columna9834" dataDxfId="23165" totalsRowDxfId="6541"/>
    <tableColumn id="9849" name="Columna9835" dataDxfId="23164" totalsRowDxfId="6540"/>
    <tableColumn id="9850" name="Columna9836" dataDxfId="23163" totalsRowDxfId="6539"/>
    <tableColumn id="9851" name="Columna9837" dataDxfId="23162" totalsRowDxfId="6538"/>
    <tableColumn id="9852" name="Columna9838" dataDxfId="23161" totalsRowDxfId="6537"/>
    <tableColumn id="9853" name="Columna9839" dataDxfId="23160" totalsRowDxfId="6536"/>
    <tableColumn id="9854" name="Columna9840" dataDxfId="23159" totalsRowDxfId="6535"/>
    <tableColumn id="9855" name="Columna9841" dataDxfId="23158" totalsRowDxfId="6534"/>
    <tableColumn id="9856" name="Columna9842" dataDxfId="23157" totalsRowDxfId="6533"/>
    <tableColumn id="9857" name="Columna9843" dataDxfId="23156" totalsRowDxfId="6532"/>
    <tableColumn id="9858" name="Columna9844" dataDxfId="23155" totalsRowDxfId="6531"/>
    <tableColumn id="9859" name="Columna9845" dataDxfId="23154" totalsRowDxfId="6530"/>
    <tableColumn id="9860" name="Columna9846" dataDxfId="23153" totalsRowDxfId="6529"/>
    <tableColumn id="9861" name="Columna9847" dataDxfId="23152" totalsRowDxfId="6528"/>
    <tableColumn id="9862" name="Columna9848" dataDxfId="23151" totalsRowDxfId="6527"/>
    <tableColumn id="9863" name="Columna9849" dataDxfId="23150" totalsRowDxfId="6526"/>
    <tableColumn id="9864" name="Columna9850" dataDxfId="23149" totalsRowDxfId="6525"/>
    <tableColumn id="9865" name="Columna9851" dataDxfId="23148" totalsRowDxfId="6524"/>
    <tableColumn id="9866" name="Columna9852" dataDxfId="23147" totalsRowDxfId="6523"/>
    <tableColumn id="9867" name="Columna9853" dataDxfId="23146" totalsRowDxfId="6522"/>
    <tableColumn id="9868" name="Columna9854" dataDxfId="23145" totalsRowDxfId="6521"/>
    <tableColumn id="9869" name="Columna9855" dataDxfId="23144" totalsRowDxfId="6520"/>
    <tableColumn id="9870" name="Columna9856" dataDxfId="23143" totalsRowDxfId="6519"/>
    <tableColumn id="9871" name="Columna9857" dataDxfId="23142" totalsRowDxfId="6518"/>
    <tableColumn id="9872" name="Columna9858" dataDxfId="23141" totalsRowDxfId="6517"/>
    <tableColumn id="9873" name="Columna9859" dataDxfId="23140" totalsRowDxfId="6516"/>
    <tableColumn id="9874" name="Columna9860" dataDxfId="23139" totalsRowDxfId="6515"/>
    <tableColumn id="9875" name="Columna9861" dataDxfId="23138" totalsRowDxfId="6514"/>
    <tableColumn id="9876" name="Columna9862" dataDxfId="23137" totalsRowDxfId="6513"/>
    <tableColumn id="9877" name="Columna9863" dataDxfId="23136" totalsRowDxfId="6512"/>
    <tableColumn id="9878" name="Columna9864" dataDxfId="23135" totalsRowDxfId="6511"/>
    <tableColumn id="9879" name="Columna9865" dataDxfId="23134" totalsRowDxfId="6510"/>
    <tableColumn id="9880" name="Columna9866" dataDxfId="23133" totalsRowDxfId="6509"/>
    <tableColumn id="9881" name="Columna9867" dataDxfId="23132" totalsRowDxfId="6508"/>
    <tableColumn id="9882" name="Columna9868" dataDxfId="23131" totalsRowDxfId="6507"/>
    <tableColumn id="9883" name="Columna9869" dataDxfId="23130" totalsRowDxfId="6506"/>
    <tableColumn id="9884" name="Columna9870" dataDxfId="23129" totalsRowDxfId="6505"/>
    <tableColumn id="9885" name="Columna9871" dataDxfId="23128" totalsRowDxfId="6504"/>
    <tableColumn id="9886" name="Columna9872" dataDxfId="23127" totalsRowDxfId="6503"/>
    <tableColumn id="9887" name="Columna9873" dataDxfId="23126" totalsRowDxfId="6502"/>
    <tableColumn id="9888" name="Columna9874" dataDxfId="23125" totalsRowDxfId="6501"/>
    <tableColumn id="9889" name="Columna9875" dataDxfId="23124" totalsRowDxfId="6500"/>
    <tableColumn id="9890" name="Columna9876" dataDxfId="23123" totalsRowDxfId="6499"/>
    <tableColumn id="9891" name="Columna9877" dataDxfId="23122" totalsRowDxfId="6498"/>
    <tableColumn id="9892" name="Columna9878" dataDxfId="23121" totalsRowDxfId="6497"/>
    <tableColumn id="9893" name="Columna9879" dataDxfId="23120" totalsRowDxfId="6496"/>
    <tableColumn id="9894" name="Columna9880" dataDxfId="23119" totalsRowDxfId="6495"/>
    <tableColumn id="9895" name="Columna9881" dataDxfId="23118" totalsRowDxfId="6494"/>
    <tableColumn id="9896" name="Columna9882" dataDxfId="23117" totalsRowDxfId="6493"/>
    <tableColumn id="9897" name="Columna9883" dataDxfId="23116" totalsRowDxfId="6492"/>
    <tableColumn id="9898" name="Columna9884" dataDxfId="23115" totalsRowDxfId="6491"/>
    <tableColumn id="9899" name="Columna9885" dataDxfId="23114" totalsRowDxfId="6490"/>
    <tableColumn id="9900" name="Columna9886" dataDxfId="23113" totalsRowDxfId="6489"/>
    <tableColumn id="9901" name="Columna9887" dataDxfId="23112" totalsRowDxfId="6488"/>
    <tableColumn id="9902" name="Columna9888" dataDxfId="23111" totalsRowDxfId="6487"/>
    <tableColumn id="9903" name="Columna9889" dataDxfId="23110" totalsRowDxfId="6486"/>
    <tableColumn id="9904" name="Columna9890" dataDxfId="23109" totalsRowDxfId="6485"/>
    <tableColumn id="9905" name="Columna9891" dataDxfId="23108" totalsRowDxfId="6484"/>
    <tableColumn id="9906" name="Columna9892" dataDxfId="23107" totalsRowDxfId="6483"/>
    <tableColumn id="9907" name="Columna9893" dataDxfId="23106" totalsRowDxfId="6482"/>
    <tableColumn id="9908" name="Columna9894" dataDxfId="23105" totalsRowDxfId="6481"/>
    <tableColumn id="9909" name="Columna9895" dataDxfId="23104" totalsRowDxfId="6480"/>
    <tableColumn id="9910" name="Columna9896" dataDxfId="23103" totalsRowDxfId="6479"/>
    <tableColumn id="9911" name="Columna9897" dataDxfId="23102" totalsRowDxfId="6478"/>
    <tableColumn id="9912" name="Columna9898" dataDxfId="23101" totalsRowDxfId="6477"/>
    <tableColumn id="9913" name="Columna9899" dataDxfId="23100" totalsRowDxfId="6476"/>
    <tableColumn id="9914" name="Columna9900" dataDxfId="23099" totalsRowDxfId="6475"/>
    <tableColumn id="9915" name="Columna9901" dataDxfId="23098" totalsRowDxfId="6474"/>
    <tableColumn id="9916" name="Columna9902" dataDxfId="23097" totalsRowDxfId="6473"/>
    <tableColumn id="9917" name="Columna9903" dataDxfId="23096" totalsRowDxfId="6472"/>
    <tableColumn id="9918" name="Columna9904" dataDxfId="23095" totalsRowDxfId="6471"/>
    <tableColumn id="9919" name="Columna9905" dataDxfId="23094" totalsRowDxfId="6470"/>
    <tableColumn id="9920" name="Columna9906" dataDxfId="23093" totalsRowDxfId="6469"/>
    <tableColumn id="9921" name="Columna9907" dataDxfId="23092" totalsRowDxfId="6468"/>
    <tableColumn id="9922" name="Columna9908" dataDxfId="23091" totalsRowDxfId="6467"/>
    <tableColumn id="9923" name="Columna9909" dataDxfId="23090" totalsRowDxfId="6466"/>
    <tableColumn id="9924" name="Columna9910" dataDxfId="23089" totalsRowDxfId="6465"/>
    <tableColumn id="9925" name="Columna9911" dataDxfId="23088" totalsRowDxfId="6464"/>
    <tableColumn id="9926" name="Columna9912" dataDxfId="23087" totalsRowDxfId="6463"/>
    <tableColumn id="9927" name="Columna9913" dataDxfId="23086" totalsRowDxfId="6462"/>
    <tableColumn id="9928" name="Columna9914" dataDxfId="23085" totalsRowDxfId="6461"/>
    <tableColumn id="9929" name="Columna9915" dataDxfId="23084" totalsRowDxfId="6460"/>
    <tableColumn id="9930" name="Columna9916" dataDxfId="23083" totalsRowDxfId="6459"/>
    <tableColumn id="9931" name="Columna9917" dataDxfId="23082" totalsRowDxfId="6458"/>
    <tableColumn id="9932" name="Columna9918" dataDxfId="23081" totalsRowDxfId="6457"/>
    <tableColumn id="9933" name="Columna9919" dataDxfId="23080" totalsRowDxfId="6456"/>
    <tableColumn id="9934" name="Columna9920" dataDxfId="23079" totalsRowDxfId="6455"/>
    <tableColumn id="9935" name="Columna9921" dataDxfId="23078" totalsRowDxfId="6454"/>
    <tableColumn id="9936" name="Columna9922" dataDxfId="23077" totalsRowDxfId="6453"/>
    <tableColumn id="9937" name="Columna9923" dataDxfId="23076" totalsRowDxfId="6452"/>
    <tableColumn id="9938" name="Columna9924" dataDxfId="23075" totalsRowDxfId="6451"/>
    <tableColumn id="9939" name="Columna9925" dataDxfId="23074" totalsRowDxfId="6450"/>
    <tableColumn id="9940" name="Columna9926" dataDxfId="23073" totalsRowDxfId="6449"/>
    <tableColumn id="9941" name="Columna9927" dataDxfId="23072" totalsRowDxfId="6448"/>
    <tableColumn id="9942" name="Columna9928" dataDxfId="23071" totalsRowDxfId="6447"/>
    <tableColumn id="9943" name="Columna9929" dataDxfId="23070" totalsRowDxfId="6446"/>
    <tableColumn id="9944" name="Columna9930" dataDxfId="23069" totalsRowDxfId="6445"/>
    <tableColumn id="9945" name="Columna9931" dataDxfId="23068" totalsRowDxfId="6444"/>
    <tableColumn id="9946" name="Columna9932" dataDxfId="23067" totalsRowDxfId="6443"/>
    <tableColumn id="9947" name="Columna9933" dataDxfId="23066" totalsRowDxfId="6442"/>
    <tableColumn id="9948" name="Columna9934" dataDxfId="23065" totalsRowDxfId="6441"/>
    <tableColumn id="9949" name="Columna9935" dataDxfId="23064" totalsRowDxfId="6440"/>
    <tableColumn id="9950" name="Columna9936" dataDxfId="23063" totalsRowDxfId="6439"/>
    <tableColumn id="9951" name="Columna9937" dataDxfId="23062" totalsRowDxfId="6438"/>
    <tableColumn id="9952" name="Columna9938" dataDxfId="23061" totalsRowDxfId="6437"/>
    <tableColumn id="9953" name="Columna9939" dataDxfId="23060" totalsRowDxfId="6436"/>
    <tableColumn id="9954" name="Columna9940" dataDxfId="23059" totalsRowDxfId="6435"/>
    <tableColumn id="9955" name="Columna9941" dataDxfId="23058" totalsRowDxfId="6434"/>
    <tableColumn id="9956" name="Columna9942" dataDxfId="23057" totalsRowDxfId="6433"/>
    <tableColumn id="9957" name="Columna9943" dataDxfId="23056" totalsRowDxfId="6432"/>
    <tableColumn id="9958" name="Columna9944" dataDxfId="23055" totalsRowDxfId="6431"/>
    <tableColumn id="9959" name="Columna9945" dataDxfId="23054" totalsRowDxfId="6430"/>
    <tableColumn id="9960" name="Columna9946" dataDxfId="23053" totalsRowDxfId="6429"/>
    <tableColumn id="9961" name="Columna9947" dataDxfId="23052" totalsRowDxfId="6428"/>
    <tableColumn id="9962" name="Columna9948" dataDxfId="23051" totalsRowDxfId="6427"/>
    <tableColumn id="9963" name="Columna9949" dataDxfId="23050" totalsRowDxfId="6426"/>
    <tableColumn id="9964" name="Columna9950" dataDxfId="23049" totalsRowDxfId="6425"/>
    <tableColumn id="9965" name="Columna9951" dataDxfId="23048" totalsRowDxfId="6424"/>
    <tableColumn id="9966" name="Columna9952" dataDxfId="23047" totalsRowDxfId="6423"/>
    <tableColumn id="9967" name="Columna9953" dataDxfId="23046" totalsRowDxfId="6422"/>
    <tableColumn id="9968" name="Columna9954" dataDxfId="23045" totalsRowDxfId="6421"/>
    <tableColumn id="9969" name="Columna9955" dataDxfId="23044" totalsRowDxfId="6420"/>
    <tableColumn id="9970" name="Columna9956" dataDxfId="23043" totalsRowDxfId="6419"/>
    <tableColumn id="9971" name="Columna9957" dataDxfId="23042" totalsRowDxfId="6418"/>
    <tableColumn id="9972" name="Columna9958" dataDxfId="23041" totalsRowDxfId="6417"/>
    <tableColumn id="9973" name="Columna9959" dataDxfId="23040" totalsRowDxfId="6416"/>
    <tableColumn id="9974" name="Columna9960" dataDxfId="23039" totalsRowDxfId="6415"/>
    <tableColumn id="9975" name="Columna9961" dataDxfId="23038" totalsRowDxfId="6414"/>
    <tableColumn id="9976" name="Columna9962" dataDxfId="23037" totalsRowDxfId="6413"/>
    <tableColumn id="9977" name="Columna9963" dataDxfId="23036" totalsRowDxfId="6412"/>
    <tableColumn id="9978" name="Columna9964" dataDxfId="23035" totalsRowDxfId="6411"/>
    <tableColumn id="9979" name="Columna9965" dataDxfId="23034" totalsRowDxfId="6410"/>
    <tableColumn id="9980" name="Columna9966" dataDxfId="23033" totalsRowDxfId="6409"/>
    <tableColumn id="9981" name="Columna9967" dataDxfId="23032" totalsRowDxfId="6408"/>
    <tableColumn id="9982" name="Columna9968" dataDxfId="23031" totalsRowDxfId="6407"/>
    <tableColumn id="9983" name="Columna9969" dataDxfId="23030" totalsRowDxfId="6406"/>
    <tableColumn id="9984" name="Columna9970" dataDxfId="23029" totalsRowDxfId="6405"/>
    <tableColumn id="9985" name="Columna9971" dataDxfId="23028" totalsRowDxfId="6404"/>
    <tableColumn id="9986" name="Columna9972" dataDxfId="23027" totalsRowDxfId="6403"/>
    <tableColumn id="9987" name="Columna9973" dataDxfId="23026" totalsRowDxfId="6402"/>
    <tableColumn id="9988" name="Columna9974" dataDxfId="23025" totalsRowDxfId="6401"/>
    <tableColumn id="9989" name="Columna9975" dataDxfId="23024" totalsRowDxfId="6400"/>
    <tableColumn id="9990" name="Columna9976" dataDxfId="23023" totalsRowDxfId="6399"/>
    <tableColumn id="9991" name="Columna9977" dataDxfId="23022" totalsRowDxfId="6398"/>
    <tableColumn id="9992" name="Columna9978" dataDxfId="23021" totalsRowDxfId="6397"/>
    <tableColumn id="9993" name="Columna9979" dataDxfId="23020" totalsRowDxfId="6396"/>
    <tableColumn id="9994" name="Columna9980" dataDxfId="23019" totalsRowDxfId="6395"/>
    <tableColumn id="9995" name="Columna9981" dataDxfId="23018" totalsRowDxfId="6394"/>
    <tableColumn id="9996" name="Columna9982" dataDxfId="23017" totalsRowDxfId="6393"/>
    <tableColumn id="9997" name="Columna9983" dataDxfId="23016" totalsRowDxfId="6392"/>
    <tableColumn id="9998" name="Columna9984" dataDxfId="23015" totalsRowDxfId="6391"/>
    <tableColumn id="9999" name="Columna9985" dataDxfId="23014" totalsRowDxfId="6390"/>
    <tableColumn id="10000" name="Columna9986" dataDxfId="23013" totalsRowDxfId="6389"/>
    <tableColumn id="10001" name="Columna9987" dataDxfId="23012" totalsRowDxfId="6388"/>
    <tableColumn id="10002" name="Columna9988" dataDxfId="23011" totalsRowDxfId="6387"/>
    <tableColumn id="10003" name="Columna9989" dataDxfId="23010" totalsRowDxfId="6386"/>
    <tableColumn id="10004" name="Columna9990" dataDxfId="23009" totalsRowDxfId="6385"/>
    <tableColumn id="10005" name="Columna9991" dataDxfId="23008" totalsRowDxfId="6384"/>
    <tableColumn id="10006" name="Columna9992" dataDxfId="23007" totalsRowDxfId="6383"/>
    <tableColumn id="10007" name="Columna9993" dataDxfId="23006" totalsRowDxfId="6382"/>
    <tableColumn id="10008" name="Columna9994" dataDxfId="23005" totalsRowDxfId="6381"/>
    <tableColumn id="10009" name="Columna9995" dataDxfId="23004" totalsRowDxfId="6380"/>
    <tableColumn id="10010" name="Columna9996" dataDxfId="23003" totalsRowDxfId="6379"/>
    <tableColumn id="10011" name="Columna9997" dataDxfId="23002" totalsRowDxfId="6378"/>
    <tableColumn id="10012" name="Columna9998" dataDxfId="23001" totalsRowDxfId="6377"/>
    <tableColumn id="10013" name="Columna9999" dataDxfId="23000" totalsRowDxfId="6376"/>
    <tableColumn id="10014" name="Columna10000" dataDxfId="22999" totalsRowDxfId="6375"/>
    <tableColumn id="10015" name="Columna10001" dataDxfId="22998" totalsRowDxfId="6374"/>
    <tableColumn id="10016" name="Columna10002" dataDxfId="22997" totalsRowDxfId="6373"/>
    <tableColumn id="10017" name="Columna10003" dataDxfId="22996" totalsRowDxfId="6372"/>
    <tableColumn id="10018" name="Columna10004" dataDxfId="22995" totalsRowDxfId="6371"/>
    <tableColumn id="10019" name="Columna10005" dataDxfId="22994" totalsRowDxfId="6370"/>
    <tableColumn id="10020" name="Columna10006" dataDxfId="22993" totalsRowDxfId="6369"/>
    <tableColumn id="10021" name="Columna10007" dataDxfId="22992" totalsRowDxfId="6368"/>
    <tableColumn id="10022" name="Columna10008" dataDxfId="22991" totalsRowDxfId="6367"/>
    <tableColumn id="10023" name="Columna10009" dataDxfId="22990" totalsRowDxfId="6366"/>
    <tableColumn id="10024" name="Columna10010" dataDxfId="22989" totalsRowDxfId="6365"/>
    <tableColumn id="10025" name="Columna10011" dataDxfId="22988" totalsRowDxfId="6364"/>
    <tableColumn id="10026" name="Columna10012" dataDxfId="22987" totalsRowDxfId="6363"/>
    <tableColumn id="10027" name="Columna10013" dataDxfId="22986" totalsRowDxfId="6362"/>
    <tableColumn id="10028" name="Columna10014" dataDxfId="22985" totalsRowDxfId="6361"/>
    <tableColumn id="10029" name="Columna10015" dataDxfId="22984" totalsRowDxfId="6360"/>
    <tableColumn id="10030" name="Columna10016" dataDxfId="22983" totalsRowDxfId="6359"/>
    <tableColumn id="10031" name="Columna10017" dataDxfId="22982" totalsRowDxfId="6358"/>
    <tableColumn id="10032" name="Columna10018" dataDxfId="22981" totalsRowDxfId="6357"/>
    <tableColumn id="10033" name="Columna10019" dataDxfId="22980" totalsRowDxfId="6356"/>
    <tableColumn id="10034" name="Columna10020" dataDxfId="22979" totalsRowDxfId="6355"/>
    <tableColumn id="10035" name="Columna10021" dataDxfId="22978" totalsRowDxfId="6354"/>
    <tableColumn id="10036" name="Columna10022" dataDxfId="22977" totalsRowDxfId="6353"/>
    <tableColumn id="10037" name="Columna10023" dataDxfId="22976" totalsRowDxfId="6352"/>
    <tableColumn id="10038" name="Columna10024" dataDxfId="22975" totalsRowDxfId="6351"/>
    <tableColumn id="10039" name="Columna10025" dataDxfId="22974" totalsRowDxfId="6350"/>
    <tableColumn id="10040" name="Columna10026" dataDxfId="22973" totalsRowDxfId="6349"/>
    <tableColumn id="10041" name="Columna10027" dataDxfId="22972" totalsRowDxfId="6348"/>
    <tableColumn id="10042" name="Columna10028" dataDxfId="22971" totalsRowDxfId="6347"/>
    <tableColumn id="10043" name="Columna10029" dataDxfId="22970" totalsRowDxfId="6346"/>
    <tableColumn id="10044" name="Columna10030" dataDxfId="22969" totalsRowDxfId="6345"/>
    <tableColumn id="10045" name="Columna10031" dataDxfId="22968" totalsRowDxfId="6344"/>
    <tableColumn id="10046" name="Columna10032" dataDxfId="22967" totalsRowDxfId="6343"/>
    <tableColumn id="10047" name="Columna10033" dataDxfId="22966" totalsRowDxfId="6342"/>
    <tableColumn id="10048" name="Columna10034" dataDxfId="22965" totalsRowDxfId="6341"/>
    <tableColumn id="10049" name="Columna10035" dataDxfId="22964" totalsRowDxfId="6340"/>
    <tableColumn id="10050" name="Columna10036" dataDxfId="22963" totalsRowDxfId="6339"/>
    <tableColumn id="10051" name="Columna10037" dataDxfId="22962" totalsRowDxfId="6338"/>
    <tableColumn id="10052" name="Columna10038" dataDxfId="22961" totalsRowDxfId="6337"/>
    <tableColumn id="10053" name="Columna10039" dataDxfId="22960" totalsRowDxfId="6336"/>
    <tableColumn id="10054" name="Columna10040" dataDxfId="22959" totalsRowDxfId="6335"/>
    <tableColumn id="10055" name="Columna10041" dataDxfId="22958" totalsRowDxfId="6334"/>
    <tableColumn id="10056" name="Columna10042" dataDxfId="22957" totalsRowDxfId="6333"/>
    <tableColumn id="10057" name="Columna10043" dataDxfId="22956" totalsRowDxfId="6332"/>
    <tableColumn id="10058" name="Columna10044" dataDxfId="22955" totalsRowDxfId="6331"/>
    <tableColumn id="10059" name="Columna10045" dataDxfId="22954" totalsRowDxfId="6330"/>
    <tableColumn id="10060" name="Columna10046" dataDxfId="22953" totalsRowDxfId="6329"/>
    <tableColumn id="10061" name="Columna10047" dataDxfId="22952" totalsRowDxfId="6328"/>
    <tableColumn id="10062" name="Columna10048" dataDxfId="22951" totalsRowDxfId="6327"/>
    <tableColumn id="10063" name="Columna10049" dataDxfId="22950" totalsRowDxfId="6326"/>
    <tableColumn id="10064" name="Columna10050" dataDxfId="22949" totalsRowDxfId="6325"/>
    <tableColumn id="10065" name="Columna10051" dataDxfId="22948" totalsRowDxfId="6324"/>
    <tableColumn id="10066" name="Columna10052" dataDxfId="22947" totalsRowDxfId="6323"/>
    <tableColumn id="10067" name="Columna10053" dataDxfId="22946" totalsRowDxfId="6322"/>
    <tableColumn id="10068" name="Columna10054" dataDxfId="22945" totalsRowDxfId="6321"/>
    <tableColumn id="10069" name="Columna10055" dataDxfId="22944" totalsRowDxfId="6320"/>
    <tableColumn id="10070" name="Columna10056" dataDxfId="22943" totalsRowDxfId="6319"/>
    <tableColumn id="10071" name="Columna10057" dataDxfId="22942" totalsRowDxfId="6318"/>
    <tableColumn id="10072" name="Columna10058" dataDxfId="22941" totalsRowDxfId="6317"/>
    <tableColumn id="10073" name="Columna10059" dataDxfId="22940" totalsRowDxfId="6316"/>
    <tableColumn id="10074" name="Columna10060" dataDxfId="22939" totalsRowDxfId="6315"/>
    <tableColumn id="10075" name="Columna10061" dataDxfId="22938" totalsRowDxfId="6314"/>
    <tableColumn id="10076" name="Columna10062" dataDxfId="22937" totalsRowDxfId="6313"/>
    <tableColumn id="10077" name="Columna10063" dataDxfId="22936" totalsRowDxfId="6312"/>
    <tableColumn id="10078" name="Columna10064" dataDxfId="22935" totalsRowDxfId="6311"/>
    <tableColumn id="10079" name="Columna10065" dataDxfId="22934" totalsRowDxfId="6310"/>
    <tableColumn id="10080" name="Columna10066" dataDxfId="22933" totalsRowDxfId="6309"/>
    <tableColumn id="10081" name="Columna10067" dataDxfId="22932" totalsRowDxfId="6308"/>
    <tableColumn id="10082" name="Columna10068" dataDxfId="22931" totalsRowDxfId="6307"/>
    <tableColumn id="10083" name="Columna10069" dataDxfId="22930" totalsRowDxfId="6306"/>
    <tableColumn id="10084" name="Columna10070" dataDxfId="22929" totalsRowDxfId="6305"/>
    <tableColumn id="10085" name="Columna10071" dataDxfId="22928" totalsRowDxfId="6304"/>
    <tableColumn id="10086" name="Columna10072" dataDxfId="22927" totalsRowDxfId="6303"/>
    <tableColumn id="10087" name="Columna10073" dataDxfId="22926" totalsRowDxfId="6302"/>
    <tableColumn id="10088" name="Columna10074" dataDxfId="22925" totalsRowDxfId="6301"/>
    <tableColumn id="10089" name="Columna10075" dataDxfId="22924" totalsRowDxfId="6300"/>
    <tableColumn id="10090" name="Columna10076" dataDxfId="22923" totalsRowDxfId="6299"/>
    <tableColumn id="10091" name="Columna10077" dataDxfId="22922" totalsRowDxfId="6298"/>
    <tableColumn id="10092" name="Columna10078" dataDxfId="22921" totalsRowDxfId="6297"/>
    <tableColumn id="10093" name="Columna10079" dataDxfId="22920" totalsRowDxfId="6296"/>
    <tableColumn id="10094" name="Columna10080" dataDxfId="22919" totalsRowDxfId="6295"/>
    <tableColumn id="10095" name="Columna10081" dataDxfId="22918" totalsRowDxfId="6294"/>
    <tableColumn id="10096" name="Columna10082" dataDxfId="22917" totalsRowDxfId="6293"/>
    <tableColumn id="10097" name="Columna10083" dataDxfId="22916" totalsRowDxfId="6292"/>
    <tableColumn id="10098" name="Columna10084" dataDxfId="22915" totalsRowDxfId="6291"/>
    <tableColumn id="10099" name="Columna10085" dataDxfId="22914" totalsRowDxfId="6290"/>
    <tableColumn id="10100" name="Columna10086" dataDxfId="22913" totalsRowDxfId="6289"/>
    <tableColumn id="10101" name="Columna10087" dataDxfId="22912" totalsRowDxfId="6288"/>
    <tableColumn id="10102" name="Columna10088" dataDxfId="22911" totalsRowDxfId="6287"/>
    <tableColumn id="10103" name="Columna10089" dataDxfId="22910" totalsRowDxfId="6286"/>
    <tableColumn id="10104" name="Columna10090" dataDxfId="22909" totalsRowDxfId="6285"/>
    <tableColumn id="10105" name="Columna10091" dataDxfId="22908" totalsRowDxfId="6284"/>
    <tableColumn id="10106" name="Columna10092" dataDxfId="22907" totalsRowDxfId="6283"/>
    <tableColumn id="10107" name="Columna10093" dataDxfId="22906" totalsRowDxfId="6282"/>
    <tableColumn id="10108" name="Columna10094" dataDxfId="22905" totalsRowDxfId="6281"/>
    <tableColumn id="10109" name="Columna10095" dataDxfId="22904" totalsRowDxfId="6280"/>
    <tableColumn id="10110" name="Columna10096" dataDxfId="22903" totalsRowDxfId="6279"/>
    <tableColumn id="10111" name="Columna10097" dataDxfId="22902" totalsRowDxfId="6278"/>
    <tableColumn id="10112" name="Columna10098" dataDxfId="22901" totalsRowDxfId="6277"/>
    <tableColumn id="10113" name="Columna10099" dataDxfId="22900" totalsRowDxfId="6276"/>
    <tableColumn id="10114" name="Columna10100" dataDxfId="22899" totalsRowDxfId="6275"/>
    <tableColumn id="10115" name="Columna10101" dataDxfId="22898" totalsRowDxfId="6274"/>
    <tableColumn id="10116" name="Columna10102" dataDxfId="22897" totalsRowDxfId="6273"/>
    <tableColumn id="10117" name="Columna10103" dataDxfId="22896" totalsRowDxfId="6272"/>
    <tableColumn id="10118" name="Columna10104" dataDxfId="22895" totalsRowDxfId="6271"/>
    <tableColumn id="10119" name="Columna10105" dataDxfId="22894" totalsRowDxfId="6270"/>
    <tableColumn id="10120" name="Columna10106" dataDxfId="22893" totalsRowDxfId="6269"/>
    <tableColumn id="10121" name="Columna10107" dataDxfId="22892" totalsRowDxfId="6268"/>
    <tableColumn id="10122" name="Columna10108" dataDxfId="22891" totalsRowDxfId="6267"/>
    <tableColumn id="10123" name="Columna10109" dataDxfId="22890" totalsRowDxfId="6266"/>
    <tableColumn id="10124" name="Columna10110" dataDxfId="22889" totalsRowDxfId="6265"/>
    <tableColumn id="10125" name="Columna10111" dataDxfId="22888" totalsRowDxfId="6264"/>
    <tableColumn id="10126" name="Columna10112" dataDxfId="22887" totalsRowDxfId="6263"/>
    <tableColumn id="10127" name="Columna10113" dataDxfId="22886" totalsRowDxfId="6262"/>
    <tableColumn id="10128" name="Columna10114" dataDxfId="22885" totalsRowDxfId="6261"/>
    <tableColumn id="10129" name="Columna10115" dataDxfId="22884" totalsRowDxfId="6260"/>
    <tableColumn id="10130" name="Columna10116" dataDxfId="22883" totalsRowDxfId="6259"/>
    <tableColumn id="10131" name="Columna10117" dataDxfId="22882" totalsRowDxfId="6258"/>
    <tableColumn id="10132" name="Columna10118" dataDxfId="22881" totalsRowDxfId="6257"/>
    <tableColumn id="10133" name="Columna10119" dataDxfId="22880" totalsRowDxfId="6256"/>
    <tableColumn id="10134" name="Columna10120" dataDxfId="22879" totalsRowDxfId="6255"/>
    <tableColumn id="10135" name="Columna10121" dataDxfId="22878" totalsRowDxfId="6254"/>
    <tableColumn id="10136" name="Columna10122" dataDxfId="22877" totalsRowDxfId="6253"/>
    <tableColumn id="10137" name="Columna10123" dataDxfId="22876" totalsRowDxfId="6252"/>
    <tableColumn id="10138" name="Columna10124" dataDxfId="22875" totalsRowDxfId="6251"/>
    <tableColumn id="10139" name="Columna10125" dataDxfId="22874" totalsRowDxfId="6250"/>
    <tableColumn id="10140" name="Columna10126" dataDxfId="22873" totalsRowDxfId="6249"/>
    <tableColumn id="10141" name="Columna10127" dataDxfId="22872" totalsRowDxfId="6248"/>
    <tableColumn id="10142" name="Columna10128" dataDxfId="22871" totalsRowDxfId="6247"/>
    <tableColumn id="10143" name="Columna10129" dataDxfId="22870" totalsRowDxfId="6246"/>
    <tableColumn id="10144" name="Columna10130" dataDxfId="22869" totalsRowDxfId="6245"/>
    <tableColumn id="10145" name="Columna10131" dataDxfId="22868" totalsRowDxfId="6244"/>
    <tableColumn id="10146" name="Columna10132" dataDxfId="22867" totalsRowDxfId="6243"/>
    <tableColumn id="10147" name="Columna10133" dataDxfId="22866" totalsRowDxfId="6242"/>
    <tableColumn id="10148" name="Columna10134" dataDxfId="22865" totalsRowDxfId="6241"/>
    <tableColumn id="10149" name="Columna10135" dataDxfId="22864" totalsRowDxfId="6240"/>
    <tableColumn id="10150" name="Columna10136" dataDxfId="22863" totalsRowDxfId="6239"/>
    <tableColumn id="10151" name="Columna10137" dataDxfId="22862" totalsRowDxfId="6238"/>
    <tableColumn id="10152" name="Columna10138" dataDxfId="22861" totalsRowDxfId="6237"/>
    <tableColumn id="10153" name="Columna10139" dataDxfId="22860" totalsRowDxfId="6236"/>
    <tableColumn id="10154" name="Columna10140" dataDxfId="22859" totalsRowDxfId="6235"/>
    <tableColumn id="10155" name="Columna10141" dataDxfId="22858" totalsRowDxfId="6234"/>
    <tableColumn id="10156" name="Columna10142" dataDxfId="22857" totalsRowDxfId="6233"/>
    <tableColumn id="10157" name="Columna10143" dataDxfId="22856" totalsRowDxfId="6232"/>
    <tableColumn id="10158" name="Columna10144" dataDxfId="22855" totalsRowDxfId="6231"/>
    <tableColumn id="10159" name="Columna10145" dataDxfId="22854" totalsRowDxfId="6230"/>
    <tableColumn id="10160" name="Columna10146" dataDxfId="22853" totalsRowDxfId="6229"/>
    <tableColumn id="10161" name="Columna10147" dataDxfId="22852" totalsRowDxfId="6228"/>
    <tableColumn id="10162" name="Columna10148" dataDxfId="22851" totalsRowDxfId="6227"/>
    <tableColumn id="10163" name="Columna10149" dataDxfId="22850" totalsRowDxfId="6226"/>
    <tableColumn id="10164" name="Columna10150" dataDxfId="22849" totalsRowDxfId="6225"/>
    <tableColumn id="10165" name="Columna10151" dataDxfId="22848" totalsRowDxfId="6224"/>
    <tableColumn id="10166" name="Columna10152" dataDxfId="22847" totalsRowDxfId="6223"/>
    <tableColumn id="10167" name="Columna10153" dataDxfId="22846" totalsRowDxfId="6222"/>
    <tableColumn id="10168" name="Columna10154" dataDxfId="22845" totalsRowDxfId="6221"/>
    <tableColumn id="10169" name="Columna10155" dataDxfId="22844" totalsRowDxfId="6220"/>
    <tableColumn id="10170" name="Columna10156" dataDxfId="22843" totalsRowDxfId="6219"/>
    <tableColumn id="10171" name="Columna10157" dataDxfId="22842" totalsRowDxfId="6218"/>
    <tableColumn id="10172" name="Columna10158" dataDxfId="22841" totalsRowDxfId="6217"/>
    <tableColumn id="10173" name="Columna10159" dataDxfId="22840" totalsRowDxfId="6216"/>
    <tableColumn id="10174" name="Columna10160" dataDxfId="22839" totalsRowDxfId="6215"/>
    <tableColumn id="10175" name="Columna10161" dataDxfId="22838" totalsRowDxfId="6214"/>
    <tableColumn id="10176" name="Columna10162" dataDxfId="22837" totalsRowDxfId="6213"/>
    <tableColumn id="10177" name="Columna10163" dataDxfId="22836" totalsRowDxfId="6212"/>
    <tableColumn id="10178" name="Columna10164" dataDxfId="22835" totalsRowDxfId="6211"/>
    <tableColumn id="10179" name="Columna10165" dataDxfId="22834" totalsRowDxfId="6210"/>
    <tableColumn id="10180" name="Columna10166" dataDxfId="22833" totalsRowDxfId="6209"/>
    <tableColumn id="10181" name="Columna10167" dataDxfId="22832" totalsRowDxfId="6208"/>
    <tableColumn id="10182" name="Columna10168" dataDxfId="22831" totalsRowDxfId="6207"/>
    <tableColumn id="10183" name="Columna10169" dataDxfId="22830" totalsRowDxfId="6206"/>
    <tableColumn id="10184" name="Columna10170" dataDxfId="22829" totalsRowDxfId="6205"/>
    <tableColumn id="10185" name="Columna10171" dataDxfId="22828" totalsRowDxfId="6204"/>
    <tableColumn id="10186" name="Columna10172" dataDxfId="22827" totalsRowDxfId="6203"/>
    <tableColumn id="10187" name="Columna10173" dataDxfId="22826" totalsRowDxfId="6202"/>
    <tableColumn id="10188" name="Columna10174" dataDxfId="22825" totalsRowDxfId="6201"/>
    <tableColumn id="10189" name="Columna10175" dataDxfId="22824" totalsRowDxfId="6200"/>
    <tableColumn id="10190" name="Columna10176" dataDxfId="22823" totalsRowDxfId="6199"/>
    <tableColumn id="10191" name="Columna10177" dataDxfId="22822" totalsRowDxfId="6198"/>
    <tableColumn id="10192" name="Columna10178" dataDxfId="22821" totalsRowDxfId="6197"/>
    <tableColumn id="10193" name="Columna10179" dataDxfId="22820" totalsRowDxfId="6196"/>
    <tableColumn id="10194" name="Columna10180" dataDxfId="22819" totalsRowDxfId="6195"/>
    <tableColumn id="10195" name="Columna10181" dataDxfId="22818" totalsRowDxfId="6194"/>
    <tableColumn id="10196" name="Columna10182" dataDxfId="22817" totalsRowDxfId="6193"/>
    <tableColumn id="10197" name="Columna10183" dataDxfId="22816" totalsRowDxfId="6192"/>
    <tableColumn id="10198" name="Columna10184" dataDxfId="22815" totalsRowDxfId="6191"/>
    <tableColumn id="10199" name="Columna10185" dataDxfId="22814" totalsRowDxfId="6190"/>
    <tableColumn id="10200" name="Columna10186" dataDxfId="22813" totalsRowDxfId="6189"/>
    <tableColumn id="10201" name="Columna10187" dataDxfId="22812" totalsRowDxfId="6188"/>
    <tableColumn id="10202" name="Columna10188" dataDxfId="22811" totalsRowDxfId="6187"/>
    <tableColumn id="10203" name="Columna10189" dataDxfId="22810" totalsRowDxfId="6186"/>
    <tableColumn id="10204" name="Columna10190" dataDxfId="22809" totalsRowDxfId="6185"/>
    <tableColumn id="10205" name="Columna10191" dataDxfId="22808" totalsRowDxfId="6184"/>
    <tableColumn id="10206" name="Columna10192" dataDxfId="22807" totalsRowDxfId="6183"/>
    <tableColumn id="10207" name="Columna10193" dataDxfId="22806" totalsRowDxfId="6182"/>
    <tableColumn id="10208" name="Columna10194" dataDxfId="22805" totalsRowDxfId="6181"/>
    <tableColumn id="10209" name="Columna10195" dataDxfId="22804" totalsRowDxfId="6180"/>
    <tableColumn id="10210" name="Columna10196" dataDxfId="22803" totalsRowDxfId="6179"/>
    <tableColumn id="10211" name="Columna10197" dataDxfId="22802" totalsRowDxfId="6178"/>
    <tableColumn id="10212" name="Columna10198" dataDxfId="22801" totalsRowDxfId="6177"/>
    <tableColumn id="10213" name="Columna10199" dataDxfId="22800" totalsRowDxfId="6176"/>
    <tableColumn id="10214" name="Columna10200" dataDxfId="22799" totalsRowDxfId="6175"/>
    <tableColumn id="10215" name="Columna10201" dataDxfId="22798" totalsRowDxfId="6174"/>
    <tableColumn id="10216" name="Columna10202" dataDxfId="22797" totalsRowDxfId="6173"/>
    <tableColumn id="10217" name="Columna10203" dataDxfId="22796" totalsRowDxfId="6172"/>
    <tableColumn id="10218" name="Columna10204" dataDxfId="22795" totalsRowDxfId="6171"/>
    <tableColumn id="10219" name="Columna10205" dataDxfId="22794" totalsRowDxfId="6170"/>
    <tableColumn id="10220" name="Columna10206" dataDxfId="22793" totalsRowDxfId="6169"/>
    <tableColumn id="10221" name="Columna10207" dataDxfId="22792" totalsRowDxfId="6168"/>
    <tableColumn id="10222" name="Columna10208" dataDxfId="22791" totalsRowDxfId="6167"/>
    <tableColumn id="10223" name="Columna10209" dataDxfId="22790" totalsRowDxfId="6166"/>
    <tableColumn id="10224" name="Columna10210" dataDxfId="22789" totalsRowDxfId="6165"/>
    <tableColumn id="10225" name="Columna10211" dataDxfId="22788" totalsRowDxfId="6164"/>
    <tableColumn id="10226" name="Columna10212" dataDxfId="22787" totalsRowDxfId="6163"/>
    <tableColumn id="10227" name="Columna10213" dataDxfId="22786" totalsRowDxfId="6162"/>
    <tableColumn id="10228" name="Columna10214" dataDxfId="22785" totalsRowDxfId="6161"/>
    <tableColumn id="10229" name="Columna10215" dataDxfId="22784" totalsRowDxfId="6160"/>
    <tableColumn id="10230" name="Columna10216" dataDxfId="22783" totalsRowDxfId="6159"/>
    <tableColumn id="10231" name="Columna10217" dataDxfId="22782" totalsRowDxfId="6158"/>
    <tableColumn id="10232" name="Columna10218" dataDxfId="22781" totalsRowDxfId="6157"/>
    <tableColumn id="10233" name="Columna10219" dataDxfId="22780" totalsRowDxfId="6156"/>
    <tableColumn id="10234" name="Columna10220" dataDxfId="22779" totalsRowDxfId="6155"/>
    <tableColumn id="10235" name="Columna10221" dataDxfId="22778" totalsRowDxfId="6154"/>
    <tableColumn id="10236" name="Columna10222" dataDxfId="22777" totalsRowDxfId="6153"/>
    <tableColumn id="10237" name="Columna10223" dataDxfId="22776" totalsRowDxfId="6152"/>
    <tableColumn id="10238" name="Columna10224" dataDxfId="22775" totalsRowDxfId="6151"/>
    <tableColumn id="10239" name="Columna10225" dataDxfId="22774" totalsRowDxfId="6150"/>
    <tableColumn id="10240" name="Columna10226" dataDxfId="22773" totalsRowDxfId="6149"/>
    <tableColumn id="10241" name="Columna10227" dataDxfId="22772" totalsRowDxfId="6148"/>
    <tableColumn id="10242" name="Columna10228" dataDxfId="22771" totalsRowDxfId="6147"/>
    <tableColumn id="10243" name="Columna10229" dataDxfId="22770" totalsRowDxfId="6146"/>
    <tableColumn id="10244" name="Columna10230" dataDxfId="22769" totalsRowDxfId="6145"/>
    <tableColumn id="10245" name="Columna10231" dataDxfId="22768" totalsRowDxfId="6144"/>
    <tableColumn id="10246" name="Columna10232" dataDxfId="22767" totalsRowDxfId="6143"/>
    <tableColumn id="10247" name="Columna10233" dataDxfId="22766" totalsRowDxfId="6142"/>
    <tableColumn id="10248" name="Columna10234" dataDxfId="22765" totalsRowDxfId="6141"/>
    <tableColumn id="10249" name="Columna10235" dataDxfId="22764" totalsRowDxfId="6140"/>
    <tableColumn id="10250" name="Columna10236" dataDxfId="22763" totalsRowDxfId="6139"/>
    <tableColumn id="10251" name="Columna10237" dataDxfId="22762" totalsRowDxfId="6138"/>
    <tableColumn id="10252" name="Columna10238" dataDxfId="22761" totalsRowDxfId="6137"/>
    <tableColumn id="10253" name="Columna10239" dataDxfId="22760" totalsRowDxfId="6136"/>
    <tableColumn id="10254" name="Columna10240" dataDxfId="22759" totalsRowDxfId="6135"/>
    <tableColumn id="10255" name="Columna10241" dataDxfId="22758" totalsRowDxfId="6134"/>
    <tableColumn id="10256" name="Columna10242" dataDxfId="22757" totalsRowDxfId="6133"/>
    <tableColumn id="10257" name="Columna10243" dataDxfId="22756" totalsRowDxfId="6132"/>
    <tableColumn id="10258" name="Columna10244" dataDxfId="22755" totalsRowDxfId="6131"/>
    <tableColumn id="10259" name="Columna10245" dataDxfId="22754" totalsRowDxfId="6130"/>
    <tableColumn id="10260" name="Columna10246" dataDxfId="22753" totalsRowDxfId="6129"/>
    <tableColumn id="10261" name="Columna10247" dataDxfId="22752" totalsRowDxfId="6128"/>
    <tableColumn id="10262" name="Columna10248" dataDxfId="22751" totalsRowDxfId="6127"/>
    <tableColumn id="10263" name="Columna10249" dataDxfId="22750" totalsRowDxfId="6126"/>
    <tableColumn id="10264" name="Columna10250" dataDxfId="22749" totalsRowDxfId="6125"/>
    <tableColumn id="10265" name="Columna10251" dataDxfId="22748" totalsRowDxfId="6124"/>
    <tableColumn id="10266" name="Columna10252" dataDxfId="22747" totalsRowDxfId="6123"/>
    <tableColumn id="10267" name="Columna10253" dataDxfId="22746" totalsRowDxfId="6122"/>
    <tableColumn id="10268" name="Columna10254" dataDxfId="22745" totalsRowDxfId="6121"/>
    <tableColumn id="10269" name="Columna10255" dataDxfId="22744" totalsRowDxfId="6120"/>
    <tableColumn id="10270" name="Columna10256" dataDxfId="22743" totalsRowDxfId="6119"/>
    <tableColumn id="10271" name="Columna10257" dataDxfId="22742" totalsRowDxfId="6118"/>
    <tableColumn id="10272" name="Columna10258" dataDxfId="22741" totalsRowDxfId="6117"/>
    <tableColumn id="10273" name="Columna10259" dataDxfId="22740" totalsRowDxfId="6116"/>
    <tableColumn id="10274" name="Columna10260" dataDxfId="22739" totalsRowDxfId="6115"/>
    <tableColumn id="10275" name="Columna10261" dataDxfId="22738" totalsRowDxfId="6114"/>
    <tableColumn id="10276" name="Columna10262" dataDxfId="22737" totalsRowDxfId="6113"/>
    <tableColumn id="10277" name="Columna10263" dataDxfId="22736" totalsRowDxfId="6112"/>
    <tableColumn id="10278" name="Columna10264" dataDxfId="22735" totalsRowDxfId="6111"/>
    <tableColumn id="10279" name="Columna10265" dataDxfId="22734" totalsRowDxfId="6110"/>
    <tableColumn id="10280" name="Columna10266" dataDxfId="22733" totalsRowDxfId="6109"/>
    <tableColumn id="10281" name="Columna10267" dataDxfId="22732" totalsRowDxfId="6108"/>
    <tableColumn id="10282" name="Columna10268" dataDxfId="22731" totalsRowDxfId="6107"/>
    <tableColumn id="10283" name="Columna10269" dataDxfId="22730" totalsRowDxfId="6106"/>
    <tableColumn id="10284" name="Columna10270" dataDxfId="22729" totalsRowDxfId="6105"/>
    <tableColumn id="10285" name="Columna10271" dataDxfId="22728" totalsRowDxfId="6104"/>
    <tableColumn id="10286" name="Columna10272" dataDxfId="22727" totalsRowDxfId="6103"/>
    <tableColumn id="10287" name="Columna10273" dataDxfId="22726" totalsRowDxfId="6102"/>
    <tableColumn id="10288" name="Columna10274" dataDxfId="22725" totalsRowDxfId="6101"/>
    <tableColumn id="10289" name="Columna10275" dataDxfId="22724" totalsRowDxfId="6100"/>
    <tableColumn id="10290" name="Columna10276" dataDxfId="22723" totalsRowDxfId="6099"/>
    <tableColumn id="10291" name="Columna10277" dataDxfId="22722" totalsRowDxfId="6098"/>
    <tableColumn id="10292" name="Columna10278" dataDxfId="22721" totalsRowDxfId="6097"/>
    <tableColumn id="10293" name="Columna10279" dataDxfId="22720" totalsRowDxfId="6096"/>
    <tableColumn id="10294" name="Columna10280" dataDxfId="22719" totalsRowDxfId="6095"/>
    <tableColumn id="10295" name="Columna10281" dataDxfId="22718" totalsRowDxfId="6094"/>
    <tableColumn id="10296" name="Columna10282" dataDxfId="22717" totalsRowDxfId="6093"/>
    <tableColumn id="10297" name="Columna10283" dataDxfId="22716" totalsRowDxfId="6092"/>
    <tableColumn id="10298" name="Columna10284" dataDxfId="22715" totalsRowDxfId="6091"/>
    <tableColumn id="10299" name="Columna10285" dataDxfId="22714" totalsRowDxfId="6090"/>
    <tableColumn id="10300" name="Columna10286" dataDxfId="22713" totalsRowDxfId="6089"/>
    <tableColumn id="10301" name="Columna10287" dataDxfId="22712" totalsRowDxfId="6088"/>
    <tableColumn id="10302" name="Columna10288" dataDxfId="22711" totalsRowDxfId="6087"/>
    <tableColumn id="10303" name="Columna10289" dataDxfId="22710" totalsRowDxfId="6086"/>
    <tableColumn id="10304" name="Columna10290" dataDxfId="22709" totalsRowDxfId="6085"/>
    <tableColumn id="10305" name="Columna10291" dataDxfId="22708" totalsRowDxfId="6084"/>
    <tableColumn id="10306" name="Columna10292" dataDxfId="22707" totalsRowDxfId="6083"/>
    <tableColumn id="10307" name="Columna10293" dataDxfId="22706" totalsRowDxfId="6082"/>
    <tableColumn id="10308" name="Columna10294" dataDxfId="22705" totalsRowDxfId="6081"/>
    <tableColumn id="10309" name="Columna10295" dataDxfId="22704" totalsRowDxfId="6080"/>
    <tableColumn id="10310" name="Columna10296" dataDxfId="22703" totalsRowDxfId="6079"/>
    <tableColumn id="10311" name="Columna10297" dataDxfId="22702" totalsRowDxfId="6078"/>
    <tableColumn id="10312" name="Columna10298" dataDxfId="22701" totalsRowDxfId="6077"/>
    <tableColumn id="10313" name="Columna10299" dataDxfId="22700" totalsRowDxfId="6076"/>
    <tableColumn id="10314" name="Columna10300" dataDxfId="22699" totalsRowDxfId="6075"/>
    <tableColumn id="10315" name="Columna10301" dataDxfId="22698" totalsRowDxfId="6074"/>
    <tableColumn id="10316" name="Columna10302" dataDxfId="22697" totalsRowDxfId="6073"/>
    <tableColumn id="10317" name="Columna10303" dataDxfId="22696" totalsRowDxfId="6072"/>
    <tableColumn id="10318" name="Columna10304" dataDxfId="22695" totalsRowDxfId="6071"/>
    <tableColumn id="10319" name="Columna10305" dataDxfId="22694" totalsRowDxfId="6070"/>
    <tableColumn id="10320" name="Columna10306" dataDxfId="22693" totalsRowDxfId="6069"/>
    <tableColumn id="10321" name="Columna10307" dataDxfId="22692" totalsRowDxfId="6068"/>
    <tableColumn id="10322" name="Columna10308" dataDxfId="22691" totalsRowDxfId="6067"/>
    <tableColumn id="10323" name="Columna10309" dataDxfId="22690" totalsRowDxfId="6066"/>
    <tableColumn id="10324" name="Columna10310" dataDxfId="22689" totalsRowDxfId="6065"/>
    <tableColumn id="10325" name="Columna10311" dataDxfId="22688" totalsRowDxfId="6064"/>
    <tableColumn id="10326" name="Columna10312" dataDxfId="22687" totalsRowDxfId="6063"/>
    <tableColumn id="10327" name="Columna10313" dataDxfId="22686" totalsRowDxfId="6062"/>
    <tableColumn id="10328" name="Columna10314" dataDxfId="22685" totalsRowDxfId="6061"/>
    <tableColumn id="10329" name="Columna10315" dataDxfId="22684" totalsRowDxfId="6060"/>
    <tableColumn id="10330" name="Columna10316" dataDxfId="22683" totalsRowDxfId="6059"/>
    <tableColumn id="10331" name="Columna10317" dataDxfId="22682" totalsRowDxfId="6058"/>
    <tableColumn id="10332" name="Columna10318" dataDxfId="22681" totalsRowDxfId="6057"/>
    <tableColumn id="10333" name="Columna10319" dataDxfId="22680" totalsRowDxfId="6056"/>
    <tableColumn id="10334" name="Columna10320" dataDxfId="22679" totalsRowDxfId="6055"/>
    <tableColumn id="10335" name="Columna10321" dataDxfId="22678" totalsRowDxfId="6054"/>
    <tableColumn id="10336" name="Columna10322" dataDxfId="22677" totalsRowDxfId="6053"/>
    <tableColumn id="10337" name="Columna10323" dataDxfId="22676" totalsRowDxfId="6052"/>
    <tableColumn id="10338" name="Columna10324" dataDxfId="22675" totalsRowDxfId="6051"/>
    <tableColumn id="10339" name="Columna10325" dataDxfId="22674" totalsRowDxfId="6050"/>
    <tableColumn id="10340" name="Columna10326" dataDxfId="22673" totalsRowDxfId="6049"/>
    <tableColumn id="10341" name="Columna10327" dataDxfId="22672" totalsRowDxfId="6048"/>
    <tableColumn id="10342" name="Columna10328" dataDxfId="22671" totalsRowDxfId="6047"/>
    <tableColumn id="10343" name="Columna10329" dataDxfId="22670" totalsRowDxfId="6046"/>
    <tableColumn id="10344" name="Columna10330" dataDxfId="22669" totalsRowDxfId="6045"/>
    <tableColumn id="10345" name="Columna10331" dataDxfId="22668" totalsRowDxfId="6044"/>
    <tableColumn id="10346" name="Columna10332" dataDxfId="22667" totalsRowDxfId="6043"/>
    <tableColumn id="10347" name="Columna10333" dataDxfId="22666" totalsRowDxfId="6042"/>
    <tableColumn id="10348" name="Columna10334" dataDxfId="22665" totalsRowDxfId="6041"/>
    <tableColumn id="10349" name="Columna10335" dataDxfId="22664" totalsRowDxfId="6040"/>
    <tableColumn id="10350" name="Columna10336" dataDxfId="22663" totalsRowDxfId="6039"/>
    <tableColumn id="10351" name="Columna10337" dataDxfId="22662" totalsRowDxfId="6038"/>
    <tableColumn id="10352" name="Columna10338" dataDxfId="22661" totalsRowDxfId="6037"/>
    <tableColumn id="10353" name="Columna10339" dataDxfId="22660" totalsRowDxfId="6036"/>
    <tableColumn id="10354" name="Columna10340" dataDxfId="22659" totalsRowDxfId="6035"/>
    <tableColumn id="10355" name="Columna10341" dataDxfId="22658" totalsRowDxfId="6034"/>
    <tableColumn id="10356" name="Columna10342" dataDxfId="22657" totalsRowDxfId="6033"/>
    <tableColumn id="10357" name="Columna10343" dataDxfId="22656" totalsRowDxfId="6032"/>
    <tableColumn id="10358" name="Columna10344" dataDxfId="22655" totalsRowDxfId="6031"/>
    <tableColumn id="10359" name="Columna10345" dataDxfId="22654" totalsRowDxfId="6030"/>
    <tableColumn id="10360" name="Columna10346" dataDxfId="22653" totalsRowDxfId="6029"/>
    <tableColumn id="10361" name="Columna10347" dataDxfId="22652" totalsRowDxfId="6028"/>
    <tableColumn id="10362" name="Columna10348" dataDxfId="22651" totalsRowDxfId="6027"/>
    <tableColumn id="10363" name="Columna10349" dataDxfId="22650" totalsRowDxfId="6026"/>
    <tableColumn id="10364" name="Columna10350" dataDxfId="22649" totalsRowDxfId="6025"/>
    <tableColumn id="10365" name="Columna10351" dataDxfId="22648" totalsRowDxfId="6024"/>
    <tableColumn id="10366" name="Columna10352" dataDxfId="22647" totalsRowDxfId="6023"/>
    <tableColumn id="10367" name="Columna10353" dataDxfId="22646" totalsRowDxfId="6022"/>
    <tableColumn id="10368" name="Columna10354" dataDxfId="22645" totalsRowDxfId="6021"/>
    <tableColumn id="10369" name="Columna10355" dataDxfId="22644" totalsRowDxfId="6020"/>
    <tableColumn id="10370" name="Columna10356" dataDxfId="22643" totalsRowDxfId="6019"/>
    <tableColumn id="10371" name="Columna10357" dataDxfId="22642" totalsRowDxfId="6018"/>
    <tableColumn id="10372" name="Columna10358" dataDxfId="22641" totalsRowDxfId="6017"/>
    <tableColumn id="10373" name="Columna10359" dataDxfId="22640" totalsRowDxfId="6016"/>
    <tableColumn id="10374" name="Columna10360" dataDxfId="22639" totalsRowDxfId="6015"/>
    <tableColumn id="10375" name="Columna10361" dataDxfId="22638" totalsRowDxfId="6014"/>
    <tableColumn id="10376" name="Columna10362" dataDxfId="22637" totalsRowDxfId="6013"/>
    <tableColumn id="10377" name="Columna10363" dataDxfId="22636" totalsRowDxfId="6012"/>
    <tableColumn id="10378" name="Columna10364" dataDxfId="22635" totalsRowDxfId="6011"/>
    <tableColumn id="10379" name="Columna10365" dataDxfId="22634" totalsRowDxfId="6010"/>
    <tableColumn id="10380" name="Columna10366" dataDxfId="22633" totalsRowDxfId="6009"/>
    <tableColumn id="10381" name="Columna10367" dataDxfId="22632" totalsRowDxfId="6008"/>
    <tableColumn id="10382" name="Columna10368" dataDxfId="22631" totalsRowDxfId="6007"/>
    <tableColumn id="10383" name="Columna10369" dataDxfId="22630" totalsRowDxfId="6006"/>
    <tableColumn id="10384" name="Columna10370" dataDxfId="22629" totalsRowDxfId="6005"/>
    <tableColumn id="10385" name="Columna10371" dataDxfId="22628" totalsRowDxfId="6004"/>
    <tableColumn id="10386" name="Columna10372" dataDxfId="22627" totalsRowDxfId="6003"/>
    <tableColumn id="10387" name="Columna10373" dataDxfId="22626" totalsRowDxfId="6002"/>
    <tableColumn id="10388" name="Columna10374" dataDxfId="22625" totalsRowDxfId="6001"/>
    <tableColumn id="10389" name="Columna10375" dataDxfId="22624" totalsRowDxfId="6000"/>
    <tableColumn id="10390" name="Columna10376" dataDxfId="22623" totalsRowDxfId="5999"/>
    <tableColumn id="10391" name="Columna10377" dataDxfId="22622" totalsRowDxfId="5998"/>
    <tableColumn id="10392" name="Columna10378" dataDxfId="22621" totalsRowDxfId="5997"/>
    <tableColumn id="10393" name="Columna10379" dataDxfId="22620" totalsRowDxfId="5996"/>
    <tableColumn id="10394" name="Columna10380" dataDxfId="22619" totalsRowDxfId="5995"/>
    <tableColumn id="10395" name="Columna10381" dataDxfId="22618" totalsRowDxfId="5994"/>
    <tableColumn id="10396" name="Columna10382" dataDxfId="22617" totalsRowDxfId="5993"/>
    <tableColumn id="10397" name="Columna10383" dataDxfId="22616" totalsRowDxfId="5992"/>
    <tableColumn id="10398" name="Columna10384" dataDxfId="22615" totalsRowDxfId="5991"/>
    <tableColumn id="10399" name="Columna10385" dataDxfId="22614" totalsRowDxfId="5990"/>
    <tableColumn id="10400" name="Columna10386" dataDxfId="22613" totalsRowDxfId="5989"/>
    <tableColumn id="10401" name="Columna10387" dataDxfId="22612" totalsRowDxfId="5988"/>
    <tableColumn id="10402" name="Columna10388" dataDxfId="22611" totalsRowDxfId="5987"/>
    <tableColumn id="10403" name="Columna10389" dataDxfId="22610" totalsRowDxfId="5986"/>
    <tableColumn id="10404" name="Columna10390" dataDxfId="22609" totalsRowDxfId="5985"/>
    <tableColumn id="10405" name="Columna10391" dataDxfId="22608" totalsRowDxfId="5984"/>
    <tableColumn id="10406" name="Columna10392" dataDxfId="22607" totalsRowDxfId="5983"/>
    <tableColumn id="10407" name="Columna10393" dataDxfId="22606" totalsRowDxfId="5982"/>
    <tableColumn id="10408" name="Columna10394" dataDxfId="22605" totalsRowDxfId="5981"/>
    <tableColumn id="10409" name="Columna10395" dataDxfId="22604" totalsRowDxfId="5980"/>
    <tableColumn id="10410" name="Columna10396" dataDxfId="22603" totalsRowDxfId="5979"/>
    <tableColumn id="10411" name="Columna10397" dataDxfId="22602" totalsRowDxfId="5978"/>
    <tableColumn id="10412" name="Columna10398" dataDxfId="22601" totalsRowDxfId="5977"/>
    <tableColumn id="10413" name="Columna10399" dataDxfId="22600" totalsRowDxfId="5976"/>
    <tableColumn id="10414" name="Columna10400" dataDxfId="22599" totalsRowDxfId="5975"/>
    <tableColumn id="10415" name="Columna10401" dataDxfId="22598" totalsRowDxfId="5974"/>
    <tableColumn id="10416" name="Columna10402" dataDxfId="22597" totalsRowDxfId="5973"/>
    <tableColumn id="10417" name="Columna10403" dataDxfId="22596" totalsRowDxfId="5972"/>
    <tableColumn id="10418" name="Columna10404" dataDxfId="22595" totalsRowDxfId="5971"/>
    <tableColumn id="10419" name="Columna10405" dataDxfId="22594" totalsRowDxfId="5970"/>
    <tableColumn id="10420" name="Columna10406" dataDxfId="22593" totalsRowDxfId="5969"/>
    <tableColumn id="10421" name="Columna10407" dataDxfId="22592" totalsRowDxfId="5968"/>
    <tableColumn id="10422" name="Columna10408" dataDxfId="22591" totalsRowDxfId="5967"/>
    <tableColumn id="10423" name="Columna10409" dataDxfId="22590" totalsRowDxfId="5966"/>
    <tableColumn id="10424" name="Columna10410" dataDxfId="22589" totalsRowDxfId="5965"/>
    <tableColumn id="10425" name="Columna10411" dataDxfId="22588" totalsRowDxfId="5964"/>
    <tableColumn id="10426" name="Columna10412" dataDxfId="22587" totalsRowDxfId="5963"/>
    <tableColumn id="10427" name="Columna10413" dataDxfId="22586" totalsRowDxfId="5962"/>
    <tableColumn id="10428" name="Columna10414" dataDxfId="22585" totalsRowDxfId="5961"/>
    <tableColumn id="10429" name="Columna10415" dataDxfId="22584" totalsRowDxfId="5960"/>
    <tableColumn id="10430" name="Columna10416" dataDxfId="22583" totalsRowDxfId="5959"/>
    <tableColumn id="10431" name="Columna10417" dataDxfId="22582" totalsRowDxfId="5958"/>
    <tableColumn id="10432" name="Columna10418" dataDxfId="22581" totalsRowDxfId="5957"/>
    <tableColumn id="10433" name="Columna10419" dataDxfId="22580" totalsRowDxfId="5956"/>
    <tableColumn id="10434" name="Columna10420" dataDxfId="22579" totalsRowDxfId="5955"/>
    <tableColumn id="10435" name="Columna10421" dataDxfId="22578" totalsRowDxfId="5954"/>
    <tableColumn id="10436" name="Columna10422" dataDxfId="22577" totalsRowDxfId="5953"/>
    <tableColumn id="10437" name="Columna10423" dataDxfId="22576" totalsRowDxfId="5952"/>
    <tableColumn id="10438" name="Columna10424" dataDxfId="22575" totalsRowDxfId="5951"/>
    <tableColumn id="10439" name="Columna10425" dataDxfId="22574" totalsRowDxfId="5950"/>
    <tableColumn id="10440" name="Columna10426" dataDxfId="22573" totalsRowDxfId="5949"/>
    <tableColumn id="10441" name="Columna10427" dataDxfId="22572" totalsRowDxfId="5948"/>
    <tableColumn id="10442" name="Columna10428" dataDxfId="22571" totalsRowDxfId="5947"/>
    <tableColumn id="10443" name="Columna10429" dataDxfId="22570" totalsRowDxfId="5946"/>
    <tableColumn id="10444" name="Columna10430" dataDxfId="22569" totalsRowDxfId="5945"/>
    <tableColumn id="10445" name="Columna10431" dataDxfId="22568" totalsRowDxfId="5944"/>
    <tableColumn id="10446" name="Columna10432" dataDxfId="22567" totalsRowDxfId="5943"/>
    <tableColumn id="10447" name="Columna10433" dataDxfId="22566" totalsRowDxfId="5942"/>
    <tableColumn id="10448" name="Columna10434" dataDxfId="22565" totalsRowDxfId="5941"/>
    <tableColumn id="10449" name="Columna10435" dataDxfId="22564" totalsRowDxfId="5940"/>
    <tableColumn id="10450" name="Columna10436" dataDxfId="22563" totalsRowDxfId="5939"/>
    <tableColumn id="10451" name="Columna10437" dataDxfId="22562" totalsRowDxfId="5938"/>
    <tableColumn id="10452" name="Columna10438" dataDxfId="22561" totalsRowDxfId="5937"/>
    <tableColumn id="10453" name="Columna10439" dataDxfId="22560" totalsRowDxfId="5936"/>
    <tableColumn id="10454" name="Columna10440" dataDxfId="22559" totalsRowDxfId="5935"/>
    <tableColumn id="10455" name="Columna10441" dataDxfId="22558" totalsRowDxfId="5934"/>
    <tableColumn id="10456" name="Columna10442" dataDxfId="22557" totalsRowDxfId="5933"/>
    <tableColumn id="10457" name="Columna10443" dataDxfId="22556" totalsRowDxfId="5932"/>
    <tableColumn id="10458" name="Columna10444" dataDxfId="22555" totalsRowDxfId="5931"/>
    <tableColumn id="10459" name="Columna10445" dataDxfId="22554" totalsRowDxfId="5930"/>
    <tableColumn id="10460" name="Columna10446" dataDxfId="22553" totalsRowDxfId="5929"/>
    <tableColumn id="10461" name="Columna10447" dataDxfId="22552" totalsRowDxfId="5928"/>
    <tableColumn id="10462" name="Columna10448" dataDxfId="22551" totalsRowDxfId="5927"/>
    <tableColumn id="10463" name="Columna10449" dataDxfId="22550" totalsRowDxfId="5926"/>
    <tableColumn id="10464" name="Columna10450" dataDxfId="22549" totalsRowDxfId="5925"/>
    <tableColumn id="10465" name="Columna10451" dataDxfId="22548" totalsRowDxfId="5924"/>
    <tableColumn id="10466" name="Columna10452" dataDxfId="22547" totalsRowDxfId="5923"/>
    <tableColumn id="10467" name="Columna10453" dataDxfId="22546" totalsRowDxfId="5922"/>
    <tableColumn id="10468" name="Columna10454" dataDxfId="22545" totalsRowDxfId="5921"/>
    <tableColumn id="10469" name="Columna10455" dataDxfId="22544" totalsRowDxfId="5920"/>
    <tableColumn id="10470" name="Columna10456" dataDxfId="22543" totalsRowDxfId="5919"/>
    <tableColumn id="10471" name="Columna10457" dataDxfId="22542" totalsRowDxfId="5918"/>
    <tableColumn id="10472" name="Columna10458" dataDxfId="22541" totalsRowDxfId="5917"/>
    <tableColumn id="10473" name="Columna10459" dataDxfId="22540" totalsRowDxfId="5916"/>
    <tableColumn id="10474" name="Columna10460" dataDxfId="22539" totalsRowDxfId="5915"/>
    <tableColumn id="10475" name="Columna10461" dataDxfId="22538" totalsRowDxfId="5914"/>
    <tableColumn id="10476" name="Columna10462" dataDxfId="22537" totalsRowDxfId="5913"/>
    <tableColumn id="10477" name="Columna10463" dataDxfId="22536" totalsRowDxfId="5912"/>
    <tableColumn id="10478" name="Columna10464" dataDxfId="22535" totalsRowDxfId="5911"/>
    <tableColumn id="10479" name="Columna10465" dataDxfId="22534" totalsRowDxfId="5910"/>
    <tableColumn id="10480" name="Columna10466" dataDxfId="22533" totalsRowDxfId="5909"/>
    <tableColumn id="10481" name="Columna10467" dataDxfId="22532" totalsRowDxfId="5908"/>
    <tableColumn id="10482" name="Columna10468" dataDxfId="22531" totalsRowDxfId="5907"/>
    <tableColumn id="10483" name="Columna10469" dataDxfId="22530" totalsRowDxfId="5906"/>
    <tableColumn id="10484" name="Columna10470" dataDxfId="22529" totalsRowDxfId="5905"/>
    <tableColumn id="10485" name="Columna10471" dataDxfId="22528" totalsRowDxfId="5904"/>
    <tableColumn id="10486" name="Columna10472" dataDxfId="22527" totalsRowDxfId="5903"/>
    <tableColumn id="10487" name="Columna10473" dataDxfId="22526" totalsRowDxfId="5902"/>
    <tableColumn id="10488" name="Columna10474" dataDxfId="22525" totalsRowDxfId="5901"/>
    <tableColumn id="10489" name="Columna10475" dataDxfId="22524" totalsRowDxfId="5900"/>
    <tableColumn id="10490" name="Columna10476" dataDxfId="22523" totalsRowDxfId="5899"/>
    <tableColumn id="10491" name="Columna10477" dataDxfId="22522" totalsRowDxfId="5898"/>
    <tableColumn id="10492" name="Columna10478" dataDxfId="22521" totalsRowDxfId="5897"/>
    <tableColumn id="10493" name="Columna10479" dataDxfId="22520" totalsRowDxfId="5896"/>
    <tableColumn id="10494" name="Columna10480" dataDxfId="22519" totalsRowDxfId="5895"/>
    <tableColumn id="10495" name="Columna10481" dataDxfId="22518" totalsRowDxfId="5894"/>
    <tableColumn id="10496" name="Columna10482" dataDxfId="22517" totalsRowDxfId="5893"/>
    <tableColumn id="10497" name="Columna10483" dataDxfId="22516" totalsRowDxfId="5892"/>
    <tableColumn id="10498" name="Columna10484" dataDxfId="22515" totalsRowDxfId="5891"/>
    <tableColumn id="10499" name="Columna10485" dataDxfId="22514" totalsRowDxfId="5890"/>
    <tableColumn id="10500" name="Columna10486" dataDxfId="22513" totalsRowDxfId="5889"/>
    <tableColumn id="10501" name="Columna10487" dataDxfId="22512" totalsRowDxfId="5888"/>
    <tableColumn id="10502" name="Columna10488" dataDxfId="22511" totalsRowDxfId="5887"/>
    <tableColumn id="10503" name="Columna10489" dataDxfId="22510" totalsRowDxfId="5886"/>
    <tableColumn id="10504" name="Columna10490" dataDxfId="22509" totalsRowDxfId="5885"/>
    <tableColumn id="10505" name="Columna10491" dataDxfId="22508" totalsRowDxfId="5884"/>
    <tableColumn id="10506" name="Columna10492" dataDxfId="22507" totalsRowDxfId="5883"/>
    <tableColumn id="10507" name="Columna10493" dataDxfId="22506" totalsRowDxfId="5882"/>
    <tableColumn id="10508" name="Columna10494" dataDxfId="22505" totalsRowDxfId="5881"/>
    <tableColumn id="10509" name="Columna10495" dataDxfId="22504" totalsRowDxfId="5880"/>
    <tableColumn id="10510" name="Columna10496" dataDxfId="22503" totalsRowDxfId="5879"/>
    <tableColumn id="10511" name="Columna10497" dataDxfId="22502" totalsRowDxfId="5878"/>
    <tableColumn id="10512" name="Columna10498" dataDxfId="22501" totalsRowDxfId="5877"/>
    <tableColumn id="10513" name="Columna10499" dataDxfId="22500" totalsRowDxfId="5876"/>
    <tableColumn id="10514" name="Columna10500" dataDxfId="22499" totalsRowDxfId="5875"/>
    <tableColumn id="10515" name="Columna10501" dataDxfId="22498" totalsRowDxfId="5874"/>
    <tableColumn id="10516" name="Columna10502" dataDxfId="22497" totalsRowDxfId="5873"/>
    <tableColumn id="10517" name="Columna10503" dataDxfId="22496" totalsRowDxfId="5872"/>
    <tableColumn id="10518" name="Columna10504" dataDxfId="22495" totalsRowDxfId="5871"/>
    <tableColumn id="10519" name="Columna10505" dataDxfId="22494" totalsRowDxfId="5870"/>
    <tableColumn id="10520" name="Columna10506" dataDxfId="22493" totalsRowDxfId="5869"/>
    <tableColumn id="10521" name="Columna10507" dataDxfId="22492" totalsRowDxfId="5868"/>
    <tableColumn id="10522" name="Columna10508" dataDxfId="22491" totalsRowDxfId="5867"/>
    <tableColumn id="10523" name="Columna10509" dataDxfId="22490" totalsRowDxfId="5866"/>
    <tableColumn id="10524" name="Columna10510" dataDxfId="22489" totalsRowDxfId="5865"/>
    <tableColumn id="10525" name="Columna10511" dataDxfId="22488" totalsRowDxfId="5864"/>
    <tableColumn id="10526" name="Columna10512" dataDxfId="22487" totalsRowDxfId="5863"/>
    <tableColumn id="10527" name="Columna10513" dataDxfId="22486" totalsRowDxfId="5862"/>
    <tableColumn id="10528" name="Columna10514" dataDxfId="22485" totalsRowDxfId="5861"/>
    <tableColumn id="10529" name="Columna10515" dataDxfId="22484" totalsRowDxfId="5860"/>
    <tableColumn id="10530" name="Columna10516" dataDxfId="22483" totalsRowDxfId="5859"/>
    <tableColumn id="10531" name="Columna10517" dataDxfId="22482" totalsRowDxfId="5858"/>
    <tableColumn id="10532" name="Columna10518" dataDxfId="22481" totalsRowDxfId="5857"/>
    <tableColumn id="10533" name="Columna10519" dataDxfId="22480" totalsRowDxfId="5856"/>
    <tableColumn id="10534" name="Columna10520" dataDxfId="22479" totalsRowDxfId="5855"/>
    <tableColumn id="10535" name="Columna10521" dataDxfId="22478" totalsRowDxfId="5854"/>
    <tableColumn id="10536" name="Columna10522" dataDxfId="22477" totalsRowDxfId="5853"/>
    <tableColumn id="10537" name="Columna10523" dataDxfId="22476" totalsRowDxfId="5852"/>
    <tableColumn id="10538" name="Columna10524" dataDxfId="22475" totalsRowDxfId="5851"/>
    <tableColumn id="10539" name="Columna10525" dataDxfId="22474" totalsRowDxfId="5850"/>
    <tableColumn id="10540" name="Columna10526" dataDxfId="22473" totalsRowDxfId="5849"/>
    <tableColumn id="10541" name="Columna10527" dataDxfId="22472" totalsRowDxfId="5848"/>
    <tableColumn id="10542" name="Columna10528" dataDxfId="22471" totalsRowDxfId="5847"/>
    <tableColumn id="10543" name="Columna10529" dataDxfId="22470" totalsRowDxfId="5846"/>
    <tableColumn id="10544" name="Columna10530" dataDxfId="22469" totalsRowDxfId="5845"/>
    <tableColumn id="10545" name="Columna10531" dataDxfId="22468" totalsRowDxfId="5844"/>
    <tableColumn id="10546" name="Columna10532" dataDxfId="22467" totalsRowDxfId="5843"/>
    <tableColumn id="10547" name="Columna10533" dataDxfId="22466" totalsRowDxfId="5842"/>
    <tableColumn id="10548" name="Columna10534" dataDxfId="22465" totalsRowDxfId="5841"/>
    <tableColumn id="10549" name="Columna10535" dataDxfId="22464" totalsRowDxfId="5840"/>
    <tableColumn id="10550" name="Columna10536" dataDxfId="22463" totalsRowDxfId="5839"/>
    <tableColumn id="10551" name="Columna10537" dataDxfId="22462" totalsRowDxfId="5838"/>
    <tableColumn id="10552" name="Columna10538" dataDxfId="22461" totalsRowDxfId="5837"/>
    <tableColumn id="10553" name="Columna10539" dataDxfId="22460" totalsRowDxfId="5836"/>
    <tableColumn id="10554" name="Columna10540" dataDxfId="22459" totalsRowDxfId="5835"/>
    <tableColumn id="10555" name="Columna10541" dataDxfId="22458" totalsRowDxfId="5834"/>
    <tableColumn id="10556" name="Columna10542" dataDxfId="22457" totalsRowDxfId="5833"/>
    <tableColumn id="10557" name="Columna10543" dataDxfId="22456" totalsRowDxfId="5832"/>
    <tableColumn id="10558" name="Columna10544" dataDxfId="22455" totalsRowDxfId="5831"/>
    <tableColumn id="10559" name="Columna10545" dataDxfId="22454" totalsRowDxfId="5830"/>
    <tableColumn id="10560" name="Columna10546" dataDxfId="22453" totalsRowDxfId="5829"/>
    <tableColumn id="10561" name="Columna10547" dataDxfId="22452" totalsRowDxfId="5828"/>
    <tableColumn id="10562" name="Columna10548" dataDxfId="22451" totalsRowDxfId="5827"/>
    <tableColumn id="10563" name="Columna10549" dataDxfId="22450" totalsRowDxfId="5826"/>
    <tableColumn id="10564" name="Columna10550" dataDxfId="22449" totalsRowDxfId="5825"/>
    <tableColumn id="10565" name="Columna10551" dataDxfId="22448" totalsRowDxfId="5824"/>
    <tableColumn id="10566" name="Columna10552" dataDxfId="22447" totalsRowDxfId="5823"/>
    <tableColumn id="10567" name="Columna10553" dataDxfId="22446" totalsRowDxfId="5822"/>
    <tableColumn id="10568" name="Columna10554" dataDxfId="22445" totalsRowDxfId="5821"/>
    <tableColumn id="10569" name="Columna10555" dataDxfId="22444" totalsRowDxfId="5820"/>
    <tableColumn id="10570" name="Columna10556" dataDxfId="22443" totalsRowDxfId="5819"/>
    <tableColumn id="10571" name="Columna10557" dataDxfId="22442" totalsRowDxfId="5818"/>
    <tableColumn id="10572" name="Columna10558" dataDxfId="22441" totalsRowDxfId="5817"/>
    <tableColumn id="10573" name="Columna10559" dataDxfId="22440" totalsRowDxfId="5816"/>
    <tableColumn id="10574" name="Columna10560" dataDxfId="22439" totalsRowDxfId="5815"/>
    <tableColumn id="10575" name="Columna10561" dataDxfId="22438" totalsRowDxfId="5814"/>
    <tableColumn id="10576" name="Columna10562" dataDxfId="22437" totalsRowDxfId="5813"/>
    <tableColumn id="10577" name="Columna10563" dataDxfId="22436" totalsRowDxfId="5812"/>
    <tableColumn id="10578" name="Columna10564" dataDxfId="22435" totalsRowDxfId="5811"/>
    <tableColumn id="10579" name="Columna10565" dataDxfId="22434" totalsRowDxfId="5810"/>
    <tableColumn id="10580" name="Columna10566" dataDxfId="22433" totalsRowDxfId="5809"/>
    <tableColumn id="10581" name="Columna10567" dataDxfId="22432" totalsRowDxfId="5808"/>
    <tableColumn id="10582" name="Columna10568" dataDxfId="22431" totalsRowDxfId="5807"/>
    <tableColumn id="10583" name="Columna10569" dataDxfId="22430" totalsRowDxfId="5806"/>
    <tableColumn id="10584" name="Columna10570" dataDxfId="22429" totalsRowDxfId="5805"/>
    <tableColumn id="10585" name="Columna10571" dataDxfId="22428" totalsRowDxfId="5804"/>
    <tableColumn id="10586" name="Columna10572" dataDxfId="22427" totalsRowDxfId="5803"/>
    <tableColumn id="10587" name="Columna10573" dataDxfId="22426" totalsRowDxfId="5802"/>
    <tableColumn id="10588" name="Columna10574" dataDxfId="22425" totalsRowDxfId="5801"/>
    <tableColumn id="10589" name="Columna10575" dataDxfId="22424" totalsRowDxfId="5800"/>
    <tableColumn id="10590" name="Columna10576" dataDxfId="22423" totalsRowDxfId="5799"/>
    <tableColumn id="10591" name="Columna10577" dataDxfId="22422" totalsRowDxfId="5798"/>
    <tableColumn id="10592" name="Columna10578" dataDxfId="22421" totalsRowDxfId="5797"/>
    <tableColumn id="10593" name="Columna10579" dataDxfId="22420" totalsRowDxfId="5796"/>
    <tableColumn id="10594" name="Columna10580" dataDxfId="22419" totalsRowDxfId="5795"/>
    <tableColumn id="10595" name="Columna10581" dataDxfId="22418" totalsRowDxfId="5794"/>
    <tableColumn id="10596" name="Columna10582" dataDxfId="22417" totalsRowDxfId="5793"/>
    <tableColumn id="10597" name="Columna10583" dataDxfId="22416" totalsRowDxfId="5792"/>
    <tableColumn id="10598" name="Columna10584" dataDxfId="22415" totalsRowDxfId="5791"/>
    <tableColumn id="10599" name="Columna10585" dataDxfId="22414" totalsRowDxfId="5790"/>
    <tableColumn id="10600" name="Columna10586" dataDxfId="22413" totalsRowDxfId="5789"/>
    <tableColumn id="10601" name="Columna10587" dataDxfId="22412" totalsRowDxfId="5788"/>
    <tableColumn id="10602" name="Columna10588" dataDxfId="22411" totalsRowDxfId="5787"/>
    <tableColumn id="10603" name="Columna10589" dataDxfId="22410" totalsRowDxfId="5786"/>
    <tableColumn id="10604" name="Columna10590" dataDxfId="22409" totalsRowDxfId="5785"/>
    <tableColumn id="10605" name="Columna10591" dataDxfId="22408" totalsRowDxfId="5784"/>
    <tableColumn id="10606" name="Columna10592" dataDxfId="22407" totalsRowDxfId="5783"/>
    <tableColumn id="10607" name="Columna10593" dataDxfId="22406" totalsRowDxfId="5782"/>
    <tableColumn id="10608" name="Columna10594" dataDxfId="22405" totalsRowDxfId="5781"/>
    <tableColumn id="10609" name="Columna10595" dataDxfId="22404" totalsRowDxfId="5780"/>
    <tableColumn id="10610" name="Columna10596" dataDxfId="22403" totalsRowDxfId="5779"/>
    <tableColumn id="10611" name="Columna10597" dataDxfId="22402" totalsRowDxfId="5778"/>
    <tableColumn id="10612" name="Columna10598" dataDxfId="22401" totalsRowDxfId="5777"/>
    <tableColumn id="10613" name="Columna10599" dataDxfId="22400" totalsRowDxfId="5776"/>
    <tableColumn id="10614" name="Columna10600" dataDxfId="22399" totalsRowDxfId="5775"/>
    <tableColumn id="10615" name="Columna10601" dataDxfId="22398" totalsRowDxfId="5774"/>
    <tableColumn id="10616" name="Columna10602" dataDxfId="22397" totalsRowDxfId="5773"/>
    <tableColumn id="10617" name="Columna10603" dataDxfId="22396" totalsRowDxfId="5772"/>
    <tableColumn id="10618" name="Columna10604" dataDxfId="22395" totalsRowDxfId="5771"/>
    <tableColumn id="10619" name="Columna10605" dataDxfId="22394" totalsRowDxfId="5770"/>
    <tableColumn id="10620" name="Columna10606" dataDxfId="22393" totalsRowDxfId="5769"/>
    <tableColumn id="10621" name="Columna10607" dataDxfId="22392" totalsRowDxfId="5768"/>
    <tableColumn id="10622" name="Columna10608" dataDxfId="22391" totalsRowDxfId="5767"/>
    <tableColumn id="10623" name="Columna10609" dataDxfId="22390" totalsRowDxfId="5766"/>
    <tableColumn id="10624" name="Columna10610" dataDxfId="22389" totalsRowDxfId="5765"/>
    <tableColumn id="10625" name="Columna10611" dataDxfId="22388" totalsRowDxfId="5764"/>
    <tableColumn id="10626" name="Columna10612" dataDxfId="22387" totalsRowDxfId="5763"/>
    <tableColumn id="10627" name="Columna10613" dataDxfId="22386" totalsRowDxfId="5762"/>
    <tableColumn id="10628" name="Columna10614" dataDxfId="22385" totalsRowDxfId="5761"/>
    <tableColumn id="10629" name="Columna10615" dataDxfId="22384" totalsRowDxfId="5760"/>
    <tableColumn id="10630" name="Columna10616" dataDxfId="22383" totalsRowDxfId="5759"/>
    <tableColumn id="10631" name="Columna10617" dataDxfId="22382" totalsRowDxfId="5758"/>
    <tableColumn id="10632" name="Columna10618" dataDxfId="22381" totalsRowDxfId="5757"/>
    <tableColumn id="10633" name="Columna10619" dataDxfId="22380" totalsRowDxfId="5756"/>
    <tableColumn id="10634" name="Columna10620" dataDxfId="22379" totalsRowDxfId="5755"/>
    <tableColumn id="10635" name="Columna10621" dataDxfId="22378" totalsRowDxfId="5754"/>
    <tableColumn id="10636" name="Columna10622" dataDxfId="22377" totalsRowDxfId="5753"/>
    <tableColumn id="10637" name="Columna10623" dataDxfId="22376" totalsRowDxfId="5752"/>
    <tableColumn id="10638" name="Columna10624" dataDxfId="22375" totalsRowDxfId="5751"/>
    <tableColumn id="10639" name="Columna10625" dataDxfId="22374" totalsRowDxfId="5750"/>
    <tableColumn id="10640" name="Columna10626" dataDxfId="22373" totalsRowDxfId="5749"/>
    <tableColumn id="10641" name="Columna10627" dataDxfId="22372" totalsRowDxfId="5748"/>
    <tableColumn id="10642" name="Columna10628" dataDxfId="22371" totalsRowDxfId="5747"/>
    <tableColumn id="10643" name="Columna10629" dataDxfId="22370" totalsRowDxfId="5746"/>
    <tableColumn id="10644" name="Columna10630" dataDxfId="22369" totalsRowDxfId="5745"/>
    <tableColumn id="10645" name="Columna10631" dataDxfId="22368" totalsRowDxfId="5744"/>
    <tableColumn id="10646" name="Columna10632" dataDxfId="22367" totalsRowDxfId="5743"/>
    <tableColumn id="10647" name="Columna10633" dataDxfId="22366" totalsRowDxfId="5742"/>
    <tableColumn id="10648" name="Columna10634" dataDxfId="22365" totalsRowDxfId="5741"/>
    <tableColumn id="10649" name="Columna10635" dataDxfId="22364" totalsRowDxfId="5740"/>
    <tableColumn id="10650" name="Columna10636" dataDxfId="22363" totalsRowDxfId="5739"/>
    <tableColumn id="10651" name="Columna10637" dataDxfId="22362" totalsRowDxfId="5738"/>
    <tableColumn id="10652" name="Columna10638" dataDxfId="22361" totalsRowDxfId="5737"/>
    <tableColumn id="10653" name="Columna10639" dataDxfId="22360" totalsRowDxfId="5736"/>
    <tableColumn id="10654" name="Columna10640" dataDxfId="22359" totalsRowDxfId="5735"/>
    <tableColumn id="10655" name="Columna10641" dataDxfId="22358" totalsRowDxfId="5734"/>
    <tableColumn id="10656" name="Columna10642" dataDxfId="22357" totalsRowDxfId="5733"/>
    <tableColumn id="10657" name="Columna10643" dataDxfId="22356" totalsRowDxfId="5732"/>
    <tableColumn id="10658" name="Columna10644" dataDxfId="22355" totalsRowDxfId="5731"/>
    <tableColumn id="10659" name="Columna10645" dataDxfId="22354" totalsRowDxfId="5730"/>
    <tableColumn id="10660" name="Columna10646" dataDxfId="22353" totalsRowDxfId="5729"/>
    <tableColumn id="10661" name="Columna10647" dataDxfId="22352" totalsRowDxfId="5728"/>
    <tableColumn id="10662" name="Columna10648" dataDxfId="22351" totalsRowDxfId="5727"/>
    <tableColumn id="10663" name="Columna10649" dataDxfId="22350" totalsRowDxfId="5726"/>
    <tableColumn id="10664" name="Columna10650" dataDxfId="22349" totalsRowDxfId="5725"/>
    <tableColumn id="10665" name="Columna10651" dataDxfId="22348" totalsRowDxfId="5724"/>
    <tableColumn id="10666" name="Columna10652" dataDxfId="22347" totalsRowDxfId="5723"/>
    <tableColumn id="10667" name="Columna10653" dataDxfId="22346" totalsRowDxfId="5722"/>
    <tableColumn id="10668" name="Columna10654" dataDxfId="22345" totalsRowDxfId="5721"/>
    <tableColumn id="10669" name="Columna10655" dataDxfId="22344" totalsRowDxfId="5720"/>
    <tableColumn id="10670" name="Columna10656" dataDxfId="22343" totalsRowDxfId="5719"/>
    <tableColumn id="10671" name="Columna10657" dataDxfId="22342" totalsRowDxfId="5718"/>
    <tableColumn id="10672" name="Columna10658" dataDxfId="22341" totalsRowDxfId="5717"/>
    <tableColumn id="10673" name="Columna10659" dataDxfId="22340" totalsRowDxfId="5716"/>
    <tableColumn id="10674" name="Columna10660" dataDxfId="22339" totalsRowDxfId="5715"/>
    <tableColumn id="10675" name="Columna10661" dataDxfId="22338" totalsRowDxfId="5714"/>
    <tableColumn id="10676" name="Columna10662" dataDxfId="22337" totalsRowDxfId="5713"/>
    <tableColumn id="10677" name="Columna10663" dataDxfId="22336" totalsRowDxfId="5712"/>
    <tableColumn id="10678" name="Columna10664" dataDxfId="22335" totalsRowDxfId="5711"/>
    <tableColumn id="10679" name="Columna10665" dataDxfId="22334" totalsRowDxfId="5710"/>
    <tableColumn id="10680" name="Columna10666" dataDxfId="22333" totalsRowDxfId="5709"/>
    <tableColumn id="10681" name="Columna10667" dataDxfId="22332" totalsRowDxfId="5708"/>
    <tableColumn id="10682" name="Columna10668" dataDxfId="22331" totalsRowDxfId="5707"/>
    <tableColumn id="10683" name="Columna10669" dataDxfId="22330" totalsRowDxfId="5706"/>
    <tableColumn id="10684" name="Columna10670" dataDxfId="22329" totalsRowDxfId="5705"/>
    <tableColumn id="10685" name="Columna10671" dataDxfId="22328" totalsRowDxfId="5704"/>
    <tableColumn id="10686" name="Columna10672" dataDxfId="22327" totalsRowDxfId="5703"/>
    <tableColumn id="10687" name="Columna10673" dataDxfId="22326" totalsRowDxfId="5702"/>
    <tableColumn id="10688" name="Columna10674" dataDxfId="22325" totalsRowDxfId="5701"/>
    <tableColumn id="10689" name="Columna10675" dataDxfId="22324" totalsRowDxfId="5700"/>
    <tableColumn id="10690" name="Columna10676" dataDxfId="22323" totalsRowDxfId="5699"/>
    <tableColumn id="10691" name="Columna10677" dataDxfId="22322" totalsRowDxfId="5698"/>
    <tableColumn id="10692" name="Columna10678" dataDxfId="22321" totalsRowDxfId="5697"/>
    <tableColumn id="10693" name="Columna10679" dataDxfId="22320" totalsRowDxfId="5696"/>
    <tableColumn id="10694" name="Columna10680" dataDxfId="22319" totalsRowDxfId="5695"/>
    <tableColumn id="10695" name="Columna10681" dataDxfId="22318" totalsRowDxfId="5694"/>
    <tableColumn id="10696" name="Columna10682" dataDxfId="22317" totalsRowDxfId="5693"/>
    <tableColumn id="10697" name="Columna10683" dataDxfId="22316" totalsRowDxfId="5692"/>
    <tableColumn id="10698" name="Columna10684" dataDxfId="22315" totalsRowDxfId="5691"/>
    <tableColumn id="10699" name="Columna10685" dataDxfId="22314" totalsRowDxfId="5690"/>
    <tableColumn id="10700" name="Columna10686" dataDxfId="22313" totalsRowDxfId="5689"/>
    <tableColumn id="10701" name="Columna10687" dataDxfId="22312" totalsRowDxfId="5688"/>
    <tableColumn id="10702" name="Columna10688" dataDxfId="22311" totalsRowDxfId="5687"/>
    <tableColumn id="10703" name="Columna10689" dataDxfId="22310" totalsRowDxfId="5686"/>
    <tableColumn id="10704" name="Columna10690" dataDxfId="22309" totalsRowDxfId="5685"/>
    <tableColumn id="10705" name="Columna10691" dataDxfId="22308" totalsRowDxfId="5684"/>
    <tableColumn id="10706" name="Columna10692" dataDxfId="22307" totalsRowDxfId="5683"/>
    <tableColumn id="10707" name="Columna10693" dataDxfId="22306" totalsRowDxfId="5682"/>
    <tableColumn id="10708" name="Columna10694" dataDxfId="22305" totalsRowDxfId="5681"/>
    <tableColumn id="10709" name="Columna10695" dataDxfId="22304" totalsRowDxfId="5680"/>
    <tableColumn id="10710" name="Columna10696" dataDxfId="22303" totalsRowDxfId="5679"/>
    <tableColumn id="10711" name="Columna10697" dataDxfId="22302" totalsRowDxfId="5678"/>
    <tableColumn id="10712" name="Columna10698" dataDxfId="22301" totalsRowDxfId="5677"/>
    <tableColumn id="10713" name="Columna10699" dataDxfId="22300" totalsRowDxfId="5676"/>
    <tableColumn id="10714" name="Columna10700" dataDxfId="22299" totalsRowDxfId="5675"/>
    <tableColumn id="10715" name="Columna10701" dataDxfId="22298" totalsRowDxfId="5674"/>
    <tableColumn id="10716" name="Columna10702" dataDxfId="22297" totalsRowDxfId="5673"/>
    <tableColumn id="10717" name="Columna10703" dataDxfId="22296" totalsRowDxfId="5672"/>
    <tableColumn id="10718" name="Columna10704" dataDxfId="22295" totalsRowDxfId="5671"/>
    <tableColumn id="10719" name="Columna10705" dataDxfId="22294" totalsRowDxfId="5670"/>
    <tableColumn id="10720" name="Columna10706" dataDxfId="22293" totalsRowDxfId="5669"/>
    <tableColumn id="10721" name="Columna10707" dataDxfId="22292" totalsRowDxfId="5668"/>
    <tableColumn id="10722" name="Columna10708" dataDxfId="22291" totalsRowDxfId="5667"/>
    <tableColumn id="10723" name="Columna10709" dataDxfId="22290" totalsRowDxfId="5666"/>
    <tableColumn id="10724" name="Columna10710" dataDxfId="22289" totalsRowDxfId="5665"/>
    <tableColumn id="10725" name="Columna10711" dataDxfId="22288" totalsRowDxfId="5664"/>
    <tableColumn id="10726" name="Columna10712" dataDxfId="22287" totalsRowDxfId="5663"/>
    <tableColumn id="10727" name="Columna10713" dataDxfId="22286" totalsRowDxfId="5662"/>
    <tableColumn id="10728" name="Columna10714" dataDxfId="22285" totalsRowDxfId="5661"/>
    <tableColumn id="10729" name="Columna10715" dataDxfId="22284" totalsRowDxfId="5660"/>
    <tableColumn id="10730" name="Columna10716" dataDxfId="22283" totalsRowDxfId="5659"/>
    <tableColumn id="10731" name="Columna10717" dataDxfId="22282" totalsRowDxfId="5658"/>
    <tableColumn id="10732" name="Columna10718" dataDxfId="22281" totalsRowDxfId="5657"/>
    <tableColumn id="10733" name="Columna10719" dataDxfId="22280" totalsRowDxfId="5656"/>
    <tableColumn id="10734" name="Columna10720" dataDxfId="22279" totalsRowDxfId="5655"/>
    <tableColumn id="10735" name="Columna10721" dataDxfId="22278" totalsRowDxfId="5654"/>
    <tableColumn id="10736" name="Columna10722" dataDxfId="22277" totalsRowDxfId="5653"/>
    <tableColumn id="10737" name="Columna10723" dataDxfId="22276" totalsRowDxfId="5652"/>
    <tableColumn id="10738" name="Columna10724" dataDxfId="22275" totalsRowDxfId="5651"/>
    <tableColumn id="10739" name="Columna10725" dataDxfId="22274" totalsRowDxfId="5650"/>
    <tableColumn id="10740" name="Columna10726" dataDxfId="22273" totalsRowDxfId="5649"/>
    <tableColumn id="10741" name="Columna10727" dataDxfId="22272" totalsRowDxfId="5648"/>
    <tableColumn id="10742" name="Columna10728" dataDxfId="22271" totalsRowDxfId="5647"/>
    <tableColumn id="10743" name="Columna10729" dataDxfId="22270" totalsRowDxfId="5646"/>
    <tableColumn id="10744" name="Columna10730" dataDxfId="22269" totalsRowDxfId="5645"/>
    <tableColumn id="10745" name="Columna10731" dataDxfId="22268" totalsRowDxfId="5644"/>
    <tableColumn id="10746" name="Columna10732" dataDxfId="22267" totalsRowDxfId="5643"/>
    <tableColumn id="10747" name="Columna10733" dataDxfId="22266" totalsRowDxfId="5642"/>
    <tableColumn id="10748" name="Columna10734" dataDxfId="22265" totalsRowDxfId="5641"/>
    <tableColumn id="10749" name="Columna10735" dataDxfId="22264" totalsRowDxfId="5640"/>
    <tableColumn id="10750" name="Columna10736" dataDxfId="22263" totalsRowDxfId="5639"/>
    <tableColumn id="10751" name="Columna10737" dataDxfId="22262" totalsRowDxfId="5638"/>
    <tableColumn id="10752" name="Columna10738" dataDxfId="22261" totalsRowDxfId="5637"/>
    <tableColumn id="10753" name="Columna10739" dataDxfId="22260" totalsRowDxfId="5636"/>
    <tableColumn id="10754" name="Columna10740" dataDxfId="22259" totalsRowDxfId="5635"/>
    <tableColumn id="10755" name="Columna10741" dataDxfId="22258" totalsRowDxfId="5634"/>
    <tableColumn id="10756" name="Columna10742" dataDxfId="22257" totalsRowDxfId="5633"/>
    <tableColumn id="10757" name="Columna10743" dataDxfId="22256" totalsRowDxfId="5632"/>
    <tableColumn id="10758" name="Columna10744" dataDxfId="22255" totalsRowDxfId="5631"/>
    <tableColumn id="10759" name="Columna10745" dataDxfId="22254" totalsRowDxfId="5630"/>
    <tableColumn id="10760" name="Columna10746" dataDxfId="22253" totalsRowDxfId="5629"/>
    <tableColumn id="10761" name="Columna10747" dataDxfId="22252" totalsRowDxfId="5628"/>
    <tableColumn id="10762" name="Columna10748" dataDxfId="22251" totalsRowDxfId="5627"/>
    <tableColumn id="10763" name="Columna10749" dataDxfId="22250" totalsRowDxfId="5626"/>
    <tableColumn id="10764" name="Columna10750" dataDxfId="22249" totalsRowDxfId="5625"/>
    <tableColumn id="10765" name="Columna10751" dataDxfId="22248" totalsRowDxfId="5624"/>
    <tableColumn id="10766" name="Columna10752" dataDxfId="22247" totalsRowDxfId="5623"/>
    <tableColumn id="10767" name="Columna10753" dataDxfId="22246" totalsRowDxfId="5622"/>
    <tableColumn id="10768" name="Columna10754" dataDxfId="22245" totalsRowDxfId="5621"/>
    <tableColumn id="10769" name="Columna10755" dataDxfId="22244" totalsRowDxfId="5620"/>
    <tableColumn id="10770" name="Columna10756" dataDxfId="22243" totalsRowDxfId="5619"/>
    <tableColumn id="10771" name="Columna10757" dataDxfId="22242" totalsRowDxfId="5618"/>
    <tableColumn id="10772" name="Columna10758" dataDxfId="22241" totalsRowDxfId="5617"/>
    <tableColumn id="10773" name="Columna10759" dataDxfId="22240" totalsRowDxfId="5616"/>
    <tableColumn id="10774" name="Columna10760" dataDxfId="22239" totalsRowDxfId="5615"/>
    <tableColumn id="10775" name="Columna10761" dataDxfId="22238" totalsRowDxfId="5614"/>
    <tableColumn id="10776" name="Columna10762" dataDxfId="22237" totalsRowDxfId="5613"/>
    <tableColumn id="10777" name="Columna10763" dataDxfId="22236" totalsRowDxfId="5612"/>
    <tableColumn id="10778" name="Columna10764" dataDxfId="22235" totalsRowDxfId="5611"/>
    <tableColumn id="10779" name="Columna10765" dataDxfId="22234" totalsRowDxfId="5610"/>
    <tableColumn id="10780" name="Columna10766" dataDxfId="22233" totalsRowDxfId="5609"/>
    <tableColumn id="10781" name="Columna10767" dataDxfId="22232" totalsRowDxfId="5608"/>
    <tableColumn id="10782" name="Columna10768" dataDxfId="22231" totalsRowDxfId="5607"/>
    <tableColumn id="10783" name="Columna10769" dataDxfId="22230" totalsRowDxfId="5606"/>
    <tableColumn id="10784" name="Columna10770" dataDxfId="22229" totalsRowDxfId="5605"/>
    <tableColumn id="10785" name="Columna10771" dataDxfId="22228" totalsRowDxfId="5604"/>
    <tableColumn id="10786" name="Columna10772" dataDxfId="22227" totalsRowDxfId="5603"/>
    <tableColumn id="10787" name="Columna10773" dataDxfId="22226" totalsRowDxfId="5602"/>
    <tableColumn id="10788" name="Columna10774" dataDxfId="22225" totalsRowDxfId="5601"/>
    <tableColumn id="10789" name="Columna10775" dataDxfId="22224" totalsRowDxfId="5600"/>
    <tableColumn id="10790" name="Columna10776" dataDxfId="22223" totalsRowDxfId="5599"/>
    <tableColumn id="10791" name="Columna10777" dataDxfId="22222" totalsRowDxfId="5598"/>
    <tableColumn id="10792" name="Columna10778" dataDxfId="22221" totalsRowDxfId="5597"/>
    <tableColumn id="10793" name="Columna10779" dataDxfId="22220" totalsRowDxfId="5596"/>
    <tableColumn id="10794" name="Columna10780" dataDxfId="22219" totalsRowDxfId="5595"/>
    <tableColumn id="10795" name="Columna10781" dataDxfId="22218" totalsRowDxfId="5594"/>
    <tableColumn id="10796" name="Columna10782" dataDxfId="22217" totalsRowDxfId="5593"/>
    <tableColumn id="10797" name="Columna10783" dataDxfId="22216" totalsRowDxfId="5592"/>
    <tableColumn id="10798" name="Columna10784" dataDxfId="22215" totalsRowDxfId="5591"/>
    <tableColumn id="10799" name="Columna10785" dataDxfId="22214" totalsRowDxfId="5590"/>
    <tableColumn id="10800" name="Columna10786" dataDxfId="22213" totalsRowDxfId="5589"/>
    <tableColumn id="10801" name="Columna10787" dataDxfId="22212" totalsRowDxfId="5588"/>
    <tableColumn id="10802" name="Columna10788" dataDxfId="22211" totalsRowDxfId="5587"/>
    <tableColumn id="10803" name="Columna10789" dataDxfId="22210" totalsRowDxfId="5586"/>
    <tableColumn id="10804" name="Columna10790" dataDxfId="22209" totalsRowDxfId="5585"/>
    <tableColumn id="10805" name="Columna10791" dataDxfId="22208" totalsRowDxfId="5584"/>
    <tableColumn id="10806" name="Columna10792" dataDxfId="22207" totalsRowDxfId="5583"/>
    <tableColumn id="10807" name="Columna10793" dataDxfId="22206" totalsRowDxfId="5582"/>
    <tableColumn id="10808" name="Columna10794" dataDxfId="22205" totalsRowDxfId="5581"/>
    <tableColumn id="10809" name="Columna10795" dataDxfId="22204" totalsRowDxfId="5580"/>
    <tableColumn id="10810" name="Columna10796" dataDxfId="22203" totalsRowDxfId="5579"/>
    <tableColumn id="10811" name="Columna10797" dataDxfId="22202" totalsRowDxfId="5578"/>
    <tableColumn id="10812" name="Columna10798" dataDxfId="22201" totalsRowDxfId="5577"/>
    <tableColumn id="10813" name="Columna10799" dataDxfId="22200" totalsRowDxfId="5576"/>
    <tableColumn id="10814" name="Columna10800" dataDxfId="22199" totalsRowDxfId="5575"/>
    <tableColumn id="10815" name="Columna10801" dataDxfId="22198" totalsRowDxfId="5574"/>
    <tableColumn id="10816" name="Columna10802" dataDxfId="22197" totalsRowDxfId="5573"/>
    <tableColumn id="10817" name="Columna10803" dataDxfId="22196" totalsRowDxfId="5572"/>
    <tableColumn id="10818" name="Columna10804" dataDxfId="22195" totalsRowDxfId="5571"/>
    <tableColumn id="10819" name="Columna10805" dataDxfId="22194" totalsRowDxfId="5570"/>
    <tableColumn id="10820" name="Columna10806" dataDxfId="22193" totalsRowDxfId="5569"/>
    <tableColumn id="10821" name="Columna10807" dataDxfId="22192" totalsRowDxfId="5568"/>
    <tableColumn id="10822" name="Columna10808" dataDxfId="22191" totalsRowDxfId="5567"/>
    <tableColumn id="10823" name="Columna10809" dataDxfId="22190" totalsRowDxfId="5566"/>
    <tableColumn id="10824" name="Columna10810" dataDxfId="22189" totalsRowDxfId="5565"/>
    <tableColumn id="10825" name="Columna10811" dataDxfId="22188" totalsRowDxfId="5564"/>
    <tableColumn id="10826" name="Columna10812" dataDxfId="22187" totalsRowDxfId="5563"/>
    <tableColumn id="10827" name="Columna10813" dataDxfId="22186" totalsRowDxfId="5562"/>
    <tableColumn id="10828" name="Columna10814" dataDxfId="22185" totalsRowDxfId="5561"/>
    <tableColumn id="10829" name="Columna10815" dataDxfId="22184" totalsRowDxfId="5560"/>
    <tableColumn id="10830" name="Columna10816" dataDxfId="22183" totalsRowDxfId="5559"/>
    <tableColumn id="10831" name="Columna10817" dataDxfId="22182" totalsRowDxfId="5558"/>
    <tableColumn id="10832" name="Columna10818" dataDxfId="22181" totalsRowDxfId="5557"/>
    <tableColumn id="10833" name="Columna10819" dataDxfId="22180" totalsRowDxfId="5556"/>
    <tableColumn id="10834" name="Columna10820" dataDxfId="22179" totalsRowDxfId="5555"/>
    <tableColumn id="10835" name="Columna10821" dataDxfId="22178" totalsRowDxfId="5554"/>
    <tableColumn id="10836" name="Columna10822" dataDxfId="22177" totalsRowDxfId="5553"/>
    <tableColumn id="10837" name="Columna10823" dataDxfId="22176" totalsRowDxfId="5552"/>
    <tableColumn id="10838" name="Columna10824" dataDxfId="22175" totalsRowDxfId="5551"/>
    <tableColumn id="10839" name="Columna10825" dataDxfId="22174" totalsRowDxfId="5550"/>
    <tableColumn id="10840" name="Columna10826" dataDxfId="22173" totalsRowDxfId="5549"/>
    <tableColumn id="10841" name="Columna10827" dataDxfId="22172" totalsRowDxfId="5548"/>
    <tableColumn id="10842" name="Columna10828" dataDxfId="22171" totalsRowDxfId="5547"/>
    <tableColumn id="10843" name="Columna10829" dataDxfId="22170" totalsRowDxfId="5546"/>
    <tableColumn id="10844" name="Columna10830" dataDxfId="22169" totalsRowDxfId="5545"/>
    <tableColumn id="10845" name="Columna10831" dataDxfId="22168" totalsRowDxfId="5544"/>
    <tableColumn id="10846" name="Columna10832" dataDxfId="22167" totalsRowDxfId="5543"/>
    <tableColumn id="10847" name="Columna10833" dataDxfId="22166" totalsRowDxfId="5542"/>
    <tableColumn id="10848" name="Columna10834" dataDxfId="22165" totalsRowDxfId="5541"/>
    <tableColumn id="10849" name="Columna10835" dataDxfId="22164" totalsRowDxfId="5540"/>
    <tableColumn id="10850" name="Columna10836" dataDxfId="22163" totalsRowDxfId="5539"/>
    <tableColumn id="10851" name="Columna10837" dataDxfId="22162" totalsRowDxfId="5538"/>
    <tableColumn id="10852" name="Columna10838" dataDxfId="22161" totalsRowDxfId="5537"/>
    <tableColumn id="10853" name="Columna10839" dataDxfId="22160" totalsRowDxfId="5536"/>
    <tableColumn id="10854" name="Columna10840" dataDxfId="22159" totalsRowDxfId="5535"/>
    <tableColumn id="10855" name="Columna10841" dataDxfId="22158" totalsRowDxfId="5534"/>
    <tableColumn id="10856" name="Columna10842" dataDxfId="22157" totalsRowDxfId="5533"/>
    <tableColumn id="10857" name="Columna10843" dataDxfId="22156" totalsRowDxfId="5532"/>
    <tableColumn id="10858" name="Columna10844" dataDxfId="22155" totalsRowDxfId="5531"/>
    <tableColumn id="10859" name="Columna10845" dataDxfId="22154" totalsRowDxfId="5530"/>
    <tableColumn id="10860" name="Columna10846" dataDxfId="22153" totalsRowDxfId="5529"/>
    <tableColumn id="10861" name="Columna10847" dataDxfId="22152" totalsRowDxfId="5528"/>
    <tableColumn id="10862" name="Columna10848" dataDxfId="22151" totalsRowDxfId="5527"/>
    <tableColumn id="10863" name="Columna10849" dataDxfId="22150" totalsRowDxfId="5526"/>
    <tableColumn id="10864" name="Columna10850" dataDxfId="22149" totalsRowDxfId="5525"/>
    <tableColumn id="10865" name="Columna10851" dataDxfId="22148" totalsRowDxfId="5524"/>
    <tableColumn id="10866" name="Columna10852" dataDxfId="22147" totalsRowDxfId="5523"/>
    <tableColumn id="10867" name="Columna10853" dataDxfId="22146" totalsRowDxfId="5522"/>
    <tableColumn id="10868" name="Columna10854" dataDxfId="22145" totalsRowDxfId="5521"/>
    <tableColumn id="10869" name="Columna10855" dataDxfId="22144" totalsRowDxfId="5520"/>
    <tableColumn id="10870" name="Columna10856" dataDxfId="22143" totalsRowDxfId="5519"/>
    <tableColumn id="10871" name="Columna10857" dataDxfId="22142" totalsRowDxfId="5518"/>
    <tableColumn id="10872" name="Columna10858" dataDxfId="22141" totalsRowDxfId="5517"/>
    <tableColumn id="10873" name="Columna10859" dataDxfId="22140" totalsRowDxfId="5516"/>
    <tableColumn id="10874" name="Columna10860" dataDxfId="22139" totalsRowDxfId="5515"/>
    <tableColumn id="10875" name="Columna10861" dataDxfId="22138" totalsRowDxfId="5514"/>
    <tableColumn id="10876" name="Columna10862" dataDxfId="22137" totalsRowDxfId="5513"/>
    <tableColumn id="10877" name="Columna10863" dataDxfId="22136" totalsRowDxfId="5512"/>
    <tableColumn id="10878" name="Columna10864" dataDxfId="22135" totalsRowDxfId="5511"/>
    <tableColumn id="10879" name="Columna10865" dataDxfId="22134" totalsRowDxfId="5510"/>
    <tableColumn id="10880" name="Columna10866" dataDxfId="22133" totalsRowDxfId="5509"/>
    <tableColumn id="10881" name="Columna10867" dataDxfId="22132" totalsRowDxfId="5508"/>
    <tableColumn id="10882" name="Columna10868" dataDxfId="22131" totalsRowDxfId="5507"/>
    <tableColumn id="10883" name="Columna10869" dataDxfId="22130" totalsRowDxfId="5506"/>
    <tableColumn id="10884" name="Columna10870" dataDxfId="22129" totalsRowDxfId="5505"/>
    <tableColumn id="10885" name="Columna10871" dataDxfId="22128" totalsRowDxfId="5504"/>
    <tableColumn id="10886" name="Columna10872" dataDxfId="22127" totalsRowDxfId="5503"/>
    <tableColumn id="10887" name="Columna10873" dataDxfId="22126" totalsRowDxfId="5502"/>
    <tableColumn id="10888" name="Columna10874" dataDxfId="22125" totalsRowDxfId="5501"/>
    <tableColumn id="10889" name="Columna10875" dataDxfId="22124" totalsRowDxfId="5500"/>
    <tableColumn id="10890" name="Columna10876" dataDxfId="22123" totalsRowDxfId="5499"/>
    <tableColumn id="10891" name="Columna10877" dataDxfId="22122" totalsRowDxfId="5498"/>
    <tableColumn id="10892" name="Columna10878" dataDxfId="22121" totalsRowDxfId="5497"/>
    <tableColumn id="10893" name="Columna10879" dataDxfId="22120" totalsRowDxfId="5496"/>
    <tableColumn id="10894" name="Columna10880" dataDxfId="22119" totalsRowDxfId="5495"/>
    <tableColumn id="10895" name="Columna10881" dataDxfId="22118" totalsRowDxfId="5494"/>
    <tableColumn id="10896" name="Columna10882" dataDxfId="22117" totalsRowDxfId="5493"/>
    <tableColumn id="10897" name="Columna10883" dataDxfId="22116" totalsRowDxfId="5492"/>
    <tableColumn id="10898" name="Columna10884" dataDxfId="22115" totalsRowDxfId="5491"/>
    <tableColumn id="10899" name="Columna10885" dataDxfId="22114" totalsRowDxfId="5490"/>
    <tableColumn id="10900" name="Columna10886" dataDxfId="22113" totalsRowDxfId="5489"/>
    <tableColumn id="10901" name="Columna10887" dataDxfId="22112" totalsRowDxfId="5488"/>
    <tableColumn id="10902" name="Columna10888" dataDxfId="22111" totalsRowDxfId="5487"/>
    <tableColumn id="10903" name="Columna10889" dataDxfId="22110" totalsRowDxfId="5486"/>
    <tableColumn id="10904" name="Columna10890" dataDxfId="22109" totalsRowDxfId="5485"/>
    <tableColumn id="10905" name="Columna10891" dataDxfId="22108" totalsRowDxfId="5484"/>
    <tableColumn id="10906" name="Columna10892" dataDxfId="22107" totalsRowDxfId="5483"/>
    <tableColumn id="10907" name="Columna10893" dataDxfId="22106" totalsRowDxfId="5482"/>
    <tableColumn id="10908" name="Columna10894" dataDxfId="22105" totalsRowDxfId="5481"/>
    <tableColumn id="10909" name="Columna10895" dataDxfId="22104" totalsRowDxfId="5480"/>
    <tableColumn id="10910" name="Columna10896" dataDxfId="22103" totalsRowDxfId="5479"/>
    <tableColumn id="10911" name="Columna10897" dataDxfId="22102" totalsRowDxfId="5478"/>
    <tableColumn id="10912" name="Columna10898" dataDxfId="22101" totalsRowDxfId="5477"/>
    <tableColumn id="10913" name="Columna10899" dataDxfId="22100" totalsRowDxfId="5476"/>
    <tableColumn id="10914" name="Columna10900" dataDxfId="22099" totalsRowDxfId="5475"/>
    <tableColumn id="10915" name="Columna10901" dataDxfId="22098" totalsRowDxfId="5474"/>
    <tableColumn id="10916" name="Columna10902" dataDxfId="22097" totalsRowDxfId="5473"/>
    <tableColumn id="10917" name="Columna10903" dataDxfId="22096" totalsRowDxfId="5472"/>
    <tableColumn id="10918" name="Columna10904" dataDxfId="22095" totalsRowDxfId="5471"/>
    <tableColumn id="10919" name="Columna10905" dataDxfId="22094" totalsRowDxfId="5470"/>
    <tableColumn id="10920" name="Columna10906" dataDxfId="22093" totalsRowDxfId="5469"/>
    <tableColumn id="10921" name="Columna10907" dataDxfId="22092" totalsRowDxfId="5468"/>
    <tableColumn id="10922" name="Columna10908" dataDxfId="22091" totalsRowDxfId="5467"/>
    <tableColumn id="10923" name="Columna10909" dataDxfId="22090" totalsRowDxfId="5466"/>
    <tableColumn id="10924" name="Columna10910" dataDxfId="22089" totalsRowDxfId="5465"/>
    <tableColumn id="10925" name="Columna10911" dataDxfId="22088" totalsRowDxfId="5464"/>
    <tableColumn id="10926" name="Columna10912" dataDxfId="22087" totalsRowDxfId="5463"/>
    <tableColumn id="10927" name="Columna10913" dataDxfId="22086" totalsRowDxfId="5462"/>
    <tableColumn id="10928" name="Columna10914" dataDxfId="22085" totalsRowDxfId="5461"/>
    <tableColumn id="10929" name="Columna10915" dataDxfId="22084" totalsRowDxfId="5460"/>
    <tableColumn id="10930" name="Columna10916" dataDxfId="22083" totalsRowDxfId="5459"/>
    <tableColumn id="10931" name="Columna10917" dataDxfId="22082" totalsRowDxfId="5458"/>
    <tableColumn id="10932" name="Columna10918" dataDxfId="22081" totalsRowDxfId="5457"/>
    <tableColumn id="10933" name="Columna10919" dataDxfId="22080" totalsRowDxfId="5456"/>
    <tableColumn id="10934" name="Columna10920" dataDxfId="22079" totalsRowDxfId="5455"/>
    <tableColumn id="10935" name="Columna10921" dataDxfId="22078" totalsRowDxfId="5454"/>
    <tableColumn id="10936" name="Columna10922" dataDxfId="22077" totalsRowDxfId="5453"/>
    <tableColumn id="10937" name="Columna10923" dataDxfId="22076" totalsRowDxfId="5452"/>
    <tableColumn id="10938" name="Columna10924" dataDxfId="22075" totalsRowDxfId="5451"/>
    <tableColumn id="10939" name="Columna10925" dataDxfId="22074" totalsRowDxfId="5450"/>
    <tableColumn id="10940" name="Columna10926" dataDxfId="22073" totalsRowDxfId="5449"/>
    <tableColumn id="10941" name="Columna10927" dataDxfId="22072" totalsRowDxfId="5448"/>
    <tableColumn id="10942" name="Columna10928" dataDxfId="22071" totalsRowDxfId="5447"/>
    <tableColumn id="10943" name="Columna10929" dataDxfId="22070" totalsRowDxfId="5446"/>
    <tableColumn id="10944" name="Columna10930" dataDxfId="22069" totalsRowDxfId="5445"/>
    <tableColumn id="10945" name="Columna10931" dataDxfId="22068" totalsRowDxfId="5444"/>
    <tableColumn id="10946" name="Columna10932" dataDxfId="22067" totalsRowDxfId="5443"/>
    <tableColumn id="10947" name="Columna10933" dataDxfId="22066" totalsRowDxfId="5442"/>
    <tableColumn id="10948" name="Columna10934" dataDxfId="22065" totalsRowDxfId="5441"/>
    <tableColumn id="10949" name="Columna10935" dataDxfId="22064" totalsRowDxfId="5440"/>
    <tableColumn id="10950" name="Columna10936" dataDxfId="22063" totalsRowDxfId="5439"/>
    <tableColumn id="10951" name="Columna10937" dataDxfId="22062" totalsRowDxfId="5438"/>
    <tableColumn id="10952" name="Columna10938" dataDxfId="22061" totalsRowDxfId="5437"/>
    <tableColumn id="10953" name="Columna10939" dataDxfId="22060" totalsRowDxfId="5436"/>
    <tableColumn id="10954" name="Columna10940" dataDxfId="22059" totalsRowDxfId="5435"/>
    <tableColumn id="10955" name="Columna10941" dataDxfId="22058" totalsRowDxfId="5434"/>
    <tableColumn id="10956" name="Columna10942" dataDxfId="22057" totalsRowDxfId="5433"/>
    <tableColumn id="10957" name="Columna10943" dataDxfId="22056" totalsRowDxfId="5432"/>
    <tableColumn id="10958" name="Columna10944" dataDxfId="22055" totalsRowDxfId="5431"/>
    <tableColumn id="10959" name="Columna10945" dataDxfId="22054" totalsRowDxfId="5430"/>
    <tableColumn id="10960" name="Columna10946" dataDxfId="22053" totalsRowDxfId="5429"/>
    <tableColumn id="10961" name="Columna10947" dataDxfId="22052" totalsRowDxfId="5428"/>
    <tableColumn id="10962" name="Columna10948" dataDxfId="22051" totalsRowDxfId="5427"/>
    <tableColumn id="10963" name="Columna10949" dataDxfId="22050" totalsRowDxfId="5426"/>
    <tableColumn id="10964" name="Columna10950" dataDxfId="22049" totalsRowDxfId="5425"/>
    <tableColumn id="10965" name="Columna10951" dataDxfId="22048" totalsRowDxfId="5424"/>
    <tableColumn id="10966" name="Columna10952" dataDxfId="22047" totalsRowDxfId="5423"/>
    <tableColumn id="10967" name="Columna10953" dataDxfId="22046" totalsRowDxfId="5422"/>
    <tableColumn id="10968" name="Columna10954" dataDxfId="22045" totalsRowDxfId="5421"/>
    <tableColumn id="10969" name="Columna10955" dataDxfId="22044" totalsRowDxfId="5420"/>
    <tableColumn id="10970" name="Columna10956" dataDxfId="22043" totalsRowDxfId="5419"/>
    <tableColumn id="10971" name="Columna10957" dataDxfId="22042" totalsRowDxfId="5418"/>
    <tableColumn id="10972" name="Columna10958" dataDxfId="22041" totalsRowDxfId="5417"/>
    <tableColumn id="10973" name="Columna10959" dataDxfId="22040" totalsRowDxfId="5416"/>
    <tableColumn id="10974" name="Columna10960" dataDxfId="22039" totalsRowDxfId="5415"/>
    <tableColumn id="10975" name="Columna10961" dataDxfId="22038" totalsRowDxfId="5414"/>
    <tableColumn id="10976" name="Columna10962" dataDxfId="22037" totalsRowDxfId="5413"/>
    <tableColumn id="10977" name="Columna10963" dataDxfId="22036" totalsRowDxfId="5412"/>
    <tableColumn id="10978" name="Columna10964" dataDxfId="22035" totalsRowDxfId="5411"/>
    <tableColumn id="10979" name="Columna10965" dataDxfId="22034" totalsRowDxfId="5410"/>
    <tableColumn id="10980" name="Columna10966" dataDxfId="22033" totalsRowDxfId="5409"/>
    <tableColumn id="10981" name="Columna10967" dataDxfId="22032" totalsRowDxfId="5408"/>
    <tableColumn id="10982" name="Columna10968" dataDxfId="22031" totalsRowDxfId="5407"/>
    <tableColumn id="10983" name="Columna10969" dataDxfId="22030" totalsRowDxfId="5406"/>
    <tableColumn id="10984" name="Columna10970" dataDxfId="22029" totalsRowDxfId="5405"/>
    <tableColumn id="10985" name="Columna10971" dataDxfId="22028" totalsRowDxfId="5404"/>
    <tableColumn id="10986" name="Columna10972" dataDxfId="22027" totalsRowDxfId="5403"/>
    <tableColumn id="10987" name="Columna10973" dataDxfId="22026" totalsRowDxfId="5402"/>
    <tableColumn id="10988" name="Columna10974" dataDxfId="22025" totalsRowDxfId="5401"/>
    <tableColumn id="10989" name="Columna10975" dataDxfId="22024" totalsRowDxfId="5400"/>
    <tableColumn id="10990" name="Columna10976" dataDxfId="22023" totalsRowDxfId="5399"/>
    <tableColumn id="10991" name="Columna10977" dataDxfId="22022" totalsRowDxfId="5398"/>
    <tableColumn id="10992" name="Columna10978" dataDxfId="22021" totalsRowDxfId="5397"/>
    <tableColumn id="10993" name="Columna10979" dataDxfId="22020" totalsRowDxfId="5396"/>
    <tableColumn id="10994" name="Columna10980" dataDxfId="22019" totalsRowDxfId="5395"/>
    <tableColumn id="10995" name="Columna10981" dataDxfId="22018" totalsRowDxfId="5394"/>
    <tableColumn id="10996" name="Columna10982" dataDxfId="22017" totalsRowDxfId="5393"/>
    <tableColumn id="10997" name="Columna10983" dataDxfId="22016" totalsRowDxfId="5392"/>
    <tableColumn id="10998" name="Columna10984" dataDxfId="22015" totalsRowDxfId="5391"/>
    <tableColumn id="10999" name="Columna10985" dataDxfId="22014" totalsRowDxfId="5390"/>
    <tableColumn id="11000" name="Columna10986" dataDxfId="22013" totalsRowDxfId="5389"/>
    <tableColumn id="11001" name="Columna10987" dataDxfId="22012" totalsRowDxfId="5388"/>
    <tableColumn id="11002" name="Columna10988" dataDxfId="22011" totalsRowDxfId="5387"/>
    <tableColumn id="11003" name="Columna10989" dataDxfId="22010" totalsRowDxfId="5386"/>
    <tableColumn id="11004" name="Columna10990" dataDxfId="22009" totalsRowDxfId="5385"/>
    <tableColumn id="11005" name="Columna10991" dataDxfId="22008" totalsRowDxfId="5384"/>
    <tableColumn id="11006" name="Columna10992" dataDxfId="22007" totalsRowDxfId="5383"/>
    <tableColumn id="11007" name="Columna10993" dataDxfId="22006" totalsRowDxfId="5382"/>
    <tableColumn id="11008" name="Columna10994" dataDxfId="22005" totalsRowDxfId="5381"/>
    <tableColumn id="11009" name="Columna10995" dataDxfId="22004" totalsRowDxfId="5380"/>
    <tableColumn id="11010" name="Columna10996" dataDxfId="22003" totalsRowDxfId="5379"/>
    <tableColumn id="11011" name="Columna10997" dataDxfId="22002" totalsRowDxfId="5378"/>
    <tableColumn id="11012" name="Columna10998" dataDxfId="22001" totalsRowDxfId="5377"/>
    <tableColumn id="11013" name="Columna10999" dataDxfId="22000" totalsRowDxfId="5376"/>
    <tableColumn id="11014" name="Columna11000" dataDxfId="21999" totalsRowDxfId="5375"/>
    <tableColumn id="11015" name="Columna11001" dataDxfId="21998" totalsRowDxfId="5374"/>
    <tableColumn id="11016" name="Columna11002" dataDxfId="21997" totalsRowDxfId="5373"/>
    <tableColumn id="11017" name="Columna11003" dataDxfId="21996" totalsRowDxfId="5372"/>
    <tableColumn id="11018" name="Columna11004" dataDxfId="21995" totalsRowDxfId="5371"/>
    <tableColumn id="11019" name="Columna11005" dataDxfId="21994" totalsRowDxfId="5370"/>
    <tableColumn id="11020" name="Columna11006" dataDxfId="21993" totalsRowDxfId="5369"/>
    <tableColumn id="11021" name="Columna11007" dataDxfId="21992" totalsRowDxfId="5368"/>
    <tableColumn id="11022" name="Columna11008" dataDxfId="21991" totalsRowDxfId="5367"/>
    <tableColumn id="11023" name="Columna11009" dataDxfId="21990" totalsRowDxfId="5366"/>
    <tableColumn id="11024" name="Columna11010" dataDxfId="21989" totalsRowDxfId="5365"/>
    <tableColumn id="11025" name="Columna11011" dataDxfId="21988" totalsRowDxfId="5364"/>
    <tableColumn id="11026" name="Columna11012" dataDxfId="21987" totalsRowDxfId="5363"/>
    <tableColumn id="11027" name="Columna11013" dataDxfId="21986" totalsRowDxfId="5362"/>
    <tableColumn id="11028" name="Columna11014" dataDxfId="21985" totalsRowDxfId="5361"/>
    <tableColumn id="11029" name="Columna11015" dataDxfId="21984" totalsRowDxfId="5360"/>
    <tableColumn id="11030" name="Columna11016" dataDxfId="21983" totalsRowDxfId="5359"/>
    <tableColumn id="11031" name="Columna11017" dataDxfId="21982" totalsRowDxfId="5358"/>
    <tableColumn id="11032" name="Columna11018" dataDxfId="21981" totalsRowDxfId="5357"/>
    <tableColumn id="11033" name="Columna11019" dataDxfId="21980" totalsRowDxfId="5356"/>
    <tableColumn id="11034" name="Columna11020" dataDxfId="21979" totalsRowDxfId="5355"/>
    <tableColumn id="11035" name="Columna11021" dataDxfId="21978" totalsRowDxfId="5354"/>
    <tableColumn id="11036" name="Columna11022" dataDxfId="21977" totalsRowDxfId="5353"/>
    <tableColumn id="11037" name="Columna11023" dataDxfId="21976" totalsRowDxfId="5352"/>
    <tableColumn id="11038" name="Columna11024" dataDxfId="21975" totalsRowDxfId="5351"/>
    <tableColumn id="11039" name="Columna11025" dataDxfId="21974" totalsRowDxfId="5350"/>
    <tableColumn id="11040" name="Columna11026" dataDxfId="21973" totalsRowDxfId="5349"/>
    <tableColumn id="11041" name="Columna11027" dataDxfId="21972" totalsRowDxfId="5348"/>
    <tableColumn id="11042" name="Columna11028" dataDxfId="21971" totalsRowDxfId="5347"/>
    <tableColumn id="11043" name="Columna11029" dataDxfId="21970" totalsRowDxfId="5346"/>
    <tableColumn id="11044" name="Columna11030" dataDxfId="21969" totalsRowDxfId="5345"/>
    <tableColumn id="11045" name="Columna11031" dataDxfId="21968" totalsRowDxfId="5344"/>
    <tableColumn id="11046" name="Columna11032" dataDxfId="21967" totalsRowDxfId="5343"/>
    <tableColumn id="11047" name="Columna11033" dataDxfId="21966" totalsRowDxfId="5342"/>
    <tableColumn id="11048" name="Columna11034" dataDxfId="21965" totalsRowDxfId="5341"/>
    <tableColumn id="11049" name="Columna11035" dataDxfId="21964" totalsRowDxfId="5340"/>
    <tableColumn id="11050" name="Columna11036" dataDxfId="21963" totalsRowDxfId="5339"/>
    <tableColumn id="11051" name="Columna11037" dataDxfId="21962" totalsRowDxfId="5338"/>
    <tableColumn id="11052" name="Columna11038" dataDxfId="21961" totalsRowDxfId="5337"/>
    <tableColumn id="11053" name="Columna11039" dataDxfId="21960" totalsRowDxfId="5336"/>
    <tableColumn id="11054" name="Columna11040" dataDxfId="21959" totalsRowDxfId="5335"/>
    <tableColumn id="11055" name="Columna11041" dataDxfId="21958" totalsRowDxfId="5334"/>
    <tableColumn id="11056" name="Columna11042" dataDxfId="21957" totalsRowDxfId="5333"/>
    <tableColumn id="11057" name="Columna11043" dataDxfId="21956" totalsRowDxfId="5332"/>
    <tableColumn id="11058" name="Columna11044" dataDxfId="21955" totalsRowDxfId="5331"/>
    <tableColumn id="11059" name="Columna11045" dataDxfId="21954" totalsRowDxfId="5330"/>
    <tableColumn id="11060" name="Columna11046" dataDxfId="21953" totalsRowDxfId="5329"/>
    <tableColumn id="11061" name="Columna11047" dataDxfId="21952" totalsRowDxfId="5328"/>
    <tableColumn id="11062" name="Columna11048" dataDxfId="21951" totalsRowDxfId="5327"/>
    <tableColumn id="11063" name="Columna11049" dataDxfId="21950" totalsRowDxfId="5326"/>
    <tableColumn id="11064" name="Columna11050" dataDxfId="21949" totalsRowDxfId="5325"/>
    <tableColumn id="11065" name="Columna11051" dataDxfId="21948" totalsRowDxfId="5324"/>
    <tableColumn id="11066" name="Columna11052" dataDxfId="21947" totalsRowDxfId="5323"/>
    <tableColumn id="11067" name="Columna11053" dataDxfId="21946" totalsRowDxfId="5322"/>
    <tableColumn id="11068" name="Columna11054" dataDxfId="21945" totalsRowDxfId="5321"/>
    <tableColumn id="11069" name="Columna11055" dataDxfId="21944" totalsRowDxfId="5320"/>
    <tableColumn id="11070" name="Columna11056" dataDxfId="21943" totalsRowDxfId="5319"/>
    <tableColumn id="11071" name="Columna11057" dataDxfId="21942" totalsRowDxfId="5318"/>
    <tableColumn id="11072" name="Columna11058" dataDxfId="21941" totalsRowDxfId="5317"/>
    <tableColumn id="11073" name="Columna11059" dataDxfId="21940" totalsRowDxfId="5316"/>
    <tableColumn id="11074" name="Columna11060" dataDxfId="21939" totalsRowDxfId="5315"/>
    <tableColumn id="11075" name="Columna11061" dataDxfId="21938" totalsRowDxfId="5314"/>
    <tableColumn id="11076" name="Columna11062" dataDxfId="21937" totalsRowDxfId="5313"/>
    <tableColumn id="11077" name="Columna11063" dataDxfId="21936" totalsRowDxfId="5312"/>
    <tableColumn id="11078" name="Columna11064" dataDxfId="21935" totalsRowDxfId="5311"/>
    <tableColumn id="11079" name="Columna11065" dataDxfId="21934" totalsRowDxfId="5310"/>
    <tableColumn id="11080" name="Columna11066" dataDxfId="21933" totalsRowDxfId="5309"/>
    <tableColumn id="11081" name="Columna11067" dataDxfId="21932" totalsRowDxfId="5308"/>
    <tableColumn id="11082" name="Columna11068" dataDxfId="21931" totalsRowDxfId="5307"/>
    <tableColumn id="11083" name="Columna11069" dataDxfId="21930" totalsRowDxfId="5306"/>
    <tableColumn id="11084" name="Columna11070" dataDxfId="21929" totalsRowDxfId="5305"/>
    <tableColumn id="11085" name="Columna11071" dataDxfId="21928" totalsRowDxfId="5304"/>
    <tableColumn id="11086" name="Columna11072" dataDxfId="21927" totalsRowDxfId="5303"/>
    <tableColumn id="11087" name="Columna11073" dataDxfId="21926" totalsRowDxfId="5302"/>
    <tableColumn id="11088" name="Columna11074" dataDxfId="21925" totalsRowDxfId="5301"/>
    <tableColumn id="11089" name="Columna11075" dataDxfId="21924" totalsRowDxfId="5300"/>
    <tableColumn id="11090" name="Columna11076" dataDxfId="21923" totalsRowDxfId="5299"/>
    <tableColumn id="11091" name="Columna11077" dataDxfId="21922" totalsRowDxfId="5298"/>
    <tableColumn id="11092" name="Columna11078" dataDxfId="21921" totalsRowDxfId="5297"/>
    <tableColumn id="11093" name="Columna11079" dataDxfId="21920" totalsRowDxfId="5296"/>
    <tableColumn id="11094" name="Columna11080" dataDxfId="21919" totalsRowDxfId="5295"/>
    <tableColumn id="11095" name="Columna11081" dataDxfId="21918" totalsRowDxfId="5294"/>
    <tableColumn id="11096" name="Columna11082" dataDxfId="21917" totalsRowDxfId="5293"/>
    <tableColumn id="11097" name="Columna11083" dataDxfId="21916" totalsRowDxfId="5292"/>
    <tableColumn id="11098" name="Columna11084" dataDxfId="21915" totalsRowDxfId="5291"/>
    <tableColumn id="11099" name="Columna11085" dataDxfId="21914" totalsRowDxfId="5290"/>
    <tableColumn id="11100" name="Columna11086" dataDxfId="21913" totalsRowDxfId="5289"/>
    <tableColumn id="11101" name="Columna11087" dataDxfId="21912" totalsRowDxfId="5288"/>
    <tableColumn id="11102" name="Columna11088" dataDxfId="21911" totalsRowDxfId="5287"/>
    <tableColumn id="11103" name="Columna11089" dataDxfId="21910" totalsRowDxfId="5286"/>
    <tableColumn id="11104" name="Columna11090" dataDxfId="21909" totalsRowDxfId="5285"/>
    <tableColumn id="11105" name="Columna11091" dataDxfId="21908" totalsRowDxfId="5284"/>
    <tableColumn id="11106" name="Columna11092" dataDxfId="21907" totalsRowDxfId="5283"/>
    <tableColumn id="11107" name="Columna11093" dataDxfId="21906" totalsRowDxfId="5282"/>
    <tableColumn id="11108" name="Columna11094" dataDxfId="21905" totalsRowDxfId="5281"/>
    <tableColumn id="11109" name="Columna11095" dataDxfId="21904" totalsRowDxfId="5280"/>
    <tableColumn id="11110" name="Columna11096" dataDxfId="21903" totalsRowDxfId="5279"/>
    <tableColumn id="11111" name="Columna11097" dataDxfId="21902" totalsRowDxfId="5278"/>
    <tableColumn id="11112" name="Columna11098" dataDxfId="21901" totalsRowDxfId="5277"/>
    <tableColumn id="11113" name="Columna11099" dataDxfId="21900" totalsRowDxfId="5276"/>
    <tableColumn id="11114" name="Columna11100" dataDxfId="21899" totalsRowDxfId="5275"/>
    <tableColumn id="11115" name="Columna11101" dataDxfId="21898" totalsRowDxfId="5274"/>
    <tableColumn id="11116" name="Columna11102" dataDxfId="21897" totalsRowDxfId="5273"/>
    <tableColumn id="11117" name="Columna11103" dataDxfId="21896" totalsRowDxfId="5272"/>
    <tableColumn id="11118" name="Columna11104" dataDxfId="21895" totalsRowDxfId="5271"/>
    <tableColumn id="11119" name="Columna11105" dataDxfId="21894" totalsRowDxfId="5270"/>
    <tableColumn id="11120" name="Columna11106" dataDxfId="21893" totalsRowDxfId="5269"/>
    <tableColumn id="11121" name="Columna11107" dataDxfId="21892" totalsRowDxfId="5268"/>
    <tableColumn id="11122" name="Columna11108" dataDxfId="21891" totalsRowDxfId="5267"/>
    <tableColumn id="11123" name="Columna11109" dataDxfId="21890" totalsRowDxfId="5266"/>
    <tableColumn id="11124" name="Columna11110" dataDxfId="21889" totalsRowDxfId="5265"/>
    <tableColumn id="11125" name="Columna11111" dataDxfId="21888" totalsRowDxfId="5264"/>
    <tableColumn id="11126" name="Columna11112" dataDxfId="21887" totalsRowDxfId="5263"/>
    <tableColumn id="11127" name="Columna11113" dataDxfId="21886" totalsRowDxfId="5262"/>
    <tableColumn id="11128" name="Columna11114" dataDxfId="21885" totalsRowDxfId="5261"/>
    <tableColumn id="11129" name="Columna11115" dataDxfId="21884" totalsRowDxfId="5260"/>
    <tableColumn id="11130" name="Columna11116" dataDxfId="21883" totalsRowDxfId="5259"/>
    <tableColumn id="11131" name="Columna11117" dataDxfId="21882" totalsRowDxfId="5258"/>
    <tableColumn id="11132" name="Columna11118" dataDxfId="21881" totalsRowDxfId="5257"/>
    <tableColumn id="11133" name="Columna11119" dataDxfId="21880" totalsRowDxfId="5256"/>
    <tableColumn id="11134" name="Columna11120" dataDxfId="21879" totalsRowDxfId="5255"/>
    <tableColumn id="11135" name="Columna11121" dataDxfId="21878" totalsRowDxfId="5254"/>
    <tableColumn id="11136" name="Columna11122" dataDxfId="21877" totalsRowDxfId="5253"/>
    <tableColumn id="11137" name="Columna11123" dataDxfId="21876" totalsRowDxfId="5252"/>
    <tableColumn id="11138" name="Columna11124" dataDxfId="21875" totalsRowDxfId="5251"/>
    <tableColumn id="11139" name="Columna11125" dataDxfId="21874" totalsRowDxfId="5250"/>
    <tableColumn id="11140" name="Columna11126" dataDxfId="21873" totalsRowDxfId="5249"/>
    <tableColumn id="11141" name="Columna11127" dataDxfId="21872" totalsRowDxfId="5248"/>
    <tableColumn id="11142" name="Columna11128" dataDxfId="21871" totalsRowDxfId="5247"/>
    <tableColumn id="11143" name="Columna11129" dataDxfId="21870" totalsRowDxfId="5246"/>
    <tableColumn id="11144" name="Columna11130" dataDxfId="21869" totalsRowDxfId="5245"/>
    <tableColumn id="11145" name="Columna11131" dataDxfId="21868" totalsRowDxfId="5244"/>
    <tableColumn id="11146" name="Columna11132" dataDxfId="21867" totalsRowDxfId="5243"/>
    <tableColumn id="11147" name="Columna11133" dataDxfId="21866" totalsRowDxfId="5242"/>
    <tableColumn id="11148" name="Columna11134" dataDxfId="21865" totalsRowDxfId="5241"/>
    <tableColumn id="11149" name="Columna11135" dataDxfId="21864" totalsRowDxfId="5240"/>
    <tableColumn id="11150" name="Columna11136" dataDxfId="21863" totalsRowDxfId="5239"/>
    <tableColumn id="11151" name="Columna11137" dataDxfId="21862" totalsRowDxfId="5238"/>
    <tableColumn id="11152" name="Columna11138" dataDxfId="21861" totalsRowDxfId="5237"/>
    <tableColumn id="11153" name="Columna11139" dataDxfId="21860" totalsRowDxfId="5236"/>
    <tableColumn id="11154" name="Columna11140" dataDxfId="21859" totalsRowDxfId="5235"/>
    <tableColumn id="11155" name="Columna11141" dataDxfId="21858" totalsRowDxfId="5234"/>
    <tableColumn id="11156" name="Columna11142" dataDxfId="21857" totalsRowDxfId="5233"/>
    <tableColumn id="11157" name="Columna11143" dataDxfId="21856" totalsRowDxfId="5232"/>
    <tableColumn id="11158" name="Columna11144" dataDxfId="21855" totalsRowDxfId="5231"/>
    <tableColumn id="11159" name="Columna11145" dataDxfId="21854" totalsRowDxfId="5230"/>
    <tableColumn id="11160" name="Columna11146" dataDxfId="21853" totalsRowDxfId="5229"/>
    <tableColumn id="11161" name="Columna11147" dataDxfId="21852" totalsRowDxfId="5228"/>
    <tableColumn id="11162" name="Columna11148" dataDxfId="21851" totalsRowDxfId="5227"/>
    <tableColumn id="11163" name="Columna11149" dataDxfId="21850" totalsRowDxfId="5226"/>
    <tableColumn id="11164" name="Columna11150" dataDxfId="21849" totalsRowDxfId="5225"/>
    <tableColumn id="11165" name="Columna11151" dataDxfId="21848" totalsRowDxfId="5224"/>
    <tableColumn id="11166" name="Columna11152" dataDxfId="21847" totalsRowDxfId="5223"/>
    <tableColumn id="11167" name="Columna11153" dataDxfId="21846" totalsRowDxfId="5222"/>
    <tableColumn id="11168" name="Columna11154" dataDxfId="21845" totalsRowDxfId="5221"/>
    <tableColumn id="11169" name="Columna11155" dataDxfId="21844" totalsRowDxfId="5220"/>
    <tableColumn id="11170" name="Columna11156" dataDxfId="21843" totalsRowDxfId="5219"/>
    <tableColumn id="11171" name="Columna11157" dataDxfId="21842" totalsRowDxfId="5218"/>
    <tableColumn id="11172" name="Columna11158" dataDxfId="21841" totalsRowDxfId="5217"/>
    <tableColumn id="11173" name="Columna11159" dataDxfId="21840" totalsRowDxfId="5216"/>
    <tableColumn id="11174" name="Columna11160" dataDxfId="21839" totalsRowDxfId="5215"/>
    <tableColumn id="11175" name="Columna11161" dataDxfId="21838" totalsRowDxfId="5214"/>
    <tableColumn id="11176" name="Columna11162" dataDxfId="21837" totalsRowDxfId="5213"/>
    <tableColumn id="11177" name="Columna11163" dataDxfId="21836" totalsRowDxfId="5212"/>
    <tableColumn id="11178" name="Columna11164" dataDxfId="21835" totalsRowDxfId="5211"/>
    <tableColumn id="11179" name="Columna11165" dataDxfId="21834" totalsRowDxfId="5210"/>
    <tableColumn id="11180" name="Columna11166" dataDxfId="21833" totalsRowDxfId="5209"/>
    <tableColumn id="11181" name="Columna11167" dataDxfId="21832" totalsRowDxfId="5208"/>
    <tableColumn id="11182" name="Columna11168" dataDxfId="21831" totalsRowDxfId="5207"/>
    <tableColumn id="11183" name="Columna11169" dataDxfId="21830" totalsRowDxfId="5206"/>
    <tableColumn id="11184" name="Columna11170" dataDxfId="21829" totalsRowDxfId="5205"/>
    <tableColumn id="11185" name="Columna11171" dataDxfId="21828" totalsRowDxfId="5204"/>
    <tableColumn id="11186" name="Columna11172" dataDxfId="21827" totalsRowDxfId="5203"/>
    <tableColumn id="11187" name="Columna11173" dataDxfId="21826" totalsRowDxfId="5202"/>
    <tableColumn id="11188" name="Columna11174" dataDxfId="21825" totalsRowDxfId="5201"/>
    <tableColumn id="11189" name="Columna11175" dataDxfId="21824" totalsRowDxfId="5200"/>
    <tableColumn id="11190" name="Columna11176" dataDxfId="21823" totalsRowDxfId="5199"/>
    <tableColumn id="11191" name="Columna11177" dataDxfId="21822" totalsRowDxfId="5198"/>
    <tableColumn id="11192" name="Columna11178" dataDxfId="21821" totalsRowDxfId="5197"/>
    <tableColumn id="11193" name="Columna11179" dataDxfId="21820" totalsRowDxfId="5196"/>
    <tableColumn id="11194" name="Columna11180" dataDxfId="21819" totalsRowDxfId="5195"/>
    <tableColumn id="11195" name="Columna11181" dataDxfId="21818" totalsRowDxfId="5194"/>
    <tableColumn id="11196" name="Columna11182" dataDxfId="21817" totalsRowDxfId="5193"/>
    <tableColumn id="11197" name="Columna11183" dataDxfId="21816" totalsRowDxfId="5192"/>
    <tableColumn id="11198" name="Columna11184" dataDxfId="21815" totalsRowDxfId="5191"/>
    <tableColumn id="11199" name="Columna11185" dataDxfId="21814" totalsRowDxfId="5190"/>
    <tableColumn id="11200" name="Columna11186" dataDxfId="21813" totalsRowDxfId="5189"/>
    <tableColumn id="11201" name="Columna11187" dataDxfId="21812" totalsRowDxfId="5188"/>
    <tableColumn id="11202" name="Columna11188" dataDxfId="21811" totalsRowDxfId="5187"/>
    <tableColumn id="11203" name="Columna11189" dataDxfId="21810" totalsRowDxfId="5186"/>
    <tableColumn id="11204" name="Columna11190" dataDxfId="21809" totalsRowDxfId="5185"/>
    <tableColumn id="11205" name="Columna11191" dataDxfId="21808" totalsRowDxfId="5184"/>
    <tableColumn id="11206" name="Columna11192" dataDxfId="21807" totalsRowDxfId="5183"/>
    <tableColumn id="11207" name="Columna11193" dataDxfId="21806" totalsRowDxfId="5182"/>
    <tableColumn id="11208" name="Columna11194" dataDxfId="21805" totalsRowDxfId="5181"/>
    <tableColumn id="11209" name="Columna11195" dataDxfId="21804" totalsRowDxfId="5180"/>
    <tableColumn id="11210" name="Columna11196" dataDxfId="21803" totalsRowDxfId="5179"/>
    <tableColumn id="11211" name="Columna11197" dataDxfId="21802" totalsRowDxfId="5178"/>
    <tableColumn id="11212" name="Columna11198" dataDxfId="21801" totalsRowDxfId="5177"/>
    <tableColumn id="11213" name="Columna11199" dataDxfId="21800" totalsRowDxfId="5176"/>
    <tableColumn id="11214" name="Columna11200" dataDxfId="21799" totalsRowDxfId="5175"/>
    <tableColumn id="11215" name="Columna11201" dataDxfId="21798" totalsRowDxfId="5174"/>
    <tableColumn id="11216" name="Columna11202" dataDxfId="21797" totalsRowDxfId="5173"/>
    <tableColumn id="11217" name="Columna11203" dataDxfId="21796" totalsRowDxfId="5172"/>
    <tableColumn id="11218" name="Columna11204" dataDxfId="21795" totalsRowDxfId="5171"/>
    <tableColumn id="11219" name="Columna11205" dataDxfId="21794" totalsRowDxfId="5170"/>
    <tableColumn id="11220" name="Columna11206" dataDxfId="21793" totalsRowDxfId="5169"/>
    <tableColumn id="11221" name="Columna11207" dataDxfId="21792" totalsRowDxfId="5168"/>
    <tableColumn id="11222" name="Columna11208" dataDxfId="21791" totalsRowDxfId="5167"/>
    <tableColumn id="11223" name="Columna11209" dataDxfId="21790" totalsRowDxfId="5166"/>
    <tableColumn id="11224" name="Columna11210" dataDxfId="21789" totalsRowDxfId="5165"/>
    <tableColumn id="11225" name="Columna11211" dataDxfId="21788" totalsRowDxfId="5164"/>
    <tableColumn id="11226" name="Columna11212" dataDxfId="21787" totalsRowDxfId="5163"/>
    <tableColumn id="11227" name="Columna11213" dataDxfId="21786" totalsRowDxfId="5162"/>
    <tableColumn id="11228" name="Columna11214" dataDxfId="21785" totalsRowDxfId="5161"/>
    <tableColumn id="11229" name="Columna11215" dataDxfId="21784" totalsRowDxfId="5160"/>
    <tableColumn id="11230" name="Columna11216" dataDxfId="21783" totalsRowDxfId="5159"/>
    <tableColumn id="11231" name="Columna11217" dataDxfId="21782" totalsRowDxfId="5158"/>
    <tableColumn id="11232" name="Columna11218" dataDxfId="21781" totalsRowDxfId="5157"/>
    <tableColumn id="11233" name="Columna11219" dataDxfId="21780" totalsRowDxfId="5156"/>
    <tableColumn id="11234" name="Columna11220" dataDxfId="21779" totalsRowDxfId="5155"/>
    <tableColumn id="11235" name="Columna11221" dataDxfId="21778" totalsRowDxfId="5154"/>
    <tableColumn id="11236" name="Columna11222" dataDxfId="21777" totalsRowDxfId="5153"/>
    <tableColumn id="11237" name="Columna11223" dataDxfId="21776" totalsRowDxfId="5152"/>
    <tableColumn id="11238" name="Columna11224" dataDxfId="21775" totalsRowDxfId="5151"/>
    <tableColumn id="11239" name="Columna11225" dataDxfId="21774" totalsRowDxfId="5150"/>
    <tableColumn id="11240" name="Columna11226" dataDxfId="21773" totalsRowDxfId="5149"/>
    <tableColumn id="11241" name="Columna11227" dataDxfId="21772" totalsRowDxfId="5148"/>
    <tableColumn id="11242" name="Columna11228" dataDxfId="21771" totalsRowDxfId="5147"/>
    <tableColumn id="11243" name="Columna11229" dataDxfId="21770" totalsRowDxfId="5146"/>
    <tableColumn id="11244" name="Columna11230" dataDxfId="21769" totalsRowDxfId="5145"/>
    <tableColumn id="11245" name="Columna11231" dataDxfId="21768" totalsRowDxfId="5144"/>
    <tableColumn id="11246" name="Columna11232" dataDxfId="21767" totalsRowDxfId="5143"/>
    <tableColumn id="11247" name="Columna11233" dataDxfId="21766" totalsRowDxfId="5142"/>
    <tableColumn id="11248" name="Columna11234" dataDxfId="21765" totalsRowDxfId="5141"/>
    <tableColumn id="11249" name="Columna11235" dataDxfId="21764" totalsRowDxfId="5140"/>
    <tableColumn id="11250" name="Columna11236" dataDxfId="21763" totalsRowDxfId="5139"/>
    <tableColumn id="11251" name="Columna11237" dataDxfId="21762" totalsRowDxfId="5138"/>
    <tableColumn id="11252" name="Columna11238" dataDxfId="21761" totalsRowDxfId="5137"/>
    <tableColumn id="11253" name="Columna11239" dataDxfId="21760" totalsRowDxfId="5136"/>
    <tableColumn id="11254" name="Columna11240" dataDxfId="21759" totalsRowDxfId="5135"/>
    <tableColumn id="11255" name="Columna11241" dataDxfId="21758" totalsRowDxfId="5134"/>
    <tableColumn id="11256" name="Columna11242" dataDxfId="21757" totalsRowDxfId="5133"/>
    <tableColumn id="11257" name="Columna11243" dataDxfId="21756" totalsRowDxfId="5132"/>
    <tableColumn id="11258" name="Columna11244" dataDxfId="21755" totalsRowDxfId="5131"/>
    <tableColumn id="11259" name="Columna11245" dataDxfId="21754" totalsRowDxfId="5130"/>
    <tableColumn id="11260" name="Columna11246" dataDxfId="21753" totalsRowDxfId="5129"/>
    <tableColumn id="11261" name="Columna11247" dataDxfId="21752" totalsRowDxfId="5128"/>
    <tableColumn id="11262" name="Columna11248" dataDxfId="21751" totalsRowDxfId="5127"/>
    <tableColumn id="11263" name="Columna11249" dataDxfId="21750" totalsRowDxfId="5126"/>
    <tableColumn id="11264" name="Columna11250" dataDxfId="21749" totalsRowDxfId="5125"/>
    <tableColumn id="11265" name="Columna11251" dataDxfId="21748" totalsRowDxfId="5124"/>
    <tableColumn id="11266" name="Columna11252" dataDxfId="21747" totalsRowDxfId="5123"/>
    <tableColumn id="11267" name="Columna11253" dataDxfId="21746" totalsRowDxfId="5122"/>
    <tableColumn id="11268" name="Columna11254" dataDxfId="21745" totalsRowDxfId="5121"/>
    <tableColumn id="11269" name="Columna11255" dataDxfId="21744" totalsRowDxfId="5120"/>
    <tableColumn id="11270" name="Columna11256" dataDxfId="21743" totalsRowDxfId="5119"/>
    <tableColumn id="11271" name="Columna11257" dataDxfId="21742" totalsRowDxfId="5118"/>
    <tableColumn id="11272" name="Columna11258" dataDxfId="21741" totalsRowDxfId="5117"/>
    <tableColumn id="11273" name="Columna11259" dataDxfId="21740" totalsRowDxfId="5116"/>
    <tableColumn id="11274" name="Columna11260" dataDxfId="21739" totalsRowDxfId="5115"/>
    <tableColumn id="11275" name="Columna11261" dataDxfId="21738" totalsRowDxfId="5114"/>
    <tableColumn id="11276" name="Columna11262" dataDxfId="21737" totalsRowDxfId="5113"/>
    <tableColumn id="11277" name="Columna11263" dataDxfId="21736" totalsRowDxfId="5112"/>
    <tableColumn id="11278" name="Columna11264" dataDxfId="21735" totalsRowDxfId="5111"/>
    <tableColumn id="11279" name="Columna11265" dataDxfId="21734" totalsRowDxfId="5110"/>
    <tableColumn id="11280" name="Columna11266" dataDxfId="21733" totalsRowDxfId="5109"/>
    <tableColumn id="11281" name="Columna11267" dataDxfId="21732" totalsRowDxfId="5108"/>
    <tableColumn id="11282" name="Columna11268" dataDxfId="21731" totalsRowDxfId="5107"/>
    <tableColumn id="11283" name="Columna11269" dataDxfId="21730" totalsRowDxfId="5106"/>
    <tableColumn id="11284" name="Columna11270" dataDxfId="21729" totalsRowDxfId="5105"/>
    <tableColumn id="11285" name="Columna11271" dataDxfId="21728" totalsRowDxfId="5104"/>
    <tableColumn id="11286" name="Columna11272" dataDxfId="21727" totalsRowDxfId="5103"/>
    <tableColumn id="11287" name="Columna11273" dataDxfId="21726" totalsRowDxfId="5102"/>
    <tableColumn id="11288" name="Columna11274" dataDxfId="21725" totalsRowDxfId="5101"/>
    <tableColumn id="11289" name="Columna11275" dataDxfId="21724" totalsRowDxfId="5100"/>
    <tableColumn id="11290" name="Columna11276" dataDxfId="21723" totalsRowDxfId="5099"/>
    <tableColumn id="11291" name="Columna11277" dataDxfId="21722" totalsRowDxfId="5098"/>
    <tableColumn id="11292" name="Columna11278" dataDxfId="21721" totalsRowDxfId="5097"/>
    <tableColumn id="11293" name="Columna11279" dataDxfId="21720" totalsRowDxfId="5096"/>
    <tableColumn id="11294" name="Columna11280" dataDxfId="21719" totalsRowDxfId="5095"/>
    <tableColumn id="11295" name="Columna11281" dataDxfId="21718" totalsRowDxfId="5094"/>
    <tableColumn id="11296" name="Columna11282" dataDxfId="21717" totalsRowDxfId="5093"/>
    <tableColumn id="11297" name="Columna11283" dataDxfId="21716" totalsRowDxfId="5092"/>
    <tableColumn id="11298" name="Columna11284" dataDxfId="21715" totalsRowDxfId="5091"/>
    <tableColumn id="11299" name="Columna11285" dataDxfId="21714" totalsRowDxfId="5090"/>
    <tableColumn id="11300" name="Columna11286" dataDxfId="21713" totalsRowDxfId="5089"/>
    <tableColumn id="11301" name="Columna11287" dataDxfId="21712" totalsRowDxfId="5088"/>
    <tableColumn id="11302" name="Columna11288" dataDxfId="21711" totalsRowDxfId="5087"/>
    <tableColumn id="11303" name="Columna11289" dataDxfId="21710" totalsRowDxfId="5086"/>
    <tableColumn id="11304" name="Columna11290" dataDxfId="21709" totalsRowDxfId="5085"/>
    <tableColumn id="11305" name="Columna11291" dataDxfId="21708" totalsRowDxfId="5084"/>
    <tableColumn id="11306" name="Columna11292" dataDxfId="21707" totalsRowDxfId="5083"/>
    <tableColumn id="11307" name="Columna11293" dataDxfId="21706" totalsRowDxfId="5082"/>
    <tableColumn id="11308" name="Columna11294" dataDxfId="21705" totalsRowDxfId="5081"/>
    <tableColumn id="11309" name="Columna11295" dataDxfId="21704" totalsRowDxfId="5080"/>
    <tableColumn id="11310" name="Columna11296" dataDxfId="21703" totalsRowDxfId="5079"/>
    <tableColumn id="11311" name="Columna11297" dataDxfId="21702" totalsRowDxfId="5078"/>
    <tableColumn id="11312" name="Columna11298" dataDxfId="21701" totalsRowDxfId="5077"/>
    <tableColumn id="11313" name="Columna11299" dataDxfId="21700" totalsRowDxfId="5076"/>
    <tableColumn id="11314" name="Columna11300" dataDxfId="21699" totalsRowDxfId="5075"/>
    <tableColumn id="11315" name="Columna11301" dataDxfId="21698" totalsRowDxfId="5074"/>
    <tableColumn id="11316" name="Columna11302" dataDxfId="21697" totalsRowDxfId="5073"/>
    <tableColumn id="11317" name="Columna11303" dataDxfId="21696" totalsRowDxfId="5072"/>
    <tableColumn id="11318" name="Columna11304" dataDxfId="21695" totalsRowDxfId="5071"/>
    <tableColumn id="11319" name="Columna11305" dataDxfId="21694" totalsRowDxfId="5070"/>
    <tableColumn id="11320" name="Columna11306" dataDxfId="21693" totalsRowDxfId="5069"/>
    <tableColumn id="11321" name="Columna11307" dataDxfId="21692" totalsRowDxfId="5068"/>
    <tableColumn id="11322" name="Columna11308" dataDxfId="21691" totalsRowDxfId="5067"/>
    <tableColumn id="11323" name="Columna11309" dataDxfId="21690" totalsRowDxfId="5066"/>
    <tableColumn id="11324" name="Columna11310" dataDxfId="21689" totalsRowDxfId="5065"/>
    <tableColumn id="11325" name="Columna11311" dataDxfId="21688" totalsRowDxfId="5064"/>
    <tableColumn id="11326" name="Columna11312" dataDxfId="21687" totalsRowDxfId="5063"/>
    <tableColumn id="11327" name="Columna11313" dataDxfId="21686" totalsRowDxfId="5062"/>
    <tableColumn id="11328" name="Columna11314" dataDxfId="21685" totalsRowDxfId="5061"/>
    <tableColumn id="11329" name="Columna11315" dataDxfId="21684" totalsRowDxfId="5060"/>
    <tableColumn id="11330" name="Columna11316" dataDxfId="21683" totalsRowDxfId="5059"/>
    <tableColumn id="11331" name="Columna11317" dataDxfId="21682" totalsRowDxfId="5058"/>
    <tableColumn id="11332" name="Columna11318" dataDxfId="21681" totalsRowDxfId="5057"/>
    <tableColumn id="11333" name="Columna11319" dataDxfId="21680" totalsRowDxfId="5056"/>
    <tableColumn id="11334" name="Columna11320" dataDxfId="21679" totalsRowDxfId="5055"/>
    <tableColumn id="11335" name="Columna11321" dataDxfId="21678" totalsRowDxfId="5054"/>
    <tableColumn id="11336" name="Columna11322" dataDxfId="21677" totalsRowDxfId="5053"/>
    <tableColumn id="11337" name="Columna11323" dataDxfId="21676" totalsRowDxfId="5052"/>
    <tableColumn id="11338" name="Columna11324" dataDxfId="21675" totalsRowDxfId="5051"/>
    <tableColumn id="11339" name="Columna11325" dataDxfId="21674" totalsRowDxfId="5050"/>
    <tableColumn id="11340" name="Columna11326" dataDxfId="21673" totalsRowDxfId="5049"/>
    <tableColumn id="11341" name="Columna11327" dataDxfId="21672" totalsRowDxfId="5048"/>
    <tableColumn id="11342" name="Columna11328" dataDxfId="21671" totalsRowDxfId="5047"/>
    <tableColumn id="11343" name="Columna11329" dataDxfId="21670" totalsRowDxfId="5046"/>
    <tableColumn id="11344" name="Columna11330" dataDxfId="21669" totalsRowDxfId="5045"/>
    <tableColumn id="11345" name="Columna11331" dataDxfId="21668" totalsRowDxfId="5044"/>
    <tableColumn id="11346" name="Columna11332" dataDxfId="21667" totalsRowDxfId="5043"/>
    <tableColumn id="11347" name="Columna11333" dataDxfId="21666" totalsRowDxfId="5042"/>
    <tableColumn id="11348" name="Columna11334" dataDxfId="21665" totalsRowDxfId="5041"/>
    <tableColumn id="11349" name="Columna11335" dataDxfId="21664" totalsRowDxfId="5040"/>
    <tableColumn id="11350" name="Columna11336" dataDxfId="21663" totalsRowDxfId="5039"/>
    <tableColumn id="11351" name="Columna11337" dataDxfId="21662" totalsRowDxfId="5038"/>
    <tableColumn id="11352" name="Columna11338" dataDxfId="21661" totalsRowDxfId="5037"/>
    <tableColumn id="11353" name="Columna11339" dataDxfId="21660" totalsRowDxfId="5036"/>
    <tableColumn id="11354" name="Columna11340" dataDxfId="21659" totalsRowDxfId="5035"/>
    <tableColumn id="11355" name="Columna11341" dataDxfId="21658" totalsRowDxfId="5034"/>
    <tableColumn id="11356" name="Columna11342" dataDxfId="21657" totalsRowDxfId="5033"/>
    <tableColumn id="11357" name="Columna11343" dataDxfId="21656" totalsRowDxfId="5032"/>
    <tableColumn id="11358" name="Columna11344" dataDxfId="21655" totalsRowDxfId="5031"/>
    <tableColumn id="11359" name="Columna11345" dataDxfId="21654" totalsRowDxfId="5030"/>
    <tableColumn id="11360" name="Columna11346" dataDxfId="21653" totalsRowDxfId="5029"/>
    <tableColumn id="11361" name="Columna11347" dataDxfId="21652" totalsRowDxfId="5028"/>
    <tableColumn id="11362" name="Columna11348" dataDxfId="21651" totalsRowDxfId="5027"/>
    <tableColumn id="11363" name="Columna11349" dataDxfId="21650" totalsRowDxfId="5026"/>
    <tableColumn id="11364" name="Columna11350" dataDxfId="21649" totalsRowDxfId="5025"/>
    <tableColumn id="11365" name="Columna11351" dataDxfId="21648" totalsRowDxfId="5024"/>
    <tableColumn id="11366" name="Columna11352" dataDxfId="21647" totalsRowDxfId="5023"/>
    <tableColumn id="11367" name="Columna11353" dataDxfId="21646" totalsRowDxfId="5022"/>
    <tableColumn id="11368" name="Columna11354" dataDxfId="21645" totalsRowDxfId="5021"/>
    <tableColumn id="11369" name="Columna11355" dataDxfId="21644" totalsRowDxfId="5020"/>
    <tableColumn id="11370" name="Columna11356" dataDxfId="21643" totalsRowDxfId="5019"/>
    <tableColumn id="11371" name="Columna11357" dataDxfId="21642" totalsRowDxfId="5018"/>
    <tableColumn id="11372" name="Columna11358" dataDxfId="21641" totalsRowDxfId="5017"/>
    <tableColumn id="11373" name="Columna11359" dataDxfId="21640" totalsRowDxfId="5016"/>
    <tableColumn id="11374" name="Columna11360" dataDxfId="21639" totalsRowDxfId="5015"/>
    <tableColumn id="11375" name="Columna11361" dataDxfId="21638" totalsRowDxfId="5014"/>
    <tableColumn id="11376" name="Columna11362" dataDxfId="21637" totalsRowDxfId="5013"/>
    <tableColumn id="11377" name="Columna11363" dataDxfId="21636" totalsRowDxfId="5012"/>
    <tableColumn id="11378" name="Columna11364" dataDxfId="21635" totalsRowDxfId="5011"/>
    <tableColumn id="11379" name="Columna11365" dataDxfId="21634" totalsRowDxfId="5010"/>
    <tableColumn id="11380" name="Columna11366" dataDxfId="21633" totalsRowDxfId="5009"/>
    <tableColumn id="11381" name="Columna11367" dataDxfId="21632" totalsRowDxfId="5008"/>
    <tableColumn id="11382" name="Columna11368" dataDxfId="21631" totalsRowDxfId="5007"/>
    <tableColumn id="11383" name="Columna11369" dataDxfId="21630" totalsRowDxfId="5006"/>
    <tableColumn id="11384" name="Columna11370" dataDxfId="21629" totalsRowDxfId="5005"/>
    <tableColumn id="11385" name="Columna11371" dataDxfId="21628" totalsRowDxfId="5004"/>
    <tableColumn id="11386" name="Columna11372" dataDxfId="21627" totalsRowDxfId="5003"/>
    <tableColumn id="11387" name="Columna11373" dataDxfId="21626" totalsRowDxfId="5002"/>
    <tableColumn id="11388" name="Columna11374" dataDxfId="21625" totalsRowDxfId="5001"/>
    <tableColumn id="11389" name="Columna11375" dataDxfId="21624" totalsRowDxfId="5000"/>
    <tableColumn id="11390" name="Columna11376" dataDxfId="21623" totalsRowDxfId="4999"/>
    <tableColumn id="11391" name="Columna11377" dataDxfId="21622" totalsRowDxfId="4998"/>
    <tableColumn id="11392" name="Columna11378" dataDxfId="21621" totalsRowDxfId="4997"/>
    <tableColumn id="11393" name="Columna11379" dataDxfId="21620" totalsRowDxfId="4996"/>
    <tableColumn id="11394" name="Columna11380" dataDxfId="21619" totalsRowDxfId="4995"/>
    <tableColumn id="11395" name="Columna11381" dataDxfId="21618" totalsRowDxfId="4994"/>
    <tableColumn id="11396" name="Columna11382" dataDxfId="21617" totalsRowDxfId="4993"/>
    <tableColumn id="11397" name="Columna11383" dataDxfId="21616" totalsRowDxfId="4992"/>
    <tableColumn id="11398" name="Columna11384" dataDxfId="21615" totalsRowDxfId="4991"/>
    <tableColumn id="11399" name="Columna11385" dataDxfId="21614" totalsRowDxfId="4990"/>
    <tableColumn id="11400" name="Columna11386" dataDxfId="21613" totalsRowDxfId="4989"/>
    <tableColumn id="11401" name="Columna11387" dataDxfId="21612" totalsRowDxfId="4988"/>
    <tableColumn id="11402" name="Columna11388" dataDxfId="21611" totalsRowDxfId="4987"/>
    <tableColumn id="11403" name="Columna11389" dataDxfId="21610" totalsRowDxfId="4986"/>
    <tableColumn id="11404" name="Columna11390" dataDxfId="21609" totalsRowDxfId="4985"/>
    <tableColumn id="11405" name="Columna11391" dataDxfId="21608" totalsRowDxfId="4984"/>
    <tableColumn id="11406" name="Columna11392" dataDxfId="21607" totalsRowDxfId="4983"/>
    <tableColumn id="11407" name="Columna11393" dataDxfId="21606" totalsRowDxfId="4982"/>
    <tableColumn id="11408" name="Columna11394" dataDxfId="21605" totalsRowDxfId="4981"/>
    <tableColumn id="11409" name="Columna11395" dataDxfId="21604" totalsRowDxfId="4980"/>
    <tableColumn id="11410" name="Columna11396" dataDxfId="21603" totalsRowDxfId="4979"/>
    <tableColumn id="11411" name="Columna11397" dataDxfId="21602" totalsRowDxfId="4978"/>
    <tableColumn id="11412" name="Columna11398" dataDxfId="21601" totalsRowDxfId="4977"/>
    <tableColumn id="11413" name="Columna11399" dataDxfId="21600" totalsRowDxfId="4976"/>
    <tableColumn id="11414" name="Columna11400" dataDxfId="21599" totalsRowDxfId="4975"/>
    <tableColumn id="11415" name="Columna11401" dataDxfId="21598" totalsRowDxfId="4974"/>
    <tableColumn id="11416" name="Columna11402" dataDxfId="21597" totalsRowDxfId="4973"/>
    <tableColumn id="11417" name="Columna11403" dataDxfId="21596" totalsRowDxfId="4972"/>
    <tableColumn id="11418" name="Columna11404" dataDxfId="21595" totalsRowDxfId="4971"/>
    <tableColumn id="11419" name="Columna11405" dataDxfId="21594" totalsRowDxfId="4970"/>
    <tableColumn id="11420" name="Columna11406" dataDxfId="21593" totalsRowDxfId="4969"/>
    <tableColumn id="11421" name="Columna11407" dataDxfId="21592" totalsRowDxfId="4968"/>
    <tableColumn id="11422" name="Columna11408" dataDxfId="21591" totalsRowDxfId="4967"/>
    <tableColumn id="11423" name="Columna11409" dataDxfId="21590" totalsRowDxfId="4966"/>
    <tableColumn id="11424" name="Columna11410" dataDxfId="21589" totalsRowDxfId="4965"/>
    <tableColumn id="11425" name="Columna11411" dataDxfId="21588" totalsRowDxfId="4964"/>
    <tableColumn id="11426" name="Columna11412" dataDxfId="21587" totalsRowDxfId="4963"/>
    <tableColumn id="11427" name="Columna11413" dataDxfId="21586" totalsRowDxfId="4962"/>
    <tableColumn id="11428" name="Columna11414" dataDxfId="21585" totalsRowDxfId="4961"/>
    <tableColumn id="11429" name="Columna11415" dataDxfId="21584" totalsRowDxfId="4960"/>
    <tableColumn id="11430" name="Columna11416" dataDxfId="21583" totalsRowDxfId="4959"/>
    <tableColumn id="11431" name="Columna11417" dataDxfId="21582" totalsRowDxfId="4958"/>
    <tableColumn id="11432" name="Columna11418" dataDxfId="21581" totalsRowDxfId="4957"/>
    <tableColumn id="11433" name="Columna11419" dataDxfId="21580" totalsRowDxfId="4956"/>
    <tableColumn id="11434" name="Columna11420" dataDxfId="21579" totalsRowDxfId="4955"/>
    <tableColumn id="11435" name="Columna11421" dataDxfId="21578" totalsRowDxfId="4954"/>
    <tableColumn id="11436" name="Columna11422" dataDxfId="21577" totalsRowDxfId="4953"/>
    <tableColumn id="11437" name="Columna11423" dataDxfId="21576" totalsRowDxfId="4952"/>
    <tableColumn id="11438" name="Columna11424" dataDxfId="21575" totalsRowDxfId="4951"/>
    <tableColumn id="11439" name="Columna11425" dataDxfId="21574" totalsRowDxfId="4950"/>
    <tableColumn id="11440" name="Columna11426" dataDxfId="21573" totalsRowDxfId="4949"/>
    <tableColumn id="11441" name="Columna11427" dataDxfId="21572" totalsRowDxfId="4948"/>
    <tableColumn id="11442" name="Columna11428" dataDxfId="21571" totalsRowDxfId="4947"/>
    <tableColumn id="11443" name="Columna11429" dataDxfId="21570" totalsRowDxfId="4946"/>
    <tableColumn id="11444" name="Columna11430" dataDxfId="21569" totalsRowDxfId="4945"/>
    <tableColumn id="11445" name="Columna11431" dataDxfId="21568" totalsRowDxfId="4944"/>
    <tableColumn id="11446" name="Columna11432" dataDxfId="21567" totalsRowDxfId="4943"/>
    <tableColumn id="11447" name="Columna11433" dataDxfId="21566" totalsRowDxfId="4942"/>
    <tableColumn id="11448" name="Columna11434" dataDxfId="21565" totalsRowDxfId="4941"/>
    <tableColumn id="11449" name="Columna11435" dataDxfId="21564" totalsRowDxfId="4940"/>
    <tableColumn id="11450" name="Columna11436" dataDxfId="21563" totalsRowDxfId="4939"/>
    <tableColumn id="11451" name="Columna11437" dataDxfId="21562" totalsRowDxfId="4938"/>
    <tableColumn id="11452" name="Columna11438" dataDxfId="21561" totalsRowDxfId="4937"/>
    <tableColumn id="11453" name="Columna11439" dataDxfId="21560" totalsRowDxfId="4936"/>
    <tableColumn id="11454" name="Columna11440" dataDxfId="21559" totalsRowDxfId="4935"/>
    <tableColumn id="11455" name="Columna11441" dataDxfId="21558" totalsRowDxfId="4934"/>
    <tableColumn id="11456" name="Columna11442" dataDxfId="21557" totalsRowDxfId="4933"/>
    <tableColumn id="11457" name="Columna11443" dataDxfId="21556" totalsRowDxfId="4932"/>
    <tableColumn id="11458" name="Columna11444" dataDxfId="21555" totalsRowDxfId="4931"/>
    <tableColumn id="11459" name="Columna11445" dataDxfId="21554" totalsRowDxfId="4930"/>
    <tableColumn id="11460" name="Columna11446" dataDxfId="21553" totalsRowDxfId="4929"/>
    <tableColumn id="11461" name="Columna11447" dataDxfId="21552" totalsRowDxfId="4928"/>
    <tableColumn id="11462" name="Columna11448" dataDxfId="21551" totalsRowDxfId="4927"/>
    <tableColumn id="11463" name="Columna11449" dataDxfId="21550" totalsRowDxfId="4926"/>
    <tableColumn id="11464" name="Columna11450" dataDxfId="21549" totalsRowDxfId="4925"/>
    <tableColumn id="11465" name="Columna11451" dataDxfId="21548" totalsRowDxfId="4924"/>
    <tableColumn id="11466" name="Columna11452" dataDxfId="21547" totalsRowDxfId="4923"/>
    <tableColumn id="11467" name="Columna11453" dataDxfId="21546" totalsRowDxfId="4922"/>
    <tableColumn id="11468" name="Columna11454" dataDxfId="21545" totalsRowDxfId="4921"/>
    <tableColumn id="11469" name="Columna11455" dataDxfId="21544" totalsRowDxfId="4920"/>
    <tableColumn id="11470" name="Columna11456" dataDxfId="21543" totalsRowDxfId="4919"/>
    <tableColumn id="11471" name="Columna11457" dataDxfId="21542" totalsRowDxfId="4918"/>
    <tableColumn id="11472" name="Columna11458" dataDxfId="21541" totalsRowDxfId="4917"/>
    <tableColumn id="11473" name="Columna11459" dataDxfId="21540" totalsRowDxfId="4916"/>
    <tableColumn id="11474" name="Columna11460" dataDxfId="21539" totalsRowDxfId="4915"/>
    <tableColumn id="11475" name="Columna11461" dataDxfId="21538" totalsRowDxfId="4914"/>
    <tableColumn id="11476" name="Columna11462" dataDxfId="21537" totalsRowDxfId="4913"/>
    <tableColumn id="11477" name="Columna11463" dataDxfId="21536" totalsRowDxfId="4912"/>
    <tableColumn id="11478" name="Columna11464" dataDxfId="21535" totalsRowDxfId="4911"/>
    <tableColumn id="11479" name="Columna11465" dataDxfId="21534" totalsRowDxfId="4910"/>
    <tableColumn id="11480" name="Columna11466" dataDxfId="21533" totalsRowDxfId="4909"/>
    <tableColumn id="11481" name="Columna11467" dataDxfId="21532" totalsRowDxfId="4908"/>
    <tableColumn id="11482" name="Columna11468" dataDxfId="21531" totalsRowDxfId="4907"/>
    <tableColumn id="11483" name="Columna11469" dataDxfId="21530" totalsRowDxfId="4906"/>
    <tableColumn id="11484" name="Columna11470" dataDxfId="21529" totalsRowDxfId="4905"/>
    <tableColumn id="11485" name="Columna11471" dataDxfId="21528" totalsRowDxfId="4904"/>
    <tableColumn id="11486" name="Columna11472" dataDxfId="21527" totalsRowDxfId="4903"/>
    <tableColumn id="11487" name="Columna11473" dataDxfId="21526" totalsRowDxfId="4902"/>
    <tableColumn id="11488" name="Columna11474" dataDxfId="21525" totalsRowDxfId="4901"/>
    <tableColumn id="11489" name="Columna11475" dataDxfId="21524" totalsRowDxfId="4900"/>
    <tableColumn id="11490" name="Columna11476" dataDxfId="21523" totalsRowDxfId="4899"/>
    <tableColumn id="11491" name="Columna11477" dataDxfId="21522" totalsRowDxfId="4898"/>
    <tableColumn id="11492" name="Columna11478" dataDxfId="21521" totalsRowDxfId="4897"/>
    <tableColumn id="11493" name="Columna11479" dataDxfId="21520" totalsRowDxfId="4896"/>
    <tableColumn id="11494" name="Columna11480" dataDxfId="21519" totalsRowDxfId="4895"/>
    <tableColumn id="11495" name="Columna11481" dataDxfId="21518" totalsRowDxfId="4894"/>
    <tableColumn id="11496" name="Columna11482" dataDxfId="21517" totalsRowDxfId="4893"/>
    <tableColumn id="11497" name="Columna11483" dataDxfId="21516" totalsRowDxfId="4892"/>
    <tableColumn id="11498" name="Columna11484" dataDxfId="21515" totalsRowDxfId="4891"/>
    <tableColumn id="11499" name="Columna11485" dataDxfId="21514" totalsRowDxfId="4890"/>
    <tableColumn id="11500" name="Columna11486" dataDxfId="21513" totalsRowDxfId="4889"/>
    <tableColumn id="11501" name="Columna11487" dataDxfId="21512" totalsRowDxfId="4888"/>
    <tableColumn id="11502" name="Columna11488" dataDxfId="21511" totalsRowDxfId="4887"/>
    <tableColumn id="11503" name="Columna11489" dataDxfId="21510" totalsRowDxfId="4886"/>
    <tableColumn id="11504" name="Columna11490" dataDxfId="21509" totalsRowDxfId="4885"/>
    <tableColumn id="11505" name="Columna11491" dataDxfId="21508" totalsRowDxfId="4884"/>
    <tableColumn id="11506" name="Columna11492" dataDxfId="21507" totalsRowDxfId="4883"/>
    <tableColumn id="11507" name="Columna11493" dataDxfId="21506" totalsRowDxfId="4882"/>
    <tableColumn id="11508" name="Columna11494" dataDxfId="21505" totalsRowDxfId="4881"/>
    <tableColumn id="11509" name="Columna11495" dataDxfId="21504" totalsRowDxfId="4880"/>
    <tableColumn id="11510" name="Columna11496" dataDxfId="21503" totalsRowDxfId="4879"/>
    <tableColumn id="11511" name="Columna11497" dataDxfId="21502" totalsRowDxfId="4878"/>
    <tableColumn id="11512" name="Columna11498" dataDxfId="21501" totalsRowDxfId="4877"/>
    <tableColumn id="11513" name="Columna11499" dataDxfId="21500" totalsRowDxfId="4876"/>
    <tableColumn id="11514" name="Columna11500" dataDxfId="21499" totalsRowDxfId="4875"/>
    <tableColumn id="11515" name="Columna11501" dataDxfId="21498" totalsRowDxfId="4874"/>
    <tableColumn id="11516" name="Columna11502" dataDxfId="21497" totalsRowDxfId="4873"/>
    <tableColumn id="11517" name="Columna11503" dataDxfId="21496" totalsRowDxfId="4872"/>
    <tableColumn id="11518" name="Columna11504" dataDxfId="21495" totalsRowDxfId="4871"/>
    <tableColumn id="11519" name="Columna11505" dataDxfId="21494" totalsRowDxfId="4870"/>
    <tableColumn id="11520" name="Columna11506" dataDxfId="21493" totalsRowDxfId="4869"/>
    <tableColumn id="11521" name="Columna11507" dataDxfId="21492" totalsRowDxfId="4868"/>
    <tableColumn id="11522" name="Columna11508" dataDxfId="21491" totalsRowDxfId="4867"/>
    <tableColumn id="11523" name="Columna11509" dataDxfId="21490" totalsRowDxfId="4866"/>
    <tableColumn id="11524" name="Columna11510" dataDxfId="21489" totalsRowDxfId="4865"/>
    <tableColumn id="11525" name="Columna11511" dataDxfId="21488" totalsRowDxfId="4864"/>
    <tableColumn id="11526" name="Columna11512" dataDxfId="21487" totalsRowDxfId="4863"/>
    <tableColumn id="11527" name="Columna11513" dataDxfId="21486" totalsRowDxfId="4862"/>
    <tableColumn id="11528" name="Columna11514" dataDxfId="21485" totalsRowDxfId="4861"/>
    <tableColumn id="11529" name="Columna11515" dataDxfId="21484" totalsRowDxfId="4860"/>
    <tableColumn id="11530" name="Columna11516" dataDxfId="21483" totalsRowDxfId="4859"/>
    <tableColumn id="11531" name="Columna11517" dataDxfId="21482" totalsRowDxfId="4858"/>
    <tableColumn id="11532" name="Columna11518" dataDxfId="21481" totalsRowDxfId="4857"/>
    <tableColumn id="11533" name="Columna11519" dataDxfId="21480" totalsRowDxfId="4856"/>
    <tableColumn id="11534" name="Columna11520" dataDxfId="21479" totalsRowDxfId="4855"/>
    <tableColumn id="11535" name="Columna11521" dataDxfId="21478" totalsRowDxfId="4854"/>
    <tableColumn id="11536" name="Columna11522" dataDxfId="21477" totalsRowDxfId="4853"/>
    <tableColumn id="11537" name="Columna11523" dataDxfId="21476" totalsRowDxfId="4852"/>
    <tableColumn id="11538" name="Columna11524" dataDxfId="21475" totalsRowDxfId="4851"/>
    <tableColumn id="11539" name="Columna11525" dataDxfId="21474" totalsRowDxfId="4850"/>
    <tableColumn id="11540" name="Columna11526" dataDxfId="21473" totalsRowDxfId="4849"/>
    <tableColumn id="11541" name="Columna11527" dataDxfId="21472" totalsRowDxfId="4848"/>
    <tableColumn id="11542" name="Columna11528" dataDxfId="21471" totalsRowDxfId="4847"/>
    <tableColumn id="11543" name="Columna11529" dataDxfId="21470" totalsRowDxfId="4846"/>
    <tableColumn id="11544" name="Columna11530" dataDxfId="21469" totalsRowDxfId="4845"/>
    <tableColumn id="11545" name="Columna11531" dataDxfId="21468" totalsRowDxfId="4844"/>
    <tableColumn id="11546" name="Columna11532" dataDxfId="21467" totalsRowDxfId="4843"/>
    <tableColumn id="11547" name="Columna11533" dataDxfId="21466" totalsRowDxfId="4842"/>
    <tableColumn id="11548" name="Columna11534" dataDxfId="21465" totalsRowDxfId="4841"/>
    <tableColumn id="11549" name="Columna11535" dataDxfId="21464" totalsRowDxfId="4840"/>
    <tableColumn id="11550" name="Columna11536" dataDxfId="21463" totalsRowDxfId="4839"/>
    <tableColumn id="11551" name="Columna11537" dataDxfId="21462" totalsRowDxfId="4838"/>
    <tableColumn id="11552" name="Columna11538" dataDxfId="21461" totalsRowDxfId="4837"/>
    <tableColumn id="11553" name="Columna11539" dataDxfId="21460" totalsRowDxfId="4836"/>
    <tableColumn id="11554" name="Columna11540" dataDxfId="21459" totalsRowDxfId="4835"/>
    <tableColumn id="11555" name="Columna11541" dataDxfId="21458" totalsRowDxfId="4834"/>
    <tableColumn id="11556" name="Columna11542" dataDxfId="21457" totalsRowDxfId="4833"/>
    <tableColumn id="11557" name="Columna11543" dataDxfId="21456" totalsRowDxfId="4832"/>
    <tableColumn id="11558" name="Columna11544" dataDxfId="21455" totalsRowDxfId="4831"/>
    <tableColumn id="11559" name="Columna11545" dataDxfId="21454" totalsRowDxfId="4830"/>
    <tableColumn id="11560" name="Columna11546" dataDxfId="21453" totalsRowDxfId="4829"/>
    <tableColumn id="11561" name="Columna11547" dataDxfId="21452" totalsRowDxfId="4828"/>
    <tableColumn id="11562" name="Columna11548" dataDxfId="21451" totalsRowDxfId="4827"/>
    <tableColumn id="11563" name="Columna11549" dataDxfId="21450" totalsRowDxfId="4826"/>
    <tableColumn id="11564" name="Columna11550" dataDxfId="21449" totalsRowDxfId="4825"/>
    <tableColumn id="11565" name="Columna11551" dataDxfId="21448" totalsRowDxfId="4824"/>
    <tableColumn id="11566" name="Columna11552" dataDxfId="21447" totalsRowDxfId="4823"/>
    <tableColumn id="11567" name="Columna11553" dataDxfId="21446" totalsRowDxfId="4822"/>
    <tableColumn id="11568" name="Columna11554" dataDxfId="21445" totalsRowDxfId="4821"/>
    <tableColumn id="11569" name="Columna11555" dataDxfId="21444" totalsRowDxfId="4820"/>
    <tableColumn id="11570" name="Columna11556" dataDxfId="21443" totalsRowDxfId="4819"/>
    <tableColumn id="11571" name="Columna11557" dataDxfId="21442" totalsRowDxfId="4818"/>
    <tableColumn id="11572" name="Columna11558" dataDxfId="21441" totalsRowDxfId="4817"/>
    <tableColumn id="11573" name="Columna11559" dataDxfId="21440" totalsRowDxfId="4816"/>
    <tableColumn id="11574" name="Columna11560" dataDxfId="21439" totalsRowDxfId="4815"/>
    <tableColumn id="11575" name="Columna11561" dataDxfId="21438" totalsRowDxfId="4814"/>
    <tableColumn id="11576" name="Columna11562" dataDxfId="21437" totalsRowDxfId="4813"/>
    <tableColumn id="11577" name="Columna11563" dataDxfId="21436" totalsRowDxfId="4812"/>
    <tableColumn id="11578" name="Columna11564" dataDxfId="21435" totalsRowDxfId="4811"/>
    <tableColumn id="11579" name="Columna11565" dataDxfId="21434" totalsRowDxfId="4810"/>
    <tableColumn id="11580" name="Columna11566" dataDxfId="21433" totalsRowDxfId="4809"/>
    <tableColumn id="11581" name="Columna11567" dataDxfId="21432" totalsRowDxfId="4808"/>
    <tableColumn id="11582" name="Columna11568" dataDxfId="21431" totalsRowDxfId="4807"/>
    <tableColumn id="11583" name="Columna11569" dataDxfId="21430" totalsRowDxfId="4806"/>
    <tableColumn id="11584" name="Columna11570" dataDxfId="21429" totalsRowDxfId="4805"/>
    <tableColumn id="11585" name="Columna11571" dataDxfId="21428" totalsRowDxfId="4804"/>
    <tableColumn id="11586" name="Columna11572" dataDxfId="21427" totalsRowDxfId="4803"/>
    <tableColumn id="11587" name="Columna11573" dataDxfId="21426" totalsRowDxfId="4802"/>
    <tableColumn id="11588" name="Columna11574" dataDxfId="21425" totalsRowDxfId="4801"/>
    <tableColumn id="11589" name="Columna11575" dataDxfId="21424" totalsRowDxfId="4800"/>
    <tableColumn id="11590" name="Columna11576" dataDxfId="21423" totalsRowDxfId="4799"/>
    <tableColumn id="11591" name="Columna11577" dataDxfId="21422" totalsRowDxfId="4798"/>
    <tableColumn id="11592" name="Columna11578" dataDxfId="21421" totalsRowDxfId="4797"/>
    <tableColumn id="11593" name="Columna11579" dataDxfId="21420" totalsRowDxfId="4796"/>
    <tableColumn id="11594" name="Columna11580" dataDxfId="21419" totalsRowDxfId="4795"/>
    <tableColumn id="11595" name="Columna11581" dataDxfId="21418" totalsRowDxfId="4794"/>
    <tableColumn id="11596" name="Columna11582" dataDxfId="21417" totalsRowDxfId="4793"/>
    <tableColumn id="11597" name="Columna11583" dataDxfId="21416" totalsRowDxfId="4792"/>
    <tableColumn id="11598" name="Columna11584" dataDxfId="21415" totalsRowDxfId="4791"/>
    <tableColumn id="11599" name="Columna11585" dataDxfId="21414" totalsRowDxfId="4790"/>
    <tableColumn id="11600" name="Columna11586" dataDxfId="21413" totalsRowDxfId="4789"/>
    <tableColumn id="11601" name="Columna11587" dataDxfId="21412" totalsRowDxfId="4788"/>
    <tableColumn id="11602" name="Columna11588" dataDxfId="21411" totalsRowDxfId="4787"/>
    <tableColumn id="11603" name="Columna11589" dataDxfId="21410" totalsRowDxfId="4786"/>
    <tableColumn id="11604" name="Columna11590" dataDxfId="21409" totalsRowDxfId="4785"/>
    <tableColumn id="11605" name="Columna11591" dataDxfId="21408" totalsRowDxfId="4784"/>
    <tableColumn id="11606" name="Columna11592" dataDxfId="21407" totalsRowDxfId="4783"/>
    <tableColumn id="11607" name="Columna11593" dataDxfId="21406" totalsRowDxfId="4782"/>
    <tableColumn id="11608" name="Columna11594" dataDxfId="21405" totalsRowDxfId="4781"/>
    <tableColumn id="11609" name="Columna11595" dataDxfId="21404" totalsRowDxfId="4780"/>
    <tableColumn id="11610" name="Columna11596" dataDxfId="21403" totalsRowDxfId="4779"/>
    <tableColumn id="11611" name="Columna11597" dataDxfId="21402" totalsRowDxfId="4778"/>
    <tableColumn id="11612" name="Columna11598" dataDxfId="21401" totalsRowDxfId="4777"/>
    <tableColumn id="11613" name="Columna11599" dataDxfId="21400" totalsRowDxfId="4776"/>
    <tableColumn id="11614" name="Columna11600" dataDxfId="21399" totalsRowDxfId="4775"/>
    <tableColumn id="11615" name="Columna11601" dataDxfId="21398" totalsRowDxfId="4774"/>
    <tableColumn id="11616" name="Columna11602" dataDxfId="21397" totalsRowDxfId="4773"/>
    <tableColumn id="11617" name="Columna11603" dataDxfId="21396" totalsRowDxfId="4772"/>
    <tableColumn id="11618" name="Columna11604" dataDxfId="21395" totalsRowDxfId="4771"/>
    <tableColumn id="11619" name="Columna11605" dataDxfId="21394" totalsRowDxfId="4770"/>
    <tableColumn id="11620" name="Columna11606" dataDxfId="21393" totalsRowDxfId="4769"/>
    <tableColumn id="11621" name="Columna11607" dataDxfId="21392" totalsRowDxfId="4768"/>
    <tableColumn id="11622" name="Columna11608" dataDxfId="21391" totalsRowDxfId="4767"/>
    <tableColumn id="11623" name="Columna11609" dataDxfId="21390" totalsRowDxfId="4766"/>
    <tableColumn id="11624" name="Columna11610" dataDxfId="21389" totalsRowDxfId="4765"/>
    <tableColumn id="11625" name="Columna11611" dataDxfId="21388" totalsRowDxfId="4764"/>
    <tableColumn id="11626" name="Columna11612" dataDxfId="21387" totalsRowDxfId="4763"/>
    <tableColumn id="11627" name="Columna11613" dataDxfId="21386" totalsRowDxfId="4762"/>
    <tableColumn id="11628" name="Columna11614" dataDxfId="21385" totalsRowDxfId="4761"/>
    <tableColumn id="11629" name="Columna11615" dataDxfId="21384" totalsRowDxfId="4760"/>
    <tableColumn id="11630" name="Columna11616" dataDxfId="21383" totalsRowDxfId="4759"/>
    <tableColumn id="11631" name="Columna11617" dataDxfId="21382" totalsRowDxfId="4758"/>
    <tableColumn id="11632" name="Columna11618" dataDxfId="21381" totalsRowDxfId="4757"/>
    <tableColumn id="11633" name="Columna11619" dataDxfId="21380" totalsRowDxfId="4756"/>
    <tableColumn id="11634" name="Columna11620" dataDxfId="21379" totalsRowDxfId="4755"/>
    <tableColumn id="11635" name="Columna11621" dataDxfId="21378" totalsRowDxfId="4754"/>
    <tableColumn id="11636" name="Columna11622" dataDxfId="21377" totalsRowDxfId="4753"/>
    <tableColumn id="11637" name="Columna11623" dataDxfId="21376" totalsRowDxfId="4752"/>
    <tableColumn id="11638" name="Columna11624" dataDxfId="21375" totalsRowDxfId="4751"/>
    <tableColumn id="11639" name="Columna11625" dataDxfId="21374" totalsRowDxfId="4750"/>
    <tableColumn id="11640" name="Columna11626" dataDxfId="21373" totalsRowDxfId="4749"/>
    <tableColumn id="11641" name="Columna11627" dataDxfId="21372" totalsRowDxfId="4748"/>
    <tableColumn id="11642" name="Columna11628" dataDxfId="21371" totalsRowDxfId="4747"/>
    <tableColumn id="11643" name="Columna11629" dataDxfId="21370" totalsRowDxfId="4746"/>
    <tableColumn id="11644" name="Columna11630" dataDxfId="21369" totalsRowDxfId="4745"/>
    <tableColumn id="11645" name="Columna11631" dataDxfId="21368" totalsRowDxfId="4744"/>
    <tableColumn id="11646" name="Columna11632" dataDxfId="21367" totalsRowDxfId="4743"/>
    <tableColumn id="11647" name="Columna11633" dataDxfId="21366" totalsRowDxfId="4742"/>
    <tableColumn id="11648" name="Columna11634" dataDxfId="21365" totalsRowDxfId="4741"/>
    <tableColumn id="11649" name="Columna11635" dataDxfId="21364" totalsRowDxfId="4740"/>
    <tableColumn id="11650" name="Columna11636" dataDxfId="21363" totalsRowDxfId="4739"/>
    <tableColumn id="11651" name="Columna11637" dataDxfId="21362" totalsRowDxfId="4738"/>
    <tableColumn id="11652" name="Columna11638" dataDxfId="21361" totalsRowDxfId="4737"/>
    <tableColumn id="11653" name="Columna11639" dataDxfId="21360" totalsRowDxfId="4736"/>
    <tableColumn id="11654" name="Columna11640" dataDxfId="21359" totalsRowDxfId="4735"/>
    <tableColumn id="11655" name="Columna11641" dataDxfId="21358" totalsRowDxfId="4734"/>
    <tableColumn id="11656" name="Columna11642" dataDxfId="21357" totalsRowDxfId="4733"/>
    <tableColumn id="11657" name="Columna11643" dataDxfId="21356" totalsRowDxfId="4732"/>
    <tableColumn id="11658" name="Columna11644" dataDxfId="21355" totalsRowDxfId="4731"/>
    <tableColumn id="11659" name="Columna11645" dataDxfId="21354" totalsRowDxfId="4730"/>
    <tableColumn id="11660" name="Columna11646" dataDxfId="21353" totalsRowDxfId="4729"/>
    <tableColumn id="11661" name="Columna11647" dataDxfId="21352" totalsRowDxfId="4728"/>
    <tableColumn id="11662" name="Columna11648" dataDxfId="21351" totalsRowDxfId="4727"/>
    <tableColumn id="11663" name="Columna11649" dataDxfId="21350" totalsRowDxfId="4726"/>
    <tableColumn id="11664" name="Columna11650" dataDxfId="21349" totalsRowDxfId="4725"/>
    <tableColumn id="11665" name="Columna11651" dataDxfId="21348" totalsRowDxfId="4724"/>
    <tableColumn id="11666" name="Columna11652" dataDxfId="21347" totalsRowDxfId="4723"/>
    <tableColumn id="11667" name="Columna11653" dataDxfId="21346" totalsRowDxfId="4722"/>
    <tableColumn id="11668" name="Columna11654" dataDxfId="21345" totalsRowDxfId="4721"/>
    <tableColumn id="11669" name="Columna11655" dataDxfId="21344" totalsRowDxfId="4720"/>
    <tableColumn id="11670" name="Columna11656" dataDxfId="21343" totalsRowDxfId="4719"/>
    <tableColumn id="11671" name="Columna11657" dataDxfId="21342" totalsRowDxfId="4718"/>
    <tableColumn id="11672" name="Columna11658" dataDxfId="21341" totalsRowDxfId="4717"/>
    <tableColumn id="11673" name="Columna11659" dataDxfId="21340" totalsRowDxfId="4716"/>
    <tableColumn id="11674" name="Columna11660" dataDxfId="21339" totalsRowDxfId="4715"/>
    <tableColumn id="11675" name="Columna11661" dataDxfId="21338" totalsRowDxfId="4714"/>
    <tableColumn id="11676" name="Columna11662" dataDxfId="21337" totalsRowDxfId="4713"/>
    <tableColumn id="11677" name="Columna11663" dataDxfId="21336" totalsRowDxfId="4712"/>
    <tableColumn id="11678" name="Columna11664" dataDxfId="21335" totalsRowDxfId="4711"/>
    <tableColumn id="11679" name="Columna11665" dataDxfId="21334" totalsRowDxfId="4710"/>
    <tableColumn id="11680" name="Columna11666" dataDxfId="21333" totalsRowDxfId="4709"/>
    <tableColumn id="11681" name="Columna11667" dataDxfId="21332" totalsRowDxfId="4708"/>
    <tableColumn id="11682" name="Columna11668" dataDxfId="21331" totalsRowDxfId="4707"/>
    <tableColumn id="11683" name="Columna11669" dataDxfId="21330" totalsRowDxfId="4706"/>
    <tableColumn id="11684" name="Columna11670" dataDxfId="21329" totalsRowDxfId="4705"/>
    <tableColumn id="11685" name="Columna11671" dataDxfId="21328" totalsRowDxfId="4704"/>
    <tableColumn id="11686" name="Columna11672" dataDxfId="21327" totalsRowDxfId="4703"/>
    <tableColumn id="11687" name="Columna11673" dataDxfId="21326" totalsRowDxfId="4702"/>
    <tableColumn id="11688" name="Columna11674" dataDxfId="21325" totalsRowDxfId="4701"/>
    <tableColumn id="11689" name="Columna11675" dataDxfId="21324" totalsRowDxfId="4700"/>
    <tableColumn id="11690" name="Columna11676" dataDxfId="21323" totalsRowDxfId="4699"/>
    <tableColumn id="11691" name="Columna11677" dataDxfId="21322" totalsRowDxfId="4698"/>
    <tableColumn id="11692" name="Columna11678" dataDxfId="21321" totalsRowDxfId="4697"/>
    <tableColumn id="11693" name="Columna11679" dataDxfId="21320" totalsRowDxfId="4696"/>
    <tableColumn id="11694" name="Columna11680" dataDxfId="21319" totalsRowDxfId="4695"/>
    <tableColumn id="11695" name="Columna11681" dataDxfId="21318" totalsRowDxfId="4694"/>
    <tableColumn id="11696" name="Columna11682" dataDxfId="21317" totalsRowDxfId="4693"/>
    <tableColumn id="11697" name="Columna11683" dataDxfId="21316" totalsRowDxfId="4692"/>
    <tableColumn id="11698" name="Columna11684" dataDxfId="21315" totalsRowDxfId="4691"/>
    <tableColumn id="11699" name="Columna11685" dataDxfId="21314" totalsRowDxfId="4690"/>
    <tableColumn id="11700" name="Columna11686" dataDxfId="21313" totalsRowDxfId="4689"/>
    <tableColumn id="11701" name="Columna11687" dataDxfId="21312" totalsRowDxfId="4688"/>
    <tableColumn id="11702" name="Columna11688" dataDxfId="21311" totalsRowDxfId="4687"/>
    <tableColumn id="11703" name="Columna11689" dataDxfId="21310" totalsRowDxfId="4686"/>
    <tableColumn id="11704" name="Columna11690" dataDxfId="21309" totalsRowDxfId="4685"/>
    <tableColumn id="11705" name="Columna11691" dataDxfId="21308" totalsRowDxfId="4684"/>
    <tableColumn id="11706" name="Columna11692" dataDxfId="21307" totalsRowDxfId="4683"/>
    <tableColumn id="11707" name="Columna11693" dataDxfId="21306" totalsRowDxfId="4682"/>
    <tableColumn id="11708" name="Columna11694" dataDxfId="21305" totalsRowDxfId="4681"/>
    <tableColumn id="11709" name="Columna11695" dataDxfId="21304" totalsRowDxfId="4680"/>
    <tableColumn id="11710" name="Columna11696" dataDxfId="21303" totalsRowDxfId="4679"/>
    <tableColumn id="11711" name="Columna11697" dataDxfId="21302" totalsRowDxfId="4678"/>
    <tableColumn id="11712" name="Columna11698" dataDxfId="21301" totalsRowDxfId="4677"/>
    <tableColumn id="11713" name="Columna11699" dataDxfId="21300" totalsRowDxfId="4676"/>
    <tableColumn id="11714" name="Columna11700" dataDxfId="21299" totalsRowDxfId="4675"/>
    <tableColumn id="11715" name="Columna11701" dataDxfId="21298" totalsRowDxfId="4674"/>
    <tableColumn id="11716" name="Columna11702" dataDxfId="21297" totalsRowDxfId="4673"/>
    <tableColumn id="11717" name="Columna11703" dataDxfId="21296" totalsRowDxfId="4672"/>
    <tableColumn id="11718" name="Columna11704" dataDxfId="21295" totalsRowDxfId="4671"/>
    <tableColumn id="11719" name="Columna11705" dataDxfId="21294" totalsRowDxfId="4670"/>
    <tableColumn id="11720" name="Columna11706" dataDxfId="21293" totalsRowDxfId="4669"/>
    <tableColumn id="11721" name="Columna11707" dataDxfId="21292" totalsRowDxfId="4668"/>
    <tableColumn id="11722" name="Columna11708" dataDxfId="21291" totalsRowDxfId="4667"/>
    <tableColumn id="11723" name="Columna11709" dataDxfId="21290" totalsRowDxfId="4666"/>
    <tableColumn id="11724" name="Columna11710" dataDxfId="21289" totalsRowDxfId="4665"/>
    <tableColumn id="11725" name="Columna11711" dataDxfId="21288" totalsRowDxfId="4664"/>
    <tableColumn id="11726" name="Columna11712" dataDxfId="21287" totalsRowDxfId="4663"/>
    <tableColumn id="11727" name="Columna11713" dataDxfId="21286" totalsRowDxfId="4662"/>
    <tableColumn id="11728" name="Columna11714" dataDxfId="21285" totalsRowDxfId="4661"/>
    <tableColumn id="11729" name="Columna11715" dataDxfId="21284" totalsRowDxfId="4660"/>
    <tableColumn id="11730" name="Columna11716" dataDxfId="21283" totalsRowDxfId="4659"/>
    <tableColumn id="11731" name="Columna11717" dataDxfId="21282" totalsRowDxfId="4658"/>
    <tableColumn id="11732" name="Columna11718" dataDxfId="21281" totalsRowDxfId="4657"/>
    <tableColumn id="11733" name="Columna11719" dataDxfId="21280" totalsRowDxfId="4656"/>
    <tableColumn id="11734" name="Columna11720" dataDxfId="21279" totalsRowDxfId="4655"/>
    <tableColumn id="11735" name="Columna11721" dataDxfId="21278" totalsRowDxfId="4654"/>
    <tableColumn id="11736" name="Columna11722" dataDxfId="21277" totalsRowDxfId="4653"/>
    <tableColumn id="11737" name="Columna11723" dataDxfId="21276" totalsRowDxfId="4652"/>
    <tableColumn id="11738" name="Columna11724" dataDxfId="21275" totalsRowDxfId="4651"/>
    <tableColumn id="11739" name="Columna11725" dataDxfId="21274" totalsRowDxfId="4650"/>
    <tableColumn id="11740" name="Columna11726" dataDxfId="21273" totalsRowDxfId="4649"/>
    <tableColumn id="11741" name="Columna11727" dataDxfId="21272" totalsRowDxfId="4648"/>
    <tableColumn id="11742" name="Columna11728" dataDxfId="21271" totalsRowDxfId="4647"/>
    <tableColumn id="11743" name="Columna11729" dataDxfId="21270" totalsRowDxfId="4646"/>
    <tableColumn id="11744" name="Columna11730" dataDxfId="21269" totalsRowDxfId="4645"/>
    <tableColumn id="11745" name="Columna11731" dataDxfId="21268" totalsRowDxfId="4644"/>
    <tableColumn id="11746" name="Columna11732" dataDxfId="21267" totalsRowDxfId="4643"/>
    <tableColumn id="11747" name="Columna11733" dataDxfId="21266" totalsRowDxfId="4642"/>
    <tableColumn id="11748" name="Columna11734" dataDxfId="21265" totalsRowDxfId="4641"/>
    <tableColumn id="11749" name="Columna11735" dataDxfId="21264" totalsRowDxfId="4640"/>
    <tableColumn id="11750" name="Columna11736" dataDxfId="21263" totalsRowDxfId="4639"/>
    <tableColumn id="11751" name="Columna11737" dataDxfId="21262" totalsRowDxfId="4638"/>
    <tableColumn id="11752" name="Columna11738" dataDxfId="21261" totalsRowDxfId="4637"/>
    <tableColumn id="11753" name="Columna11739" dataDxfId="21260" totalsRowDxfId="4636"/>
    <tableColumn id="11754" name="Columna11740" dataDxfId="21259" totalsRowDxfId="4635"/>
    <tableColumn id="11755" name="Columna11741" dataDxfId="21258" totalsRowDxfId="4634"/>
    <tableColumn id="11756" name="Columna11742" dataDxfId="21257" totalsRowDxfId="4633"/>
    <tableColumn id="11757" name="Columna11743" dataDxfId="21256" totalsRowDxfId="4632"/>
    <tableColumn id="11758" name="Columna11744" dataDxfId="21255" totalsRowDxfId="4631"/>
    <tableColumn id="11759" name="Columna11745" dataDxfId="21254" totalsRowDxfId="4630"/>
    <tableColumn id="11760" name="Columna11746" dataDxfId="21253" totalsRowDxfId="4629"/>
    <tableColumn id="11761" name="Columna11747" dataDxfId="21252" totalsRowDxfId="4628"/>
    <tableColumn id="11762" name="Columna11748" dataDxfId="21251" totalsRowDxfId="4627"/>
    <tableColumn id="11763" name="Columna11749" dataDxfId="21250" totalsRowDxfId="4626"/>
    <tableColumn id="11764" name="Columna11750" dataDxfId="21249" totalsRowDxfId="4625"/>
    <tableColumn id="11765" name="Columna11751" dataDxfId="21248" totalsRowDxfId="4624"/>
    <tableColumn id="11766" name="Columna11752" dataDxfId="21247" totalsRowDxfId="4623"/>
    <tableColumn id="11767" name="Columna11753" dataDxfId="21246" totalsRowDxfId="4622"/>
    <tableColumn id="11768" name="Columna11754" dataDxfId="21245" totalsRowDxfId="4621"/>
    <tableColumn id="11769" name="Columna11755" dataDxfId="21244" totalsRowDxfId="4620"/>
    <tableColumn id="11770" name="Columna11756" dataDxfId="21243" totalsRowDxfId="4619"/>
    <tableColumn id="11771" name="Columna11757" dataDxfId="21242" totalsRowDxfId="4618"/>
    <tableColumn id="11772" name="Columna11758" dataDxfId="21241" totalsRowDxfId="4617"/>
    <tableColumn id="11773" name="Columna11759" dataDxfId="21240" totalsRowDxfId="4616"/>
    <tableColumn id="11774" name="Columna11760" dataDxfId="21239" totalsRowDxfId="4615"/>
    <tableColumn id="11775" name="Columna11761" dataDxfId="21238" totalsRowDxfId="4614"/>
    <tableColumn id="11776" name="Columna11762" dataDxfId="21237" totalsRowDxfId="4613"/>
    <tableColumn id="11777" name="Columna11763" dataDxfId="21236" totalsRowDxfId="4612"/>
    <tableColumn id="11778" name="Columna11764" dataDxfId="21235" totalsRowDxfId="4611"/>
    <tableColumn id="11779" name="Columna11765" dataDxfId="21234" totalsRowDxfId="4610"/>
    <tableColumn id="11780" name="Columna11766" dataDxfId="21233" totalsRowDxfId="4609"/>
    <tableColumn id="11781" name="Columna11767" dataDxfId="21232" totalsRowDxfId="4608"/>
    <tableColumn id="11782" name="Columna11768" dataDxfId="21231" totalsRowDxfId="4607"/>
    <tableColumn id="11783" name="Columna11769" dataDxfId="21230" totalsRowDxfId="4606"/>
    <tableColumn id="11784" name="Columna11770" dataDxfId="21229" totalsRowDxfId="4605"/>
    <tableColumn id="11785" name="Columna11771" dataDxfId="21228" totalsRowDxfId="4604"/>
    <tableColumn id="11786" name="Columna11772" dataDxfId="21227" totalsRowDxfId="4603"/>
    <tableColumn id="11787" name="Columna11773" dataDxfId="21226" totalsRowDxfId="4602"/>
    <tableColumn id="11788" name="Columna11774" dataDxfId="21225" totalsRowDxfId="4601"/>
    <tableColumn id="11789" name="Columna11775" dataDxfId="21224" totalsRowDxfId="4600"/>
    <tableColumn id="11790" name="Columna11776" dataDxfId="21223" totalsRowDxfId="4599"/>
    <tableColumn id="11791" name="Columna11777" dataDxfId="21222" totalsRowDxfId="4598"/>
    <tableColumn id="11792" name="Columna11778" dataDxfId="21221" totalsRowDxfId="4597"/>
    <tableColumn id="11793" name="Columna11779" dataDxfId="21220" totalsRowDxfId="4596"/>
    <tableColumn id="11794" name="Columna11780" dataDxfId="21219" totalsRowDxfId="4595"/>
    <tableColumn id="11795" name="Columna11781" dataDxfId="21218" totalsRowDxfId="4594"/>
    <tableColumn id="11796" name="Columna11782" dataDxfId="21217" totalsRowDxfId="4593"/>
    <tableColumn id="11797" name="Columna11783" dataDxfId="21216" totalsRowDxfId="4592"/>
    <tableColumn id="11798" name="Columna11784" dataDxfId="21215" totalsRowDxfId="4591"/>
    <tableColumn id="11799" name="Columna11785" dataDxfId="21214" totalsRowDxfId="4590"/>
    <tableColumn id="11800" name="Columna11786" dataDxfId="21213" totalsRowDxfId="4589"/>
    <tableColumn id="11801" name="Columna11787" dataDxfId="21212" totalsRowDxfId="4588"/>
    <tableColumn id="11802" name="Columna11788" dataDxfId="21211" totalsRowDxfId="4587"/>
    <tableColumn id="11803" name="Columna11789" dataDxfId="21210" totalsRowDxfId="4586"/>
    <tableColumn id="11804" name="Columna11790" dataDxfId="21209" totalsRowDxfId="4585"/>
    <tableColumn id="11805" name="Columna11791" dataDxfId="21208" totalsRowDxfId="4584"/>
    <tableColumn id="11806" name="Columna11792" dataDxfId="21207" totalsRowDxfId="4583"/>
    <tableColumn id="11807" name="Columna11793" dataDxfId="21206" totalsRowDxfId="4582"/>
    <tableColumn id="11808" name="Columna11794" dataDxfId="21205" totalsRowDxfId="4581"/>
    <tableColumn id="11809" name="Columna11795" dataDxfId="21204" totalsRowDxfId="4580"/>
    <tableColumn id="11810" name="Columna11796" dataDxfId="21203" totalsRowDxfId="4579"/>
    <tableColumn id="11811" name="Columna11797" dataDxfId="21202" totalsRowDxfId="4578"/>
    <tableColumn id="11812" name="Columna11798" dataDxfId="21201" totalsRowDxfId="4577"/>
    <tableColumn id="11813" name="Columna11799" dataDxfId="21200" totalsRowDxfId="4576"/>
    <tableColumn id="11814" name="Columna11800" dataDxfId="21199" totalsRowDxfId="4575"/>
    <tableColumn id="11815" name="Columna11801" dataDxfId="21198" totalsRowDxfId="4574"/>
    <tableColumn id="11816" name="Columna11802" dataDxfId="21197" totalsRowDxfId="4573"/>
    <tableColumn id="11817" name="Columna11803" dataDxfId="21196" totalsRowDxfId="4572"/>
    <tableColumn id="11818" name="Columna11804" dataDxfId="21195" totalsRowDxfId="4571"/>
    <tableColumn id="11819" name="Columna11805" dataDxfId="21194" totalsRowDxfId="4570"/>
    <tableColumn id="11820" name="Columna11806" dataDxfId="21193" totalsRowDxfId="4569"/>
    <tableColumn id="11821" name="Columna11807" dataDxfId="21192" totalsRowDxfId="4568"/>
    <tableColumn id="11822" name="Columna11808" dataDxfId="21191" totalsRowDxfId="4567"/>
    <tableColumn id="11823" name="Columna11809" dataDxfId="21190" totalsRowDxfId="4566"/>
    <tableColumn id="11824" name="Columna11810" dataDxfId="21189" totalsRowDxfId="4565"/>
    <tableColumn id="11825" name="Columna11811" dataDxfId="21188" totalsRowDxfId="4564"/>
    <tableColumn id="11826" name="Columna11812" dataDxfId="21187" totalsRowDxfId="4563"/>
    <tableColumn id="11827" name="Columna11813" dataDxfId="21186" totalsRowDxfId="4562"/>
    <tableColumn id="11828" name="Columna11814" dataDxfId="21185" totalsRowDxfId="4561"/>
    <tableColumn id="11829" name="Columna11815" dataDxfId="21184" totalsRowDxfId="4560"/>
    <tableColumn id="11830" name="Columna11816" dataDxfId="21183" totalsRowDxfId="4559"/>
    <tableColumn id="11831" name="Columna11817" dataDxfId="21182" totalsRowDxfId="4558"/>
    <tableColumn id="11832" name="Columna11818" dataDxfId="21181" totalsRowDxfId="4557"/>
    <tableColumn id="11833" name="Columna11819" dataDxfId="21180" totalsRowDxfId="4556"/>
    <tableColumn id="11834" name="Columna11820" dataDxfId="21179" totalsRowDxfId="4555"/>
    <tableColumn id="11835" name="Columna11821" dataDxfId="21178" totalsRowDxfId="4554"/>
    <tableColumn id="11836" name="Columna11822" dataDxfId="21177" totalsRowDxfId="4553"/>
    <tableColumn id="11837" name="Columna11823" dataDxfId="21176" totalsRowDxfId="4552"/>
    <tableColumn id="11838" name="Columna11824" dataDxfId="21175" totalsRowDxfId="4551"/>
    <tableColumn id="11839" name="Columna11825" dataDxfId="21174" totalsRowDxfId="4550"/>
    <tableColumn id="11840" name="Columna11826" dataDxfId="21173" totalsRowDxfId="4549"/>
    <tableColumn id="11841" name="Columna11827" dataDxfId="21172" totalsRowDxfId="4548"/>
    <tableColumn id="11842" name="Columna11828" dataDxfId="21171" totalsRowDxfId="4547"/>
    <tableColumn id="11843" name="Columna11829" dataDxfId="21170" totalsRowDxfId="4546"/>
    <tableColumn id="11844" name="Columna11830" dataDxfId="21169" totalsRowDxfId="4545"/>
    <tableColumn id="11845" name="Columna11831" dataDxfId="21168" totalsRowDxfId="4544"/>
    <tableColumn id="11846" name="Columna11832" dataDxfId="21167" totalsRowDxfId="4543"/>
    <tableColumn id="11847" name="Columna11833" dataDxfId="21166" totalsRowDxfId="4542"/>
    <tableColumn id="11848" name="Columna11834" dataDxfId="21165" totalsRowDxfId="4541"/>
    <tableColumn id="11849" name="Columna11835" dataDxfId="21164" totalsRowDxfId="4540"/>
    <tableColumn id="11850" name="Columna11836" dataDxfId="21163" totalsRowDxfId="4539"/>
    <tableColumn id="11851" name="Columna11837" dataDxfId="21162" totalsRowDxfId="4538"/>
    <tableColumn id="11852" name="Columna11838" dataDxfId="21161" totalsRowDxfId="4537"/>
    <tableColumn id="11853" name="Columna11839" dataDxfId="21160" totalsRowDxfId="4536"/>
    <tableColumn id="11854" name="Columna11840" dataDxfId="21159" totalsRowDxfId="4535"/>
    <tableColumn id="11855" name="Columna11841" dataDxfId="21158" totalsRowDxfId="4534"/>
    <tableColumn id="11856" name="Columna11842" dataDxfId="21157" totalsRowDxfId="4533"/>
    <tableColumn id="11857" name="Columna11843" dataDxfId="21156" totalsRowDxfId="4532"/>
    <tableColumn id="11858" name="Columna11844" dataDxfId="21155" totalsRowDxfId="4531"/>
    <tableColumn id="11859" name="Columna11845" dataDxfId="21154" totalsRowDxfId="4530"/>
    <tableColumn id="11860" name="Columna11846" dataDxfId="21153" totalsRowDxfId="4529"/>
    <tableColumn id="11861" name="Columna11847" dataDxfId="21152" totalsRowDxfId="4528"/>
    <tableColumn id="11862" name="Columna11848" dataDxfId="21151" totalsRowDxfId="4527"/>
    <tableColumn id="11863" name="Columna11849" dataDxfId="21150" totalsRowDxfId="4526"/>
    <tableColumn id="11864" name="Columna11850" dataDxfId="21149" totalsRowDxfId="4525"/>
    <tableColumn id="11865" name="Columna11851" dataDxfId="21148" totalsRowDxfId="4524"/>
    <tableColumn id="11866" name="Columna11852" dataDxfId="21147" totalsRowDxfId="4523"/>
    <tableColumn id="11867" name="Columna11853" dataDxfId="21146" totalsRowDxfId="4522"/>
    <tableColumn id="11868" name="Columna11854" dataDxfId="21145" totalsRowDxfId="4521"/>
    <tableColumn id="11869" name="Columna11855" dataDxfId="21144" totalsRowDxfId="4520"/>
    <tableColumn id="11870" name="Columna11856" dataDxfId="21143" totalsRowDxfId="4519"/>
    <tableColumn id="11871" name="Columna11857" dataDxfId="21142" totalsRowDxfId="4518"/>
    <tableColumn id="11872" name="Columna11858" dataDxfId="21141" totalsRowDxfId="4517"/>
    <tableColumn id="11873" name="Columna11859" dataDxfId="21140" totalsRowDxfId="4516"/>
    <tableColumn id="11874" name="Columna11860" dataDxfId="21139" totalsRowDxfId="4515"/>
    <tableColumn id="11875" name="Columna11861" dataDxfId="21138" totalsRowDxfId="4514"/>
    <tableColumn id="11876" name="Columna11862" dataDxfId="21137" totalsRowDxfId="4513"/>
    <tableColumn id="11877" name="Columna11863" dataDxfId="21136" totalsRowDxfId="4512"/>
    <tableColumn id="11878" name="Columna11864" dataDxfId="21135" totalsRowDxfId="4511"/>
    <tableColumn id="11879" name="Columna11865" dataDxfId="21134" totalsRowDxfId="4510"/>
    <tableColumn id="11880" name="Columna11866" dataDxfId="21133" totalsRowDxfId="4509"/>
    <tableColumn id="11881" name="Columna11867" dataDxfId="21132" totalsRowDxfId="4508"/>
    <tableColumn id="11882" name="Columna11868" dataDxfId="21131" totalsRowDxfId="4507"/>
    <tableColumn id="11883" name="Columna11869" dataDxfId="21130" totalsRowDxfId="4506"/>
    <tableColumn id="11884" name="Columna11870" dataDxfId="21129" totalsRowDxfId="4505"/>
    <tableColumn id="11885" name="Columna11871" dataDxfId="21128" totalsRowDxfId="4504"/>
    <tableColumn id="11886" name="Columna11872" dataDxfId="21127" totalsRowDxfId="4503"/>
    <tableColumn id="11887" name="Columna11873" dataDxfId="21126" totalsRowDxfId="4502"/>
    <tableColumn id="11888" name="Columna11874" dataDxfId="21125" totalsRowDxfId="4501"/>
    <tableColumn id="11889" name="Columna11875" dataDxfId="21124" totalsRowDxfId="4500"/>
    <tableColumn id="11890" name="Columna11876" dataDxfId="21123" totalsRowDxfId="4499"/>
    <tableColumn id="11891" name="Columna11877" dataDxfId="21122" totalsRowDxfId="4498"/>
    <tableColumn id="11892" name="Columna11878" dataDxfId="21121" totalsRowDxfId="4497"/>
    <tableColumn id="11893" name="Columna11879" dataDxfId="21120" totalsRowDxfId="4496"/>
    <tableColumn id="11894" name="Columna11880" dataDxfId="21119" totalsRowDxfId="4495"/>
    <tableColumn id="11895" name="Columna11881" dataDxfId="21118" totalsRowDxfId="4494"/>
    <tableColumn id="11896" name="Columna11882" dataDxfId="21117" totalsRowDxfId="4493"/>
    <tableColumn id="11897" name="Columna11883" dataDxfId="21116" totalsRowDxfId="4492"/>
    <tableColumn id="11898" name="Columna11884" dataDxfId="21115" totalsRowDxfId="4491"/>
    <tableColumn id="11899" name="Columna11885" dataDxfId="21114" totalsRowDxfId="4490"/>
    <tableColumn id="11900" name="Columna11886" dataDxfId="21113" totalsRowDxfId="4489"/>
    <tableColumn id="11901" name="Columna11887" dataDxfId="21112" totalsRowDxfId="4488"/>
    <tableColumn id="11902" name="Columna11888" dataDxfId="21111" totalsRowDxfId="4487"/>
    <tableColumn id="11903" name="Columna11889" dataDxfId="21110" totalsRowDxfId="4486"/>
    <tableColumn id="11904" name="Columna11890" dataDxfId="21109" totalsRowDxfId="4485"/>
    <tableColumn id="11905" name="Columna11891" dataDxfId="21108" totalsRowDxfId="4484"/>
    <tableColumn id="11906" name="Columna11892" dataDxfId="21107" totalsRowDxfId="4483"/>
    <tableColumn id="11907" name="Columna11893" dataDxfId="21106" totalsRowDxfId="4482"/>
    <tableColumn id="11908" name="Columna11894" dataDxfId="21105" totalsRowDxfId="4481"/>
    <tableColumn id="11909" name="Columna11895" dataDxfId="21104" totalsRowDxfId="4480"/>
    <tableColumn id="11910" name="Columna11896" dataDxfId="21103" totalsRowDxfId="4479"/>
    <tableColumn id="11911" name="Columna11897" dataDxfId="21102" totalsRowDxfId="4478"/>
    <tableColumn id="11912" name="Columna11898" dataDxfId="21101" totalsRowDxfId="4477"/>
    <tableColumn id="11913" name="Columna11899" dataDxfId="21100" totalsRowDxfId="4476"/>
    <tableColumn id="11914" name="Columna11900" dataDxfId="21099" totalsRowDxfId="4475"/>
    <tableColumn id="11915" name="Columna11901" dataDxfId="21098" totalsRowDxfId="4474"/>
    <tableColumn id="11916" name="Columna11902" dataDxfId="21097" totalsRowDxfId="4473"/>
    <tableColumn id="11917" name="Columna11903" dataDxfId="21096" totalsRowDxfId="4472"/>
    <tableColumn id="11918" name="Columna11904" dataDxfId="21095" totalsRowDxfId="4471"/>
    <tableColumn id="11919" name="Columna11905" dataDxfId="21094" totalsRowDxfId="4470"/>
    <tableColumn id="11920" name="Columna11906" dataDxfId="21093" totalsRowDxfId="4469"/>
    <tableColumn id="11921" name="Columna11907" dataDxfId="21092" totalsRowDxfId="4468"/>
    <tableColumn id="11922" name="Columna11908" dataDxfId="21091" totalsRowDxfId="4467"/>
    <tableColumn id="11923" name="Columna11909" dataDxfId="21090" totalsRowDxfId="4466"/>
    <tableColumn id="11924" name="Columna11910" dataDxfId="21089" totalsRowDxfId="4465"/>
    <tableColumn id="11925" name="Columna11911" dataDxfId="21088" totalsRowDxfId="4464"/>
    <tableColumn id="11926" name="Columna11912" dataDxfId="21087" totalsRowDxfId="4463"/>
    <tableColumn id="11927" name="Columna11913" dataDxfId="21086" totalsRowDxfId="4462"/>
    <tableColumn id="11928" name="Columna11914" dataDxfId="21085" totalsRowDxfId="4461"/>
    <tableColumn id="11929" name="Columna11915" dataDxfId="21084" totalsRowDxfId="4460"/>
    <tableColumn id="11930" name="Columna11916" dataDxfId="21083" totalsRowDxfId="4459"/>
    <tableColumn id="11931" name="Columna11917" dataDxfId="21082" totalsRowDxfId="4458"/>
    <tableColumn id="11932" name="Columna11918" dataDxfId="21081" totalsRowDxfId="4457"/>
    <tableColumn id="11933" name="Columna11919" dataDxfId="21080" totalsRowDxfId="4456"/>
    <tableColumn id="11934" name="Columna11920" dataDxfId="21079" totalsRowDxfId="4455"/>
    <tableColumn id="11935" name="Columna11921" dataDxfId="21078" totalsRowDxfId="4454"/>
    <tableColumn id="11936" name="Columna11922" dataDxfId="21077" totalsRowDxfId="4453"/>
    <tableColumn id="11937" name="Columna11923" dataDxfId="21076" totalsRowDxfId="4452"/>
    <tableColumn id="11938" name="Columna11924" dataDxfId="21075" totalsRowDxfId="4451"/>
    <tableColumn id="11939" name="Columna11925" dataDxfId="21074" totalsRowDxfId="4450"/>
    <tableColumn id="11940" name="Columna11926" dataDxfId="21073" totalsRowDxfId="4449"/>
    <tableColumn id="11941" name="Columna11927" dataDxfId="21072" totalsRowDxfId="4448"/>
    <tableColumn id="11942" name="Columna11928" dataDxfId="21071" totalsRowDxfId="4447"/>
    <tableColumn id="11943" name="Columna11929" dataDxfId="21070" totalsRowDxfId="4446"/>
    <tableColumn id="11944" name="Columna11930" dataDxfId="21069" totalsRowDxfId="4445"/>
    <tableColumn id="11945" name="Columna11931" dataDxfId="21068" totalsRowDxfId="4444"/>
    <tableColumn id="11946" name="Columna11932" dataDxfId="21067" totalsRowDxfId="4443"/>
    <tableColumn id="11947" name="Columna11933" dataDxfId="21066" totalsRowDxfId="4442"/>
    <tableColumn id="11948" name="Columna11934" dataDxfId="21065" totalsRowDxfId="4441"/>
    <tableColumn id="11949" name="Columna11935" dataDxfId="21064" totalsRowDxfId="4440"/>
    <tableColumn id="11950" name="Columna11936" dataDxfId="21063" totalsRowDxfId="4439"/>
    <tableColumn id="11951" name="Columna11937" dataDxfId="21062" totalsRowDxfId="4438"/>
    <tableColumn id="11952" name="Columna11938" dataDxfId="21061" totalsRowDxfId="4437"/>
    <tableColumn id="11953" name="Columna11939" dataDxfId="21060" totalsRowDxfId="4436"/>
    <tableColumn id="11954" name="Columna11940" dataDxfId="21059" totalsRowDxfId="4435"/>
    <tableColumn id="11955" name="Columna11941" dataDxfId="21058" totalsRowDxfId="4434"/>
    <tableColumn id="11956" name="Columna11942" dataDxfId="21057" totalsRowDxfId="4433"/>
    <tableColumn id="11957" name="Columna11943" dataDxfId="21056" totalsRowDxfId="4432"/>
    <tableColumn id="11958" name="Columna11944" dataDxfId="21055" totalsRowDxfId="4431"/>
    <tableColumn id="11959" name="Columna11945" dataDxfId="21054" totalsRowDxfId="4430"/>
    <tableColumn id="11960" name="Columna11946" dataDxfId="21053" totalsRowDxfId="4429"/>
    <tableColumn id="11961" name="Columna11947" dataDxfId="21052" totalsRowDxfId="4428"/>
    <tableColumn id="11962" name="Columna11948" dataDxfId="21051" totalsRowDxfId="4427"/>
    <tableColumn id="11963" name="Columna11949" dataDxfId="21050" totalsRowDxfId="4426"/>
    <tableColumn id="11964" name="Columna11950" dataDxfId="21049" totalsRowDxfId="4425"/>
    <tableColumn id="11965" name="Columna11951" dataDxfId="21048" totalsRowDxfId="4424"/>
    <tableColumn id="11966" name="Columna11952" dataDxfId="21047" totalsRowDxfId="4423"/>
    <tableColumn id="11967" name="Columna11953" dataDxfId="21046" totalsRowDxfId="4422"/>
    <tableColumn id="11968" name="Columna11954" dataDxfId="21045" totalsRowDxfId="4421"/>
    <tableColumn id="11969" name="Columna11955" dataDxfId="21044" totalsRowDxfId="4420"/>
    <tableColumn id="11970" name="Columna11956" dataDxfId="21043" totalsRowDxfId="4419"/>
    <tableColumn id="11971" name="Columna11957" dataDxfId="21042" totalsRowDxfId="4418"/>
    <tableColumn id="11972" name="Columna11958" dataDxfId="21041" totalsRowDxfId="4417"/>
    <tableColumn id="11973" name="Columna11959" dataDxfId="21040" totalsRowDxfId="4416"/>
    <tableColumn id="11974" name="Columna11960" dataDxfId="21039" totalsRowDxfId="4415"/>
    <tableColumn id="11975" name="Columna11961" dataDxfId="21038" totalsRowDxfId="4414"/>
    <tableColumn id="11976" name="Columna11962" dataDxfId="21037" totalsRowDxfId="4413"/>
    <tableColumn id="11977" name="Columna11963" dataDxfId="21036" totalsRowDxfId="4412"/>
    <tableColumn id="11978" name="Columna11964" dataDxfId="21035" totalsRowDxfId="4411"/>
    <tableColumn id="11979" name="Columna11965" dataDxfId="21034" totalsRowDxfId="4410"/>
    <tableColumn id="11980" name="Columna11966" dataDxfId="21033" totalsRowDxfId="4409"/>
    <tableColumn id="11981" name="Columna11967" dataDxfId="21032" totalsRowDxfId="4408"/>
    <tableColumn id="11982" name="Columna11968" dataDxfId="21031" totalsRowDxfId="4407"/>
    <tableColumn id="11983" name="Columna11969" dataDxfId="21030" totalsRowDxfId="4406"/>
    <tableColumn id="11984" name="Columna11970" dataDxfId="21029" totalsRowDxfId="4405"/>
    <tableColumn id="11985" name="Columna11971" dataDxfId="21028" totalsRowDxfId="4404"/>
    <tableColumn id="11986" name="Columna11972" dataDxfId="21027" totalsRowDxfId="4403"/>
    <tableColumn id="11987" name="Columna11973" dataDxfId="21026" totalsRowDxfId="4402"/>
    <tableColumn id="11988" name="Columna11974" dataDxfId="21025" totalsRowDxfId="4401"/>
    <tableColumn id="11989" name="Columna11975" dataDxfId="21024" totalsRowDxfId="4400"/>
    <tableColumn id="11990" name="Columna11976" dataDxfId="21023" totalsRowDxfId="4399"/>
    <tableColumn id="11991" name="Columna11977" dataDxfId="21022" totalsRowDxfId="4398"/>
    <tableColumn id="11992" name="Columna11978" dataDxfId="21021" totalsRowDxfId="4397"/>
    <tableColumn id="11993" name="Columna11979" dataDxfId="21020" totalsRowDxfId="4396"/>
    <tableColumn id="11994" name="Columna11980" dataDxfId="21019" totalsRowDxfId="4395"/>
    <tableColumn id="11995" name="Columna11981" dataDxfId="21018" totalsRowDxfId="4394"/>
    <tableColumn id="11996" name="Columna11982" dataDxfId="21017" totalsRowDxfId="4393"/>
    <tableColumn id="11997" name="Columna11983" dataDxfId="21016" totalsRowDxfId="4392"/>
    <tableColumn id="11998" name="Columna11984" dataDxfId="21015" totalsRowDxfId="4391"/>
    <tableColumn id="11999" name="Columna11985" dataDxfId="21014" totalsRowDxfId="4390"/>
    <tableColumn id="12000" name="Columna11986" dataDxfId="21013" totalsRowDxfId="4389"/>
    <tableColumn id="12001" name="Columna11987" dataDxfId="21012" totalsRowDxfId="4388"/>
    <tableColumn id="12002" name="Columna11988" dataDxfId="21011" totalsRowDxfId="4387"/>
    <tableColumn id="12003" name="Columna11989" dataDxfId="21010" totalsRowDxfId="4386"/>
    <tableColumn id="12004" name="Columna11990" dataDxfId="21009" totalsRowDxfId="4385"/>
    <tableColumn id="12005" name="Columna11991" dataDxfId="21008" totalsRowDxfId="4384"/>
    <tableColumn id="12006" name="Columna11992" dataDxfId="21007" totalsRowDxfId="4383"/>
    <tableColumn id="12007" name="Columna11993" dataDxfId="21006" totalsRowDxfId="4382"/>
    <tableColumn id="12008" name="Columna11994" dataDxfId="21005" totalsRowDxfId="4381"/>
    <tableColumn id="12009" name="Columna11995" dataDxfId="21004" totalsRowDxfId="4380"/>
    <tableColumn id="12010" name="Columna11996" dataDxfId="21003" totalsRowDxfId="4379"/>
    <tableColumn id="12011" name="Columna11997" dataDxfId="21002" totalsRowDxfId="4378"/>
    <tableColumn id="12012" name="Columna11998" dataDxfId="21001" totalsRowDxfId="4377"/>
    <tableColumn id="12013" name="Columna11999" dataDxfId="21000" totalsRowDxfId="4376"/>
    <tableColumn id="12014" name="Columna12000" dataDxfId="20999" totalsRowDxfId="4375"/>
    <tableColumn id="12015" name="Columna12001" dataDxfId="20998" totalsRowDxfId="4374"/>
    <tableColumn id="12016" name="Columna12002" dataDxfId="20997" totalsRowDxfId="4373"/>
    <tableColumn id="12017" name="Columna12003" dataDxfId="20996" totalsRowDxfId="4372"/>
    <tableColumn id="12018" name="Columna12004" dataDxfId="20995" totalsRowDxfId="4371"/>
    <tableColumn id="12019" name="Columna12005" dataDxfId="20994" totalsRowDxfId="4370"/>
    <tableColumn id="12020" name="Columna12006" dataDxfId="20993" totalsRowDxfId="4369"/>
    <tableColumn id="12021" name="Columna12007" dataDxfId="20992" totalsRowDxfId="4368"/>
    <tableColumn id="12022" name="Columna12008" dataDxfId="20991" totalsRowDxfId="4367"/>
    <tableColumn id="12023" name="Columna12009" dataDxfId="20990" totalsRowDxfId="4366"/>
    <tableColumn id="12024" name="Columna12010" dataDxfId="20989" totalsRowDxfId="4365"/>
    <tableColumn id="12025" name="Columna12011" dataDxfId="20988" totalsRowDxfId="4364"/>
    <tableColumn id="12026" name="Columna12012" dataDxfId="20987" totalsRowDxfId="4363"/>
    <tableColumn id="12027" name="Columna12013" dataDxfId="20986" totalsRowDxfId="4362"/>
    <tableColumn id="12028" name="Columna12014" dataDxfId="20985" totalsRowDxfId="4361"/>
    <tableColumn id="12029" name="Columna12015" dataDxfId="20984" totalsRowDxfId="4360"/>
    <tableColumn id="12030" name="Columna12016" dataDxfId="20983" totalsRowDxfId="4359"/>
    <tableColumn id="12031" name="Columna12017" dataDxfId="20982" totalsRowDxfId="4358"/>
    <tableColumn id="12032" name="Columna12018" dataDxfId="20981" totalsRowDxfId="4357"/>
    <tableColumn id="12033" name="Columna12019" dataDxfId="20980" totalsRowDxfId="4356"/>
    <tableColumn id="12034" name="Columna12020" dataDxfId="20979" totalsRowDxfId="4355"/>
    <tableColumn id="12035" name="Columna12021" dataDxfId="20978" totalsRowDxfId="4354"/>
    <tableColumn id="12036" name="Columna12022" dataDxfId="20977" totalsRowDxfId="4353"/>
    <tableColumn id="12037" name="Columna12023" dataDxfId="20976" totalsRowDxfId="4352"/>
    <tableColumn id="12038" name="Columna12024" dataDxfId="20975" totalsRowDxfId="4351"/>
    <tableColumn id="12039" name="Columna12025" dataDxfId="20974" totalsRowDxfId="4350"/>
    <tableColumn id="12040" name="Columna12026" dataDxfId="20973" totalsRowDxfId="4349"/>
    <tableColumn id="12041" name="Columna12027" dataDxfId="20972" totalsRowDxfId="4348"/>
    <tableColumn id="12042" name="Columna12028" dataDxfId="20971" totalsRowDxfId="4347"/>
    <tableColumn id="12043" name="Columna12029" dataDxfId="20970" totalsRowDxfId="4346"/>
    <tableColumn id="12044" name="Columna12030" dataDxfId="20969" totalsRowDxfId="4345"/>
    <tableColumn id="12045" name="Columna12031" dataDxfId="20968" totalsRowDxfId="4344"/>
    <tableColumn id="12046" name="Columna12032" dataDxfId="20967" totalsRowDxfId="4343"/>
    <tableColumn id="12047" name="Columna12033" dataDxfId="20966" totalsRowDxfId="4342"/>
    <tableColumn id="12048" name="Columna12034" dataDxfId="20965" totalsRowDxfId="4341"/>
    <tableColumn id="12049" name="Columna12035" dataDxfId="20964" totalsRowDxfId="4340"/>
    <tableColumn id="12050" name="Columna12036" dataDxfId="20963" totalsRowDxfId="4339"/>
    <tableColumn id="12051" name="Columna12037" dataDxfId="20962" totalsRowDxfId="4338"/>
    <tableColumn id="12052" name="Columna12038" dataDxfId="20961" totalsRowDxfId="4337"/>
    <tableColumn id="12053" name="Columna12039" dataDxfId="20960" totalsRowDxfId="4336"/>
    <tableColumn id="12054" name="Columna12040" dataDxfId="20959" totalsRowDxfId="4335"/>
    <tableColumn id="12055" name="Columna12041" dataDxfId="20958" totalsRowDxfId="4334"/>
    <tableColumn id="12056" name="Columna12042" dataDxfId="20957" totalsRowDxfId="4333"/>
    <tableColumn id="12057" name="Columna12043" dataDxfId="20956" totalsRowDxfId="4332"/>
    <tableColumn id="12058" name="Columna12044" dataDxfId="20955" totalsRowDxfId="4331"/>
    <tableColumn id="12059" name="Columna12045" dataDxfId="20954" totalsRowDxfId="4330"/>
    <tableColumn id="12060" name="Columna12046" dataDxfId="20953" totalsRowDxfId="4329"/>
    <tableColumn id="12061" name="Columna12047" dataDxfId="20952" totalsRowDxfId="4328"/>
    <tableColumn id="12062" name="Columna12048" dataDxfId="20951" totalsRowDxfId="4327"/>
    <tableColumn id="12063" name="Columna12049" dataDxfId="20950" totalsRowDxfId="4326"/>
    <tableColumn id="12064" name="Columna12050" dataDxfId="20949" totalsRowDxfId="4325"/>
    <tableColumn id="12065" name="Columna12051" dataDxfId="20948" totalsRowDxfId="4324"/>
    <tableColumn id="12066" name="Columna12052" dataDxfId="20947" totalsRowDxfId="4323"/>
    <tableColumn id="12067" name="Columna12053" dataDxfId="20946" totalsRowDxfId="4322"/>
    <tableColumn id="12068" name="Columna12054" dataDxfId="20945" totalsRowDxfId="4321"/>
    <tableColumn id="12069" name="Columna12055" dataDxfId="20944" totalsRowDxfId="4320"/>
    <tableColumn id="12070" name="Columna12056" dataDxfId="20943" totalsRowDxfId="4319"/>
    <tableColumn id="12071" name="Columna12057" dataDxfId="20942" totalsRowDxfId="4318"/>
    <tableColumn id="12072" name="Columna12058" dataDxfId="20941" totalsRowDxfId="4317"/>
    <tableColumn id="12073" name="Columna12059" dataDxfId="20940" totalsRowDxfId="4316"/>
    <tableColumn id="12074" name="Columna12060" dataDxfId="20939" totalsRowDxfId="4315"/>
    <tableColumn id="12075" name="Columna12061" dataDxfId="20938" totalsRowDxfId="4314"/>
    <tableColumn id="12076" name="Columna12062" dataDxfId="20937" totalsRowDxfId="4313"/>
    <tableColumn id="12077" name="Columna12063" dataDxfId="20936" totalsRowDxfId="4312"/>
    <tableColumn id="12078" name="Columna12064" dataDxfId="20935" totalsRowDxfId="4311"/>
    <tableColumn id="12079" name="Columna12065" dataDxfId="20934" totalsRowDxfId="4310"/>
    <tableColumn id="12080" name="Columna12066" dataDxfId="20933" totalsRowDxfId="4309"/>
    <tableColumn id="12081" name="Columna12067" dataDxfId="20932" totalsRowDxfId="4308"/>
    <tableColumn id="12082" name="Columna12068" dataDxfId="20931" totalsRowDxfId="4307"/>
    <tableColumn id="12083" name="Columna12069" dataDxfId="20930" totalsRowDxfId="4306"/>
    <tableColumn id="12084" name="Columna12070" dataDxfId="20929" totalsRowDxfId="4305"/>
    <tableColumn id="12085" name="Columna12071" dataDxfId="20928" totalsRowDxfId="4304"/>
    <tableColumn id="12086" name="Columna12072" dataDxfId="20927" totalsRowDxfId="4303"/>
    <tableColumn id="12087" name="Columna12073" dataDxfId="20926" totalsRowDxfId="4302"/>
    <tableColumn id="12088" name="Columna12074" dataDxfId="20925" totalsRowDxfId="4301"/>
    <tableColumn id="12089" name="Columna12075" dataDxfId="20924" totalsRowDxfId="4300"/>
    <tableColumn id="12090" name="Columna12076" dataDxfId="20923" totalsRowDxfId="4299"/>
    <tableColumn id="12091" name="Columna12077" dataDxfId="20922" totalsRowDxfId="4298"/>
    <tableColumn id="12092" name="Columna12078" dataDxfId="20921" totalsRowDxfId="4297"/>
    <tableColumn id="12093" name="Columna12079" dataDxfId="20920" totalsRowDxfId="4296"/>
    <tableColumn id="12094" name="Columna12080" dataDxfId="20919" totalsRowDxfId="4295"/>
    <tableColumn id="12095" name="Columna12081" dataDxfId="20918" totalsRowDxfId="4294"/>
    <tableColumn id="12096" name="Columna12082" dataDxfId="20917" totalsRowDxfId="4293"/>
    <tableColumn id="12097" name="Columna12083" dataDxfId="20916" totalsRowDxfId="4292"/>
    <tableColumn id="12098" name="Columna12084" dataDxfId="20915" totalsRowDxfId="4291"/>
    <tableColumn id="12099" name="Columna12085" dataDxfId="20914" totalsRowDxfId="4290"/>
    <tableColumn id="12100" name="Columna12086" dataDxfId="20913" totalsRowDxfId="4289"/>
    <tableColumn id="12101" name="Columna12087" dataDxfId="20912" totalsRowDxfId="4288"/>
    <tableColumn id="12102" name="Columna12088" dataDxfId="20911" totalsRowDxfId="4287"/>
    <tableColumn id="12103" name="Columna12089" dataDxfId="20910" totalsRowDxfId="4286"/>
    <tableColumn id="12104" name="Columna12090" dataDxfId="20909" totalsRowDxfId="4285"/>
    <tableColumn id="12105" name="Columna12091" dataDxfId="20908" totalsRowDxfId="4284"/>
    <tableColumn id="12106" name="Columna12092" dataDxfId="20907" totalsRowDxfId="4283"/>
    <tableColumn id="12107" name="Columna12093" dataDxfId="20906" totalsRowDxfId="4282"/>
    <tableColumn id="12108" name="Columna12094" dataDxfId="20905" totalsRowDxfId="4281"/>
    <tableColumn id="12109" name="Columna12095" dataDxfId="20904" totalsRowDxfId="4280"/>
    <tableColumn id="12110" name="Columna12096" dataDxfId="20903" totalsRowDxfId="4279"/>
    <tableColumn id="12111" name="Columna12097" dataDxfId="20902" totalsRowDxfId="4278"/>
    <tableColumn id="12112" name="Columna12098" dataDxfId="20901" totalsRowDxfId="4277"/>
    <tableColumn id="12113" name="Columna12099" dataDxfId="20900" totalsRowDxfId="4276"/>
    <tableColumn id="12114" name="Columna12100" dataDxfId="20899" totalsRowDxfId="4275"/>
    <tableColumn id="12115" name="Columna12101" dataDxfId="20898" totalsRowDxfId="4274"/>
    <tableColumn id="12116" name="Columna12102" dataDxfId="20897" totalsRowDxfId="4273"/>
    <tableColumn id="12117" name="Columna12103" dataDxfId="20896" totalsRowDxfId="4272"/>
    <tableColumn id="12118" name="Columna12104" dataDxfId="20895" totalsRowDxfId="4271"/>
    <tableColumn id="12119" name="Columna12105" dataDxfId="20894" totalsRowDxfId="4270"/>
    <tableColumn id="12120" name="Columna12106" dataDxfId="20893" totalsRowDxfId="4269"/>
    <tableColumn id="12121" name="Columna12107" dataDxfId="20892" totalsRowDxfId="4268"/>
    <tableColumn id="12122" name="Columna12108" dataDxfId="20891" totalsRowDxfId="4267"/>
    <tableColumn id="12123" name="Columna12109" dataDxfId="20890" totalsRowDxfId="4266"/>
    <tableColumn id="12124" name="Columna12110" dataDxfId="20889" totalsRowDxfId="4265"/>
    <tableColumn id="12125" name="Columna12111" dataDxfId="20888" totalsRowDxfId="4264"/>
    <tableColumn id="12126" name="Columna12112" dataDxfId="20887" totalsRowDxfId="4263"/>
    <tableColumn id="12127" name="Columna12113" dataDxfId="20886" totalsRowDxfId="4262"/>
    <tableColumn id="12128" name="Columna12114" dataDxfId="20885" totalsRowDxfId="4261"/>
    <tableColumn id="12129" name="Columna12115" dataDxfId="20884" totalsRowDxfId="4260"/>
    <tableColumn id="12130" name="Columna12116" dataDxfId="20883" totalsRowDxfId="4259"/>
    <tableColumn id="12131" name="Columna12117" dataDxfId="20882" totalsRowDxfId="4258"/>
    <tableColumn id="12132" name="Columna12118" dataDxfId="20881" totalsRowDxfId="4257"/>
    <tableColumn id="12133" name="Columna12119" dataDxfId="20880" totalsRowDxfId="4256"/>
    <tableColumn id="12134" name="Columna12120" dataDxfId="20879" totalsRowDxfId="4255"/>
    <tableColumn id="12135" name="Columna12121" dataDxfId="20878" totalsRowDxfId="4254"/>
    <tableColumn id="12136" name="Columna12122" dataDxfId="20877" totalsRowDxfId="4253"/>
    <tableColumn id="12137" name="Columna12123" dataDxfId="20876" totalsRowDxfId="4252"/>
    <tableColumn id="12138" name="Columna12124" dataDxfId="20875" totalsRowDxfId="4251"/>
    <tableColumn id="12139" name="Columna12125" dataDxfId="20874" totalsRowDxfId="4250"/>
    <tableColumn id="12140" name="Columna12126" dataDxfId="20873" totalsRowDxfId="4249"/>
    <tableColumn id="12141" name="Columna12127" dataDxfId="20872" totalsRowDxfId="4248"/>
    <tableColumn id="12142" name="Columna12128" dataDxfId="20871" totalsRowDxfId="4247"/>
    <tableColumn id="12143" name="Columna12129" dataDxfId="20870" totalsRowDxfId="4246"/>
    <tableColumn id="12144" name="Columna12130" dataDxfId="20869" totalsRowDxfId="4245"/>
    <tableColumn id="12145" name="Columna12131" dataDxfId="20868" totalsRowDxfId="4244"/>
    <tableColumn id="12146" name="Columna12132" dataDxfId="20867" totalsRowDxfId="4243"/>
    <tableColumn id="12147" name="Columna12133" dataDxfId="20866" totalsRowDxfId="4242"/>
    <tableColumn id="12148" name="Columna12134" dataDxfId="20865" totalsRowDxfId="4241"/>
    <tableColumn id="12149" name="Columna12135" dataDxfId="20864" totalsRowDxfId="4240"/>
    <tableColumn id="12150" name="Columna12136" dataDxfId="20863" totalsRowDxfId="4239"/>
    <tableColumn id="12151" name="Columna12137" dataDxfId="20862" totalsRowDxfId="4238"/>
    <tableColumn id="12152" name="Columna12138" dataDxfId="20861" totalsRowDxfId="4237"/>
    <tableColumn id="12153" name="Columna12139" dataDxfId="20860" totalsRowDxfId="4236"/>
    <tableColumn id="12154" name="Columna12140" dataDxfId="20859" totalsRowDxfId="4235"/>
    <tableColumn id="12155" name="Columna12141" dataDxfId="20858" totalsRowDxfId="4234"/>
    <tableColumn id="12156" name="Columna12142" dataDxfId="20857" totalsRowDxfId="4233"/>
    <tableColumn id="12157" name="Columna12143" dataDxfId="20856" totalsRowDxfId="4232"/>
    <tableColumn id="12158" name="Columna12144" dataDxfId="20855" totalsRowDxfId="4231"/>
    <tableColumn id="12159" name="Columna12145" dataDxfId="20854" totalsRowDxfId="4230"/>
    <tableColumn id="12160" name="Columna12146" dataDxfId="20853" totalsRowDxfId="4229"/>
    <tableColumn id="12161" name="Columna12147" dataDxfId="20852" totalsRowDxfId="4228"/>
    <tableColumn id="12162" name="Columna12148" dataDxfId="20851" totalsRowDxfId="4227"/>
    <tableColumn id="12163" name="Columna12149" dataDxfId="20850" totalsRowDxfId="4226"/>
    <tableColumn id="12164" name="Columna12150" dataDxfId="20849" totalsRowDxfId="4225"/>
    <tableColumn id="12165" name="Columna12151" dataDxfId="20848" totalsRowDxfId="4224"/>
    <tableColumn id="12166" name="Columna12152" dataDxfId="20847" totalsRowDxfId="4223"/>
    <tableColumn id="12167" name="Columna12153" dataDxfId="20846" totalsRowDxfId="4222"/>
    <tableColumn id="12168" name="Columna12154" dataDxfId="20845" totalsRowDxfId="4221"/>
    <tableColumn id="12169" name="Columna12155" dataDxfId="20844" totalsRowDxfId="4220"/>
    <tableColumn id="12170" name="Columna12156" dataDxfId="20843" totalsRowDxfId="4219"/>
    <tableColumn id="12171" name="Columna12157" dataDxfId="20842" totalsRowDxfId="4218"/>
    <tableColumn id="12172" name="Columna12158" dataDxfId="20841" totalsRowDxfId="4217"/>
    <tableColumn id="12173" name="Columna12159" dataDxfId="20840" totalsRowDxfId="4216"/>
    <tableColumn id="12174" name="Columna12160" dataDxfId="20839" totalsRowDxfId="4215"/>
    <tableColumn id="12175" name="Columna12161" dataDxfId="20838" totalsRowDxfId="4214"/>
    <tableColumn id="12176" name="Columna12162" dataDxfId="20837" totalsRowDxfId="4213"/>
    <tableColumn id="12177" name="Columna12163" dataDxfId="20836" totalsRowDxfId="4212"/>
    <tableColumn id="12178" name="Columna12164" dataDxfId="20835" totalsRowDxfId="4211"/>
    <tableColumn id="12179" name="Columna12165" dataDxfId="20834" totalsRowDxfId="4210"/>
    <tableColumn id="12180" name="Columna12166" dataDxfId="20833" totalsRowDxfId="4209"/>
    <tableColumn id="12181" name="Columna12167" dataDxfId="20832" totalsRowDxfId="4208"/>
    <tableColumn id="12182" name="Columna12168" dataDxfId="20831" totalsRowDxfId="4207"/>
    <tableColumn id="12183" name="Columna12169" dataDxfId="20830" totalsRowDxfId="4206"/>
    <tableColumn id="12184" name="Columna12170" dataDxfId="20829" totalsRowDxfId="4205"/>
    <tableColumn id="12185" name="Columna12171" dataDxfId="20828" totalsRowDxfId="4204"/>
    <tableColumn id="12186" name="Columna12172" dataDxfId="20827" totalsRowDxfId="4203"/>
    <tableColumn id="12187" name="Columna12173" dataDxfId="20826" totalsRowDxfId="4202"/>
    <tableColumn id="12188" name="Columna12174" dataDxfId="20825" totalsRowDxfId="4201"/>
    <tableColumn id="12189" name="Columna12175" dataDxfId="20824" totalsRowDxfId="4200"/>
    <tableColumn id="12190" name="Columna12176" dataDxfId="20823" totalsRowDxfId="4199"/>
    <tableColumn id="12191" name="Columna12177" dataDxfId="20822" totalsRowDxfId="4198"/>
    <tableColumn id="12192" name="Columna12178" dataDxfId="20821" totalsRowDxfId="4197"/>
    <tableColumn id="12193" name="Columna12179" dataDxfId="20820" totalsRowDxfId="4196"/>
    <tableColumn id="12194" name="Columna12180" dataDxfId="20819" totalsRowDxfId="4195"/>
    <tableColumn id="12195" name="Columna12181" dataDxfId="20818" totalsRowDxfId="4194"/>
    <tableColumn id="12196" name="Columna12182" dataDxfId="20817" totalsRowDxfId="4193"/>
    <tableColumn id="12197" name="Columna12183" dataDxfId="20816" totalsRowDxfId="4192"/>
    <tableColumn id="12198" name="Columna12184" dataDxfId="20815" totalsRowDxfId="4191"/>
    <tableColumn id="12199" name="Columna12185" dataDxfId="20814" totalsRowDxfId="4190"/>
    <tableColumn id="12200" name="Columna12186" dataDxfId="20813" totalsRowDxfId="4189"/>
    <tableColumn id="12201" name="Columna12187" dataDxfId="20812" totalsRowDxfId="4188"/>
    <tableColumn id="12202" name="Columna12188" dataDxfId="20811" totalsRowDxfId="4187"/>
    <tableColumn id="12203" name="Columna12189" dataDxfId="20810" totalsRowDxfId="4186"/>
    <tableColumn id="12204" name="Columna12190" dataDxfId="20809" totalsRowDxfId="4185"/>
    <tableColumn id="12205" name="Columna12191" dataDxfId="20808" totalsRowDxfId="4184"/>
    <tableColumn id="12206" name="Columna12192" dataDxfId="20807" totalsRowDxfId="4183"/>
    <tableColumn id="12207" name="Columna12193" dataDxfId="20806" totalsRowDxfId="4182"/>
    <tableColumn id="12208" name="Columna12194" dataDxfId="20805" totalsRowDxfId="4181"/>
    <tableColumn id="12209" name="Columna12195" dataDxfId="20804" totalsRowDxfId="4180"/>
    <tableColumn id="12210" name="Columna12196" dataDxfId="20803" totalsRowDxfId="4179"/>
    <tableColumn id="12211" name="Columna12197" dataDxfId="20802" totalsRowDxfId="4178"/>
    <tableColumn id="12212" name="Columna12198" dataDxfId="20801" totalsRowDxfId="4177"/>
    <tableColumn id="12213" name="Columna12199" dataDxfId="20800" totalsRowDxfId="4176"/>
    <tableColumn id="12214" name="Columna12200" dataDxfId="20799" totalsRowDxfId="4175"/>
    <tableColumn id="12215" name="Columna12201" dataDxfId="20798" totalsRowDxfId="4174"/>
    <tableColumn id="12216" name="Columna12202" dataDxfId="20797" totalsRowDxfId="4173"/>
    <tableColumn id="12217" name="Columna12203" dataDxfId="20796" totalsRowDxfId="4172"/>
    <tableColumn id="12218" name="Columna12204" dataDxfId="20795" totalsRowDxfId="4171"/>
    <tableColumn id="12219" name="Columna12205" dataDxfId="20794" totalsRowDxfId="4170"/>
    <tableColumn id="12220" name="Columna12206" dataDxfId="20793" totalsRowDxfId="4169"/>
    <tableColumn id="12221" name="Columna12207" dataDxfId="20792" totalsRowDxfId="4168"/>
    <tableColumn id="12222" name="Columna12208" dataDxfId="20791" totalsRowDxfId="4167"/>
    <tableColumn id="12223" name="Columna12209" dataDxfId="20790" totalsRowDxfId="4166"/>
    <tableColumn id="12224" name="Columna12210" dataDxfId="20789" totalsRowDxfId="4165"/>
    <tableColumn id="12225" name="Columna12211" dataDxfId="20788" totalsRowDxfId="4164"/>
    <tableColumn id="12226" name="Columna12212" dataDxfId="20787" totalsRowDxfId="4163"/>
    <tableColumn id="12227" name="Columna12213" dataDxfId="20786" totalsRowDxfId="4162"/>
    <tableColumn id="12228" name="Columna12214" dataDxfId="20785" totalsRowDxfId="4161"/>
    <tableColumn id="12229" name="Columna12215" dataDxfId="20784" totalsRowDxfId="4160"/>
    <tableColumn id="12230" name="Columna12216" dataDxfId="20783" totalsRowDxfId="4159"/>
    <tableColumn id="12231" name="Columna12217" dataDxfId="20782" totalsRowDxfId="4158"/>
    <tableColumn id="12232" name="Columna12218" dataDxfId="20781" totalsRowDxfId="4157"/>
    <tableColumn id="12233" name="Columna12219" dataDxfId="20780" totalsRowDxfId="4156"/>
    <tableColumn id="12234" name="Columna12220" dataDxfId="20779" totalsRowDxfId="4155"/>
    <tableColumn id="12235" name="Columna12221" dataDxfId="20778" totalsRowDxfId="4154"/>
    <tableColumn id="12236" name="Columna12222" dataDxfId="20777" totalsRowDxfId="4153"/>
    <tableColumn id="12237" name="Columna12223" dataDxfId="20776" totalsRowDxfId="4152"/>
    <tableColumn id="12238" name="Columna12224" dataDxfId="20775" totalsRowDxfId="4151"/>
    <tableColumn id="12239" name="Columna12225" dataDxfId="20774" totalsRowDxfId="4150"/>
    <tableColumn id="12240" name="Columna12226" dataDxfId="20773" totalsRowDxfId="4149"/>
    <tableColumn id="12241" name="Columna12227" dataDxfId="20772" totalsRowDxfId="4148"/>
    <tableColumn id="12242" name="Columna12228" dataDxfId="20771" totalsRowDxfId="4147"/>
    <tableColumn id="12243" name="Columna12229" dataDxfId="20770" totalsRowDxfId="4146"/>
    <tableColumn id="12244" name="Columna12230" dataDxfId="20769" totalsRowDxfId="4145"/>
    <tableColumn id="12245" name="Columna12231" dataDxfId="20768" totalsRowDxfId="4144"/>
    <tableColumn id="12246" name="Columna12232" dataDxfId="20767" totalsRowDxfId="4143"/>
    <tableColumn id="12247" name="Columna12233" dataDxfId="20766" totalsRowDxfId="4142"/>
    <tableColumn id="12248" name="Columna12234" dataDxfId="20765" totalsRowDxfId="4141"/>
    <tableColumn id="12249" name="Columna12235" dataDxfId="20764" totalsRowDxfId="4140"/>
    <tableColumn id="12250" name="Columna12236" dataDxfId="20763" totalsRowDxfId="4139"/>
    <tableColumn id="12251" name="Columna12237" dataDxfId="20762" totalsRowDxfId="4138"/>
    <tableColumn id="12252" name="Columna12238" dataDxfId="20761" totalsRowDxfId="4137"/>
    <tableColumn id="12253" name="Columna12239" dataDxfId="20760" totalsRowDxfId="4136"/>
    <tableColumn id="12254" name="Columna12240" dataDxfId="20759" totalsRowDxfId="4135"/>
    <tableColumn id="12255" name="Columna12241" dataDxfId="20758" totalsRowDxfId="4134"/>
    <tableColumn id="12256" name="Columna12242" dataDxfId="20757" totalsRowDxfId="4133"/>
    <tableColumn id="12257" name="Columna12243" dataDxfId="20756" totalsRowDxfId="4132"/>
    <tableColumn id="12258" name="Columna12244" dataDxfId="20755" totalsRowDxfId="4131"/>
    <tableColumn id="12259" name="Columna12245" dataDxfId="20754" totalsRowDxfId="4130"/>
    <tableColumn id="12260" name="Columna12246" dataDxfId="20753" totalsRowDxfId="4129"/>
    <tableColumn id="12261" name="Columna12247" dataDxfId="20752" totalsRowDxfId="4128"/>
    <tableColumn id="12262" name="Columna12248" dataDxfId="20751" totalsRowDxfId="4127"/>
    <tableColumn id="12263" name="Columna12249" dataDxfId="20750" totalsRowDxfId="4126"/>
    <tableColumn id="12264" name="Columna12250" dataDxfId="20749" totalsRowDxfId="4125"/>
    <tableColumn id="12265" name="Columna12251" dataDxfId="20748" totalsRowDxfId="4124"/>
    <tableColumn id="12266" name="Columna12252" dataDxfId="20747" totalsRowDxfId="4123"/>
    <tableColumn id="12267" name="Columna12253" dataDxfId="20746" totalsRowDxfId="4122"/>
    <tableColumn id="12268" name="Columna12254" dataDxfId="20745" totalsRowDxfId="4121"/>
    <tableColumn id="12269" name="Columna12255" dataDxfId="20744" totalsRowDxfId="4120"/>
    <tableColumn id="12270" name="Columna12256" dataDxfId="20743" totalsRowDxfId="4119"/>
    <tableColumn id="12271" name="Columna12257" dataDxfId="20742" totalsRowDxfId="4118"/>
    <tableColumn id="12272" name="Columna12258" dataDxfId="20741" totalsRowDxfId="4117"/>
    <tableColumn id="12273" name="Columna12259" dataDxfId="20740" totalsRowDxfId="4116"/>
    <tableColumn id="12274" name="Columna12260" dataDxfId="20739" totalsRowDxfId="4115"/>
    <tableColumn id="12275" name="Columna12261" dataDxfId="20738" totalsRowDxfId="4114"/>
    <tableColumn id="12276" name="Columna12262" dataDxfId="20737" totalsRowDxfId="4113"/>
    <tableColumn id="12277" name="Columna12263" dataDxfId="20736" totalsRowDxfId="4112"/>
    <tableColumn id="12278" name="Columna12264" dataDxfId="20735" totalsRowDxfId="4111"/>
    <tableColumn id="12279" name="Columna12265" dataDxfId="20734" totalsRowDxfId="4110"/>
    <tableColumn id="12280" name="Columna12266" dataDxfId="20733" totalsRowDxfId="4109"/>
    <tableColumn id="12281" name="Columna12267" dataDxfId="20732" totalsRowDxfId="4108"/>
    <tableColumn id="12282" name="Columna12268" dataDxfId="20731" totalsRowDxfId="4107"/>
    <tableColumn id="12283" name="Columna12269" dataDxfId="20730" totalsRowDxfId="4106"/>
    <tableColumn id="12284" name="Columna12270" dataDxfId="20729" totalsRowDxfId="4105"/>
    <tableColumn id="12285" name="Columna12271" dataDxfId="20728" totalsRowDxfId="4104"/>
    <tableColumn id="12286" name="Columna12272" dataDxfId="20727" totalsRowDxfId="4103"/>
    <tableColumn id="12287" name="Columna12273" dataDxfId="20726" totalsRowDxfId="4102"/>
    <tableColumn id="12288" name="Columna12274" dataDxfId="20725" totalsRowDxfId="4101"/>
    <tableColumn id="12289" name="Columna12275" dataDxfId="20724" totalsRowDxfId="4100"/>
    <tableColumn id="12290" name="Columna12276" dataDxfId="20723" totalsRowDxfId="4099"/>
    <tableColumn id="12291" name="Columna12277" dataDxfId="20722" totalsRowDxfId="4098"/>
    <tableColumn id="12292" name="Columna12278" dataDxfId="20721" totalsRowDxfId="4097"/>
    <tableColumn id="12293" name="Columna12279" dataDxfId="20720" totalsRowDxfId="4096"/>
    <tableColumn id="12294" name="Columna12280" dataDxfId="20719" totalsRowDxfId="4095"/>
    <tableColumn id="12295" name="Columna12281" dataDxfId="20718" totalsRowDxfId="4094"/>
    <tableColumn id="12296" name="Columna12282" dataDxfId="20717" totalsRowDxfId="4093"/>
    <tableColumn id="12297" name="Columna12283" dataDxfId="20716" totalsRowDxfId="4092"/>
    <tableColumn id="12298" name="Columna12284" dataDxfId="20715" totalsRowDxfId="4091"/>
    <tableColumn id="12299" name="Columna12285" dataDxfId="20714" totalsRowDxfId="4090"/>
    <tableColumn id="12300" name="Columna12286" dataDxfId="20713" totalsRowDxfId="4089"/>
    <tableColumn id="12301" name="Columna12287" dataDxfId="20712" totalsRowDxfId="4088"/>
    <tableColumn id="12302" name="Columna12288" dataDxfId="20711" totalsRowDxfId="4087"/>
    <tableColumn id="12303" name="Columna12289" dataDxfId="20710" totalsRowDxfId="4086"/>
    <tableColumn id="12304" name="Columna12290" dataDxfId="20709" totalsRowDxfId="4085"/>
    <tableColumn id="12305" name="Columna12291" dataDxfId="20708" totalsRowDxfId="4084"/>
    <tableColumn id="12306" name="Columna12292" dataDxfId="20707" totalsRowDxfId="4083"/>
    <tableColumn id="12307" name="Columna12293" dataDxfId="20706" totalsRowDxfId="4082"/>
    <tableColumn id="12308" name="Columna12294" dataDxfId="20705" totalsRowDxfId="4081"/>
    <tableColumn id="12309" name="Columna12295" dataDxfId="20704" totalsRowDxfId="4080"/>
    <tableColumn id="12310" name="Columna12296" dataDxfId="20703" totalsRowDxfId="4079"/>
    <tableColumn id="12311" name="Columna12297" dataDxfId="20702" totalsRowDxfId="4078"/>
    <tableColumn id="12312" name="Columna12298" dataDxfId="20701" totalsRowDxfId="4077"/>
    <tableColumn id="12313" name="Columna12299" dataDxfId="20700" totalsRowDxfId="4076"/>
    <tableColumn id="12314" name="Columna12300" dataDxfId="20699" totalsRowDxfId="4075"/>
    <tableColumn id="12315" name="Columna12301" dataDxfId="20698" totalsRowDxfId="4074"/>
    <tableColumn id="12316" name="Columna12302" dataDxfId="20697" totalsRowDxfId="4073"/>
    <tableColumn id="12317" name="Columna12303" dataDxfId="20696" totalsRowDxfId="4072"/>
    <tableColumn id="12318" name="Columna12304" dataDxfId="20695" totalsRowDxfId="4071"/>
    <tableColumn id="12319" name="Columna12305" dataDxfId="20694" totalsRowDxfId="4070"/>
    <tableColumn id="12320" name="Columna12306" dataDxfId="20693" totalsRowDxfId="4069"/>
    <tableColumn id="12321" name="Columna12307" dataDxfId="20692" totalsRowDxfId="4068"/>
    <tableColumn id="12322" name="Columna12308" dataDxfId="20691" totalsRowDxfId="4067"/>
    <tableColumn id="12323" name="Columna12309" dataDxfId="20690" totalsRowDxfId="4066"/>
    <tableColumn id="12324" name="Columna12310" dataDxfId="20689" totalsRowDxfId="4065"/>
    <tableColumn id="12325" name="Columna12311" dataDxfId="20688" totalsRowDxfId="4064"/>
    <tableColumn id="12326" name="Columna12312" dataDxfId="20687" totalsRowDxfId="4063"/>
    <tableColumn id="12327" name="Columna12313" dataDxfId="20686" totalsRowDxfId="4062"/>
    <tableColumn id="12328" name="Columna12314" dataDxfId="20685" totalsRowDxfId="4061"/>
    <tableColumn id="12329" name="Columna12315" dataDxfId="20684" totalsRowDxfId="4060"/>
    <tableColumn id="12330" name="Columna12316" dataDxfId="20683" totalsRowDxfId="4059"/>
    <tableColumn id="12331" name="Columna12317" dataDxfId="20682" totalsRowDxfId="4058"/>
    <tableColumn id="12332" name="Columna12318" dataDxfId="20681" totalsRowDxfId="4057"/>
    <tableColumn id="12333" name="Columna12319" dataDxfId="20680" totalsRowDxfId="4056"/>
    <tableColumn id="12334" name="Columna12320" dataDxfId="20679" totalsRowDxfId="4055"/>
    <tableColumn id="12335" name="Columna12321" dataDxfId="20678" totalsRowDxfId="4054"/>
    <tableColumn id="12336" name="Columna12322" dataDxfId="20677" totalsRowDxfId="4053"/>
    <tableColumn id="12337" name="Columna12323" dataDxfId="20676" totalsRowDxfId="4052"/>
    <tableColumn id="12338" name="Columna12324" dataDxfId="20675" totalsRowDxfId="4051"/>
    <tableColumn id="12339" name="Columna12325" dataDxfId="20674" totalsRowDxfId="4050"/>
    <tableColumn id="12340" name="Columna12326" dataDxfId="20673" totalsRowDxfId="4049"/>
    <tableColumn id="12341" name="Columna12327" dataDxfId="20672" totalsRowDxfId="4048"/>
    <tableColumn id="12342" name="Columna12328" dataDxfId="20671" totalsRowDxfId="4047"/>
    <tableColumn id="12343" name="Columna12329" dataDxfId="20670" totalsRowDxfId="4046"/>
    <tableColumn id="12344" name="Columna12330" dataDxfId="20669" totalsRowDxfId="4045"/>
    <tableColumn id="12345" name="Columna12331" dataDxfId="20668" totalsRowDxfId="4044"/>
    <tableColumn id="12346" name="Columna12332" dataDxfId="20667" totalsRowDxfId="4043"/>
    <tableColumn id="12347" name="Columna12333" dataDxfId="20666" totalsRowDxfId="4042"/>
    <tableColumn id="12348" name="Columna12334" dataDxfId="20665" totalsRowDxfId="4041"/>
    <tableColumn id="12349" name="Columna12335" dataDxfId="20664" totalsRowDxfId="4040"/>
    <tableColumn id="12350" name="Columna12336" dataDxfId="20663" totalsRowDxfId="4039"/>
    <tableColumn id="12351" name="Columna12337" dataDxfId="20662" totalsRowDxfId="4038"/>
    <tableColumn id="12352" name="Columna12338" dataDxfId="20661" totalsRowDxfId="4037"/>
    <tableColumn id="12353" name="Columna12339" dataDxfId="20660" totalsRowDxfId="4036"/>
    <tableColumn id="12354" name="Columna12340" dataDxfId="20659" totalsRowDxfId="4035"/>
    <tableColumn id="12355" name="Columna12341" dataDxfId="20658" totalsRowDxfId="4034"/>
    <tableColumn id="12356" name="Columna12342" dataDxfId="20657" totalsRowDxfId="4033"/>
    <tableColumn id="12357" name="Columna12343" dataDxfId="20656" totalsRowDxfId="4032"/>
    <tableColumn id="12358" name="Columna12344" dataDxfId="20655" totalsRowDxfId="4031"/>
    <tableColumn id="12359" name="Columna12345" dataDxfId="20654" totalsRowDxfId="4030"/>
    <tableColumn id="12360" name="Columna12346" dataDxfId="20653" totalsRowDxfId="4029"/>
    <tableColumn id="12361" name="Columna12347" dataDxfId="20652" totalsRowDxfId="4028"/>
    <tableColumn id="12362" name="Columna12348" dataDxfId="20651" totalsRowDxfId="4027"/>
    <tableColumn id="12363" name="Columna12349" dataDxfId="20650" totalsRowDxfId="4026"/>
    <tableColumn id="12364" name="Columna12350" dataDxfId="20649" totalsRowDxfId="4025"/>
    <tableColumn id="12365" name="Columna12351" dataDxfId="20648" totalsRowDxfId="4024"/>
    <tableColumn id="12366" name="Columna12352" dataDxfId="20647" totalsRowDxfId="4023"/>
    <tableColumn id="12367" name="Columna12353" dataDxfId="20646" totalsRowDxfId="4022"/>
    <tableColumn id="12368" name="Columna12354" dataDxfId="20645" totalsRowDxfId="4021"/>
    <tableColumn id="12369" name="Columna12355" dataDxfId="20644" totalsRowDxfId="4020"/>
    <tableColumn id="12370" name="Columna12356" dataDxfId="20643" totalsRowDxfId="4019"/>
    <tableColumn id="12371" name="Columna12357" dataDxfId="20642" totalsRowDxfId="4018"/>
    <tableColumn id="12372" name="Columna12358" dataDxfId="20641" totalsRowDxfId="4017"/>
    <tableColumn id="12373" name="Columna12359" dataDxfId="20640" totalsRowDxfId="4016"/>
    <tableColumn id="12374" name="Columna12360" dataDxfId="20639" totalsRowDxfId="4015"/>
    <tableColumn id="12375" name="Columna12361" dataDxfId="20638" totalsRowDxfId="4014"/>
    <tableColumn id="12376" name="Columna12362" dataDxfId="20637" totalsRowDxfId="4013"/>
    <tableColumn id="12377" name="Columna12363" dataDxfId="20636" totalsRowDxfId="4012"/>
    <tableColumn id="12378" name="Columna12364" dataDxfId="20635" totalsRowDxfId="4011"/>
    <tableColumn id="12379" name="Columna12365" dataDxfId="20634" totalsRowDxfId="4010"/>
    <tableColumn id="12380" name="Columna12366" dataDxfId="20633" totalsRowDxfId="4009"/>
    <tableColumn id="12381" name="Columna12367" dataDxfId="20632" totalsRowDxfId="4008"/>
    <tableColumn id="12382" name="Columna12368" dataDxfId="20631" totalsRowDxfId="4007"/>
    <tableColumn id="12383" name="Columna12369" dataDxfId="20630" totalsRowDxfId="4006"/>
    <tableColumn id="12384" name="Columna12370" dataDxfId="20629" totalsRowDxfId="4005"/>
    <tableColumn id="12385" name="Columna12371" dataDxfId="20628" totalsRowDxfId="4004"/>
    <tableColumn id="12386" name="Columna12372" dataDxfId="20627" totalsRowDxfId="4003"/>
    <tableColumn id="12387" name="Columna12373" dataDxfId="20626" totalsRowDxfId="4002"/>
    <tableColumn id="12388" name="Columna12374" dataDxfId="20625" totalsRowDxfId="4001"/>
    <tableColumn id="12389" name="Columna12375" dataDxfId="20624" totalsRowDxfId="4000"/>
    <tableColumn id="12390" name="Columna12376" dataDxfId="20623" totalsRowDxfId="3999"/>
    <tableColumn id="12391" name="Columna12377" dataDxfId="20622" totalsRowDxfId="3998"/>
    <tableColumn id="12392" name="Columna12378" dataDxfId="20621" totalsRowDxfId="3997"/>
    <tableColumn id="12393" name="Columna12379" dataDxfId="20620" totalsRowDxfId="3996"/>
    <tableColumn id="12394" name="Columna12380" dataDxfId="20619" totalsRowDxfId="3995"/>
    <tableColumn id="12395" name="Columna12381" dataDxfId="20618" totalsRowDxfId="3994"/>
    <tableColumn id="12396" name="Columna12382" dataDxfId="20617" totalsRowDxfId="3993"/>
    <tableColumn id="12397" name="Columna12383" dataDxfId="20616" totalsRowDxfId="3992"/>
    <tableColumn id="12398" name="Columna12384" dataDxfId="20615" totalsRowDxfId="3991"/>
    <tableColumn id="12399" name="Columna12385" dataDxfId="20614" totalsRowDxfId="3990"/>
    <tableColumn id="12400" name="Columna12386" dataDxfId="20613" totalsRowDxfId="3989"/>
    <tableColumn id="12401" name="Columna12387" dataDxfId="20612" totalsRowDxfId="3988"/>
    <tableColumn id="12402" name="Columna12388" dataDxfId="20611" totalsRowDxfId="3987"/>
    <tableColumn id="12403" name="Columna12389" dataDxfId="20610" totalsRowDxfId="3986"/>
    <tableColumn id="12404" name="Columna12390" dataDxfId="20609" totalsRowDxfId="3985"/>
    <tableColumn id="12405" name="Columna12391" dataDxfId="20608" totalsRowDxfId="3984"/>
    <tableColumn id="12406" name="Columna12392" dataDxfId="20607" totalsRowDxfId="3983"/>
    <tableColumn id="12407" name="Columna12393" dataDxfId="20606" totalsRowDxfId="3982"/>
    <tableColumn id="12408" name="Columna12394" dataDxfId="20605" totalsRowDxfId="3981"/>
    <tableColumn id="12409" name="Columna12395" dataDxfId="20604" totalsRowDxfId="3980"/>
    <tableColumn id="12410" name="Columna12396" dataDxfId="20603" totalsRowDxfId="3979"/>
    <tableColumn id="12411" name="Columna12397" dataDxfId="20602" totalsRowDxfId="3978"/>
    <tableColumn id="12412" name="Columna12398" dataDxfId="20601" totalsRowDxfId="3977"/>
    <tableColumn id="12413" name="Columna12399" dataDxfId="20600" totalsRowDxfId="3976"/>
    <tableColumn id="12414" name="Columna12400" dataDxfId="20599" totalsRowDxfId="3975"/>
    <tableColumn id="12415" name="Columna12401" dataDxfId="20598" totalsRowDxfId="3974"/>
    <tableColumn id="12416" name="Columna12402" dataDxfId="20597" totalsRowDxfId="3973"/>
    <tableColumn id="12417" name="Columna12403" dataDxfId="20596" totalsRowDxfId="3972"/>
    <tableColumn id="12418" name="Columna12404" dataDxfId="20595" totalsRowDxfId="3971"/>
    <tableColumn id="12419" name="Columna12405" dataDxfId="20594" totalsRowDxfId="3970"/>
    <tableColumn id="12420" name="Columna12406" dataDxfId="20593" totalsRowDxfId="3969"/>
    <tableColumn id="12421" name="Columna12407" dataDxfId="20592" totalsRowDxfId="3968"/>
    <tableColumn id="12422" name="Columna12408" dataDxfId="20591" totalsRowDxfId="3967"/>
    <tableColumn id="12423" name="Columna12409" dataDxfId="20590" totalsRowDxfId="3966"/>
    <tableColumn id="12424" name="Columna12410" dataDxfId="20589" totalsRowDxfId="3965"/>
    <tableColumn id="12425" name="Columna12411" dataDxfId="20588" totalsRowDxfId="3964"/>
    <tableColumn id="12426" name="Columna12412" dataDxfId="20587" totalsRowDxfId="3963"/>
    <tableColumn id="12427" name="Columna12413" dataDxfId="20586" totalsRowDxfId="3962"/>
    <tableColumn id="12428" name="Columna12414" dataDxfId="20585" totalsRowDxfId="3961"/>
    <tableColumn id="12429" name="Columna12415" dataDxfId="20584" totalsRowDxfId="3960"/>
    <tableColumn id="12430" name="Columna12416" dataDxfId="20583" totalsRowDxfId="3959"/>
    <tableColumn id="12431" name="Columna12417" dataDxfId="20582" totalsRowDxfId="3958"/>
    <tableColumn id="12432" name="Columna12418" dataDxfId="20581" totalsRowDxfId="3957"/>
    <tableColumn id="12433" name="Columna12419" dataDxfId="20580" totalsRowDxfId="3956"/>
    <tableColumn id="12434" name="Columna12420" dataDxfId="20579" totalsRowDxfId="3955"/>
    <tableColumn id="12435" name="Columna12421" dataDxfId="20578" totalsRowDxfId="3954"/>
    <tableColumn id="12436" name="Columna12422" dataDxfId="20577" totalsRowDxfId="3953"/>
    <tableColumn id="12437" name="Columna12423" dataDxfId="20576" totalsRowDxfId="3952"/>
    <tableColumn id="12438" name="Columna12424" dataDxfId="20575" totalsRowDxfId="3951"/>
    <tableColumn id="12439" name="Columna12425" dataDxfId="20574" totalsRowDxfId="3950"/>
    <tableColumn id="12440" name="Columna12426" dataDxfId="20573" totalsRowDxfId="3949"/>
    <tableColumn id="12441" name="Columna12427" dataDxfId="20572" totalsRowDxfId="3948"/>
    <tableColumn id="12442" name="Columna12428" dataDxfId="20571" totalsRowDxfId="3947"/>
    <tableColumn id="12443" name="Columna12429" dataDxfId="20570" totalsRowDxfId="3946"/>
    <tableColumn id="12444" name="Columna12430" dataDxfId="20569" totalsRowDxfId="3945"/>
    <tableColumn id="12445" name="Columna12431" dataDxfId="20568" totalsRowDxfId="3944"/>
    <tableColumn id="12446" name="Columna12432" dataDxfId="20567" totalsRowDxfId="3943"/>
    <tableColumn id="12447" name="Columna12433" dataDxfId="20566" totalsRowDxfId="3942"/>
    <tableColumn id="12448" name="Columna12434" dataDxfId="20565" totalsRowDxfId="3941"/>
    <tableColumn id="12449" name="Columna12435" dataDxfId="20564" totalsRowDxfId="3940"/>
    <tableColumn id="12450" name="Columna12436" dataDxfId="20563" totalsRowDxfId="3939"/>
    <tableColumn id="12451" name="Columna12437" dataDxfId="20562" totalsRowDxfId="3938"/>
    <tableColumn id="12452" name="Columna12438" dataDxfId="20561" totalsRowDxfId="3937"/>
    <tableColumn id="12453" name="Columna12439" dataDxfId="20560" totalsRowDxfId="3936"/>
    <tableColumn id="12454" name="Columna12440" dataDxfId="20559" totalsRowDxfId="3935"/>
    <tableColumn id="12455" name="Columna12441" dataDxfId="20558" totalsRowDxfId="3934"/>
    <tableColumn id="12456" name="Columna12442" dataDxfId="20557" totalsRowDxfId="3933"/>
    <tableColumn id="12457" name="Columna12443" dataDxfId="20556" totalsRowDxfId="3932"/>
    <tableColumn id="12458" name="Columna12444" dataDxfId="20555" totalsRowDxfId="3931"/>
    <tableColumn id="12459" name="Columna12445" dataDxfId="20554" totalsRowDxfId="3930"/>
    <tableColumn id="12460" name="Columna12446" dataDxfId="20553" totalsRowDxfId="3929"/>
    <tableColumn id="12461" name="Columna12447" dataDxfId="20552" totalsRowDxfId="3928"/>
    <tableColumn id="12462" name="Columna12448" dataDxfId="20551" totalsRowDxfId="3927"/>
    <tableColumn id="12463" name="Columna12449" dataDxfId="20550" totalsRowDxfId="3926"/>
    <tableColumn id="12464" name="Columna12450" dataDxfId="20549" totalsRowDxfId="3925"/>
    <tableColumn id="12465" name="Columna12451" dataDxfId="20548" totalsRowDxfId="3924"/>
    <tableColumn id="12466" name="Columna12452" dataDxfId="20547" totalsRowDxfId="3923"/>
    <tableColumn id="12467" name="Columna12453" dataDxfId="20546" totalsRowDxfId="3922"/>
    <tableColumn id="12468" name="Columna12454" dataDxfId="20545" totalsRowDxfId="3921"/>
    <tableColumn id="12469" name="Columna12455" dataDxfId="20544" totalsRowDxfId="3920"/>
    <tableColumn id="12470" name="Columna12456" dataDxfId="20543" totalsRowDxfId="3919"/>
    <tableColumn id="12471" name="Columna12457" dataDxfId="20542" totalsRowDxfId="3918"/>
    <tableColumn id="12472" name="Columna12458" dataDxfId="20541" totalsRowDxfId="3917"/>
    <tableColumn id="12473" name="Columna12459" dataDxfId="20540" totalsRowDxfId="3916"/>
    <tableColumn id="12474" name="Columna12460" dataDxfId="20539" totalsRowDxfId="3915"/>
    <tableColumn id="12475" name="Columna12461" dataDxfId="20538" totalsRowDxfId="3914"/>
    <tableColumn id="12476" name="Columna12462" dataDxfId="20537" totalsRowDxfId="3913"/>
    <tableColumn id="12477" name="Columna12463" dataDxfId="20536" totalsRowDxfId="3912"/>
    <tableColumn id="12478" name="Columna12464" dataDxfId="20535" totalsRowDxfId="3911"/>
    <tableColumn id="12479" name="Columna12465" dataDxfId="20534" totalsRowDxfId="3910"/>
    <tableColumn id="12480" name="Columna12466" dataDxfId="20533" totalsRowDxfId="3909"/>
    <tableColumn id="12481" name="Columna12467" dataDxfId="20532" totalsRowDxfId="3908"/>
    <tableColumn id="12482" name="Columna12468" dataDxfId="20531" totalsRowDxfId="3907"/>
    <tableColumn id="12483" name="Columna12469" dataDxfId="20530" totalsRowDxfId="3906"/>
    <tableColumn id="12484" name="Columna12470" dataDxfId="20529" totalsRowDxfId="3905"/>
    <tableColumn id="12485" name="Columna12471" dataDxfId="20528" totalsRowDxfId="3904"/>
    <tableColumn id="12486" name="Columna12472" dataDxfId="20527" totalsRowDxfId="3903"/>
    <tableColumn id="12487" name="Columna12473" dataDxfId="20526" totalsRowDxfId="3902"/>
    <tableColumn id="12488" name="Columna12474" dataDxfId="20525" totalsRowDxfId="3901"/>
    <tableColumn id="12489" name="Columna12475" dataDxfId="20524" totalsRowDxfId="3900"/>
    <tableColumn id="12490" name="Columna12476" dataDxfId="20523" totalsRowDxfId="3899"/>
    <tableColumn id="12491" name="Columna12477" dataDxfId="20522" totalsRowDxfId="3898"/>
    <tableColumn id="12492" name="Columna12478" dataDxfId="20521" totalsRowDxfId="3897"/>
    <tableColumn id="12493" name="Columna12479" dataDxfId="20520" totalsRowDxfId="3896"/>
    <tableColumn id="12494" name="Columna12480" dataDxfId="20519" totalsRowDxfId="3895"/>
    <tableColumn id="12495" name="Columna12481" dataDxfId="20518" totalsRowDxfId="3894"/>
    <tableColumn id="12496" name="Columna12482" dataDxfId="20517" totalsRowDxfId="3893"/>
    <tableColumn id="12497" name="Columna12483" dataDxfId="20516" totalsRowDxfId="3892"/>
    <tableColumn id="12498" name="Columna12484" dataDxfId="20515" totalsRowDxfId="3891"/>
    <tableColumn id="12499" name="Columna12485" dataDxfId="20514" totalsRowDxfId="3890"/>
    <tableColumn id="12500" name="Columna12486" dataDxfId="20513" totalsRowDxfId="3889"/>
    <tableColumn id="12501" name="Columna12487" dataDxfId="20512" totalsRowDxfId="3888"/>
    <tableColumn id="12502" name="Columna12488" dataDxfId="20511" totalsRowDxfId="3887"/>
    <tableColumn id="12503" name="Columna12489" dataDxfId="20510" totalsRowDxfId="3886"/>
    <tableColumn id="12504" name="Columna12490" dataDxfId="20509" totalsRowDxfId="3885"/>
    <tableColumn id="12505" name="Columna12491" dataDxfId="20508" totalsRowDxfId="3884"/>
    <tableColumn id="12506" name="Columna12492" dataDxfId="20507" totalsRowDxfId="3883"/>
    <tableColumn id="12507" name="Columna12493" dataDxfId="20506" totalsRowDxfId="3882"/>
    <tableColumn id="12508" name="Columna12494" dataDxfId="20505" totalsRowDxfId="3881"/>
    <tableColumn id="12509" name="Columna12495" dataDxfId="20504" totalsRowDxfId="3880"/>
    <tableColumn id="12510" name="Columna12496" dataDxfId="20503" totalsRowDxfId="3879"/>
    <tableColumn id="12511" name="Columna12497" dataDxfId="20502" totalsRowDxfId="3878"/>
    <tableColumn id="12512" name="Columna12498" dataDxfId="20501" totalsRowDxfId="3877"/>
    <tableColumn id="12513" name="Columna12499" dataDxfId="20500" totalsRowDxfId="3876"/>
    <tableColumn id="12514" name="Columna12500" dataDxfId="20499" totalsRowDxfId="3875"/>
    <tableColumn id="12515" name="Columna12501" dataDxfId="20498" totalsRowDxfId="3874"/>
    <tableColumn id="12516" name="Columna12502" dataDxfId="20497" totalsRowDxfId="3873"/>
    <tableColumn id="12517" name="Columna12503" dataDxfId="20496" totalsRowDxfId="3872"/>
    <tableColumn id="12518" name="Columna12504" dataDxfId="20495" totalsRowDxfId="3871"/>
    <tableColumn id="12519" name="Columna12505" dataDxfId="20494" totalsRowDxfId="3870"/>
    <tableColumn id="12520" name="Columna12506" dataDxfId="20493" totalsRowDxfId="3869"/>
    <tableColumn id="12521" name="Columna12507" dataDxfId="20492" totalsRowDxfId="3868"/>
    <tableColumn id="12522" name="Columna12508" dataDxfId="20491" totalsRowDxfId="3867"/>
    <tableColumn id="12523" name="Columna12509" dataDxfId="20490" totalsRowDxfId="3866"/>
    <tableColumn id="12524" name="Columna12510" dataDxfId="20489" totalsRowDxfId="3865"/>
    <tableColumn id="12525" name="Columna12511" dataDxfId="20488" totalsRowDxfId="3864"/>
    <tableColumn id="12526" name="Columna12512" dataDxfId="20487" totalsRowDxfId="3863"/>
    <tableColumn id="12527" name="Columna12513" dataDxfId="20486" totalsRowDxfId="3862"/>
    <tableColumn id="12528" name="Columna12514" dataDxfId="20485" totalsRowDxfId="3861"/>
    <tableColumn id="12529" name="Columna12515" dataDxfId="20484" totalsRowDxfId="3860"/>
    <tableColumn id="12530" name="Columna12516" dataDxfId="20483" totalsRowDxfId="3859"/>
    <tableColumn id="12531" name="Columna12517" dataDxfId="20482" totalsRowDxfId="3858"/>
    <tableColumn id="12532" name="Columna12518" dataDxfId="20481" totalsRowDxfId="3857"/>
    <tableColumn id="12533" name="Columna12519" dataDxfId="20480" totalsRowDxfId="3856"/>
    <tableColumn id="12534" name="Columna12520" dataDxfId="20479" totalsRowDxfId="3855"/>
    <tableColumn id="12535" name="Columna12521" dataDxfId="20478" totalsRowDxfId="3854"/>
    <tableColumn id="12536" name="Columna12522" dataDxfId="20477" totalsRowDxfId="3853"/>
    <tableColumn id="12537" name="Columna12523" dataDxfId="20476" totalsRowDxfId="3852"/>
    <tableColumn id="12538" name="Columna12524" dataDxfId="20475" totalsRowDxfId="3851"/>
    <tableColumn id="12539" name="Columna12525" dataDxfId="20474" totalsRowDxfId="3850"/>
    <tableColumn id="12540" name="Columna12526" dataDxfId="20473" totalsRowDxfId="3849"/>
    <tableColumn id="12541" name="Columna12527" dataDxfId="20472" totalsRowDxfId="3848"/>
    <tableColumn id="12542" name="Columna12528" dataDxfId="20471" totalsRowDxfId="3847"/>
    <tableColumn id="12543" name="Columna12529" dataDxfId="20470" totalsRowDxfId="3846"/>
    <tableColumn id="12544" name="Columna12530" dataDxfId="20469" totalsRowDxfId="3845"/>
    <tableColumn id="12545" name="Columna12531" dataDxfId="20468" totalsRowDxfId="3844"/>
    <tableColumn id="12546" name="Columna12532" dataDxfId="20467" totalsRowDxfId="3843"/>
    <tableColumn id="12547" name="Columna12533" dataDxfId="20466" totalsRowDxfId="3842"/>
    <tableColumn id="12548" name="Columna12534" dataDxfId="20465" totalsRowDxfId="3841"/>
    <tableColumn id="12549" name="Columna12535" dataDxfId="20464" totalsRowDxfId="3840"/>
    <tableColumn id="12550" name="Columna12536" dataDxfId="20463" totalsRowDxfId="3839"/>
    <tableColumn id="12551" name="Columna12537" dataDxfId="20462" totalsRowDxfId="3838"/>
    <tableColumn id="12552" name="Columna12538" dataDxfId="20461" totalsRowDxfId="3837"/>
    <tableColumn id="12553" name="Columna12539" dataDxfId="20460" totalsRowDxfId="3836"/>
    <tableColumn id="12554" name="Columna12540" dataDxfId="20459" totalsRowDxfId="3835"/>
    <tableColumn id="12555" name="Columna12541" dataDxfId="20458" totalsRowDxfId="3834"/>
    <tableColumn id="12556" name="Columna12542" dataDxfId="20457" totalsRowDxfId="3833"/>
    <tableColumn id="12557" name="Columna12543" dataDxfId="20456" totalsRowDxfId="3832"/>
    <tableColumn id="12558" name="Columna12544" dataDxfId="20455" totalsRowDxfId="3831"/>
    <tableColumn id="12559" name="Columna12545" dataDxfId="20454" totalsRowDxfId="3830"/>
    <tableColumn id="12560" name="Columna12546" dataDxfId="20453" totalsRowDxfId="3829"/>
    <tableColumn id="12561" name="Columna12547" dataDxfId="20452" totalsRowDxfId="3828"/>
    <tableColumn id="12562" name="Columna12548" dataDxfId="20451" totalsRowDxfId="3827"/>
    <tableColumn id="12563" name="Columna12549" dataDxfId="20450" totalsRowDxfId="3826"/>
    <tableColumn id="12564" name="Columna12550" dataDxfId="20449" totalsRowDxfId="3825"/>
    <tableColumn id="12565" name="Columna12551" dataDxfId="20448" totalsRowDxfId="3824"/>
    <tableColumn id="12566" name="Columna12552" dataDxfId="20447" totalsRowDxfId="3823"/>
    <tableColumn id="12567" name="Columna12553" dataDxfId="20446" totalsRowDxfId="3822"/>
    <tableColumn id="12568" name="Columna12554" dataDxfId="20445" totalsRowDxfId="3821"/>
    <tableColumn id="12569" name="Columna12555" dataDxfId="20444" totalsRowDxfId="3820"/>
    <tableColumn id="12570" name="Columna12556" dataDxfId="20443" totalsRowDxfId="3819"/>
    <tableColumn id="12571" name="Columna12557" dataDxfId="20442" totalsRowDxfId="3818"/>
    <tableColumn id="12572" name="Columna12558" dataDxfId="20441" totalsRowDxfId="3817"/>
    <tableColumn id="12573" name="Columna12559" dataDxfId="20440" totalsRowDxfId="3816"/>
    <tableColumn id="12574" name="Columna12560" dataDxfId="20439" totalsRowDxfId="3815"/>
    <tableColumn id="12575" name="Columna12561" dataDxfId="20438" totalsRowDxfId="3814"/>
    <tableColumn id="12576" name="Columna12562" dataDxfId="20437" totalsRowDxfId="3813"/>
    <tableColumn id="12577" name="Columna12563" dataDxfId="20436" totalsRowDxfId="3812"/>
    <tableColumn id="12578" name="Columna12564" dataDxfId="20435" totalsRowDxfId="3811"/>
    <tableColumn id="12579" name="Columna12565" dataDxfId="20434" totalsRowDxfId="3810"/>
    <tableColumn id="12580" name="Columna12566" dataDxfId="20433" totalsRowDxfId="3809"/>
    <tableColumn id="12581" name="Columna12567" dataDxfId="20432" totalsRowDxfId="3808"/>
    <tableColumn id="12582" name="Columna12568" dataDxfId="20431" totalsRowDxfId="3807"/>
    <tableColumn id="12583" name="Columna12569" dataDxfId="20430" totalsRowDxfId="3806"/>
    <tableColumn id="12584" name="Columna12570" dataDxfId="20429" totalsRowDxfId="3805"/>
    <tableColumn id="12585" name="Columna12571" dataDxfId="20428" totalsRowDxfId="3804"/>
    <tableColumn id="12586" name="Columna12572" dataDxfId="20427" totalsRowDxfId="3803"/>
    <tableColumn id="12587" name="Columna12573" dataDxfId="20426" totalsRowDxfId="3802"/>
    <tableColumn id="12588" name="Columna12574" dataDxfId="20425" totalsRowDxfId="3801"/>
    <tableColumn id="12589" name="Columna12575" dataDxfId="20424" totalsRowDxfId="3800"/>
    <tableColumn id="12590" name="Columna12576" dataDxfId="20423" totalsRowDxfId="3799"/>
    <tableColumn id="12591" name="Columna12577" dataDxfId="20422" totalsRowDxfId="3798"/>
    <tableColumn id="12592" name="Columna12578" dataDxfId="20421" totalsRowDxfId="3797"/>
    <tableColumn id="12593" name="Columna12579" dataDxfId="20420" totalsRowDxfId="3796"/>
    <tableColumn id="12594" name="Columna12580" dataDxfId="20419" totalsRowDxfId="3795"/>
    <tableColumn id="12595" name="Columna12581" dataDxfId="20418" totalsRowDxfId="3794"/>
    <tableColumn id="12596" name="Columna12582" dataDxfId="20417" totalsRowDxfId="3793"/>
    <tableColumn id="12597" name="Columna12583" dataDxfId="20416" totalsRowDxfId="3792"/>
    <tableColumn id="12598" name="Columna12584" dataDxfId="20415" totalsRowDxfId="3791"/>
    <tableColumn id="12599" name="Columna12585" dataDxfId="20414" totalsRowDxfId="3790"/>
    <tableColumn id="12600" name="Columna12586" dataDxfId="20413" totalsRowDxfId="3789"/>
    <tableColumn id="12601" name="Columna12587" dataDxfId="20412" totalsRowDxfId="3788"/>
    <tableColumn id="12602" name="Columna12588" dataDxfId="20411" totalsRowDxfId="3787"/>
    <tableColumn id="12603" name="Columna12589" dataDxfId="20410" totalsRowDxfId="3786"/>
    <tableColumn id="12604" name="Columna12590" dataDxfId="20409" totalsRowDxfId="3785"/>
    <tableColumn id="12605" name="Columna12591" dataDxfId="20408" totalsRowDxfId="3784"/>
    <tableColumn id="12606" name="Columna12592" dataDxfId="20407" totalsRowDxfId="3783"/>
    <tableColumn id="12607" name="Columna12593" dataDxfId="20406" totalsRowDxfId="3782"/>
    <tableColumn id="12608" name="Columna12594" dataDxfId="20405" totalsRowDxfId="3781"/>
    <tableColumn id="12609" name="Columna12595" dataDxfId="20404" totalsRowDxfId="3780"/>
    <tableColumn id="12610" name="Columna12596" dataDxfId="20403" totalsRowDxfId="3779"/>
    <tableColumn id="12611" name="Columna12597" dataDxfId="20402" totalsRowDxfId="3778"/>
    <tableColumn id="12612" name="Columna12598" dataDxfId="20401" totalsRowDxfId="3777"/>
    <tableColumn id="12613" name="Columna12599" dataDxfId="20400" totalsRowDxfId="3776"/>
    <tableColumn id="12614" name="Columna12600" dataDxfId="20399" totalsRowDxfId="3775"/>
    <tableColumn id="12615" name="Columna12601" dataDxfId="20398" totalsRowDxfId="3774"/>
    <tableColumn id="12616" name="Columna12602" dataDxfId="20397" totalsRowDxfId="3773"/>
    <tableColumn id="12617" name="Columna12603" dataDxfId="20396" totalsRowDxfId="3772"/>
    <tableColumn id="12618" name="Columna12604" dataDxfId="20395" totalsRowDxfId="3771"/>
    <tableColumn id="12619" name="Columna12605" dataDxfId="20394" totalsRowDxfId="3770"/>
    <tableColumn id="12620" name="Columna12606" dataDxfId="20393" totalsRowDxfId="3769"/>
    <tableColumn id="12621" name="Columna12607" dataDxfId="20392" totalsRowDxfId="3768"/>
    <tableColumn id="12622" name="Columna12608" dataDxfId="20391" totalsRowDxfId="3767"/>
    <tableColumn id="12623" name="Columna12609" dataDxfId="20390" totalsRowDxfId="3766"/>
    <tableColumn id="12624" name="Columna12610" dataDxfId="20389" totalsRowDxfId="3765"/>
    <tableColumn id="12625" name="Columna12611" dataDxfId="20388" totalsRowDxfId="3764"/>
    <tableColumn id="12626" name="Columna12612" dataDxfId="20387" totalsRowDxfId="3763"/>
    <tableColumn id="12627" name="Columna12613" dataDxfId="20386" totalsRowDxfId="3762"/>
    <tableColumn id="12628" name="Columna12614" dataDxfId="20385" totalsRowDxfId="3761"/>
    <tableColumn id="12629" name="Columna12615" dataDxfId="20384" totalsRowDxfId="3760"/>
    <tableColumn id="12630" name="Columna12616" dataDxfId="20383" totalsRowDxfId="3759"/>
    <tableColumn id="12631" name="Columna12617" dataDxfId="20382" totalsRowDxfId="3758"/>
    <tableColumn id="12632" name="Columna12618" dataDxfId="20381" totalsRowDxfId="3757"/>
    <tableColumn id="12633" name="Columna12619" dataDxfId="20380" totalsRowDxfId="3756"/>
    <tableColumn id="12634" name="Columna12620" dataDxfId="20379" totalsRowDxfId="3755"/>
    <tableColumn id="12635" name="Columna12621" dataDxfId="20378" totalsRowDxfId="3754"/>
    <tableColumn id="12636" name="Columna12622" dataDxfId="20377" totalsRowDxfId="3753"/>
    <tableColumn id="12637" name="Columna12623" dataDxfId="20376" totalsRowDxfId="3752"/>
    <tableColumn id="12638" name="Columna12624" dataDxfId="20375" totalsRowDxfId="3751"/>
    <tableColumn id="12639" name="Columna12625" dataDxfId="20374" totalsRowDxfId="3750"/>
    <tableColumn id="12640" name="Columna12626" dataDxfId="20373" totalsRowDxfId="3749"/>
    <tableColumn id="12641" name="Columna12627" dataDxfId="20372" totalsRowDxfId="3748"/>
    <tableColumn id="12642" name="Columna12628" dataDxfId="20371" totalsRowDxfId="3747"/>
    <tableColumn id="12643" name="Columna12629" dataDxfId="20370" totalsRowDxfId="3746"/>
    <tableColumn id="12644" name="Columna12630" dataDxfId="20369" totalsRowDxfId="3745"/>
    <tableColumn id="12645" name="Columna12631" dataDxfId="20368" totalsRowDxfId="3744"/>
    <tableColumn id="12646" name="Columna12632" dataDxfId="20367" totalsRowDxfId="3743"/>
    <tableColumn id="12647" name="Columna12633" dataDxfId="20366" totalsRowDxfId="3742"/>
    <tableColumn id="12648" name="Columna12634" dataDxfId="20365" totalsRowDxfId="3741"/>
    <tableColumn id="12649" name="Columna12635" dataDxfId="20364" totalsRowDxfId="3740"/>
    <tableColumn id="12650" name="Columna12636" dataDxfId="20363" totalsRowDxfId="3739"/>
    <tableColumn id="12651" name="Columna12637" dataDxfId="20362" totalsRowDxfId="3738"/>
    <tableColumn id="12652" name="Columna12638" dataDxfId="20361" totalsRowDxfId="3737"/>
    <tableColumn id="12653" name="Columna12639" dataDxfId="20360" totalsRowDxfId="3736"/>
    <tableColumn id="12654" name="Columna12640" dataDxfId="20359" totalsRowDxfId="3735"/>
    <tableColumn id="12655" name="Columna12641" dataDxfId="20358" totalsRowDxfId="3734"/>
    <tableColumn id="12656" name="Columna12642" dataDxfId="20357" totalsRowDxfId="3733"/>
    <tableColumn id="12657" name="Columna12643" dataDxfId="20356" totalsRowDxfId="3732"/>
    <tableColumn id="12658" name="Columna12644" dataDxfId="20355" totalsRowDxfId="3731"/>
    <tableColumn id="12659" name="Columna12645" dataDxfId="20354" totalsRowDxfId="3730"/>
    <tableColumn id="12660" name="Columna12646" dataDxfId="20353" totalsRowDxfId="3729"/>
    <tableColumn id="12661" name="Columna12647" dataDxfId="20352" totalsRowDxfId="3728"/>
    <tableColumn id="12662" name="Columna12648" dataDxfId="20351" totalsRowDxfId="3727"/>
    <tableColumn id="12663" name="Columna12649" dataDxfId="20350" totalsRowDxfId="3726"/>
    <tableColumn id="12664" name="Columna12650" dataDxfId="20349" totalsRowDxfId="3725"/>
    <tableColumn id="12665" name="Columna12651" dataDxfId="20348" totalsRowDxfId="3724"/>
    <tableColumn id="12666" name="Columna12652" dataDxfId="20347" totalsRowDxfId="3723"/>
    <tableColumn id="12667" name="Columna12653" dataDxfId="20346" totalsRowDxfId="3722"/>
    <tableColumn id="12668" name="Columna12654" dataDxfId="20345" totalsRowDxfId="3721"/>
    <tableColumn id="12669" name="Columna12655" dataDxfId="20344" totalsRowDxfId="3720"/>
    <tableColumn id="12670" name="Columna12656" dataDxfId="20343" totalsRowDxfId="3719"/>
    <tableColumn id="12671" name="Columna12657" dataDxfId="20342" totalsRowDxfId="3718"/>
    <tableColumn id="12672" name="Columna12658" dataDxfId="20341" totalsRowDxfId="3717"/>
    <tableColumn id="12673" name="Columna12659" dataDxfId="20340" totalsRowDxfId="3716"/>
    <tableColumn id="12674" name="Columna12660" dataDxfId="20339" totalsRowDxfId="3715"/>
    <tableColumn id="12675" name="Columna12661" dataDxfId="20338" totalsRowDxfId="3714"/>
    <tableColumn id="12676" name="Columna12662" dataDxfId="20337" totalsRowDxfId="3713"/>
    <tableColumn id="12677" name="Columna12663" dataDxfId="20336" totalsRowDxfId="3712"/>
    <tableColumn id="12678" name="Columna12664" dataDxfId="20335" totalsRowDxfId="3711"/>
    <tableColumn id="12679" name="Columna12665" dataDxfId="20334" totalsRowDxfId="3710"/>
    <tableColumn id="12680" name="Columna12666" dataDxfId="20333" totalsRowDxfId="3709"/>
    <tableColumn id="12681" name="Columna12667" dataDxfId="20332" totalsRowDxfId="3708"/>
    <tableColumn id="12682" name="Columna12668" dataDxfId="20331" totalsRowDxfId="3707"/>
    <tableColumn id="12683" name="Columna12669" dataDxfId="20330" totalsRowDxfId="3706"/>
    <tableColumn id="12684" name="Columna12670" dataDxfId="20329" totalsRowDxfId="3705"/>
    <tableColumn id="12685" name="Columna12671" dataDxfId="20328" totalsRowDxfId="3704"/>
    <tableColumn id="12686" name="Columna12672" dataDxfId="20327" totalsRowDxfId="3703"/>
    <tableColumn id="12687" name="Columna12673" dataDxfId="20326" totalsRowDxfId="3702"/>
    <tableColumn id="12688" name="Columna12674" dataDxfId="20325" totalsRowDxfId="3701"/>
    <tableColumn id="12689" name="Columna12675" dataDxfId="20324" totalsRowDxfId="3700"/>
    <tableColumn id="12690" name="Columna12676" dataDxfId="20323" totalsRowDxfId="3699"/>
    <tableColumn id="12691" name="Columna12677" dataDxfId="20322" totalsRowDxfId="3698"/>
    <tableColumn id="12692" name="Columna12678" dataDxfId="20321" totalsRowDxfId="3697"/>
    <tableColumn id="12693" name="Columna12679" dataDxfId="20320" totalsRowDxfId="3696"/>
    <tableColumn id="12694" name="Columna12680" dataDxfId="20319" totalsRowDxfId="3695"/>
    <tableColumn id="12695" name="Columna12681" dataDxfId="20318" totalsRowDxfId="3694"/>
    <tableColumn id="12696" name="Columna12682" dataDxfId="20317" totalsRowDxfId="3693"/>
    <tableColumn id="12697" name="Columna12683" dataDxfId="20316" totalsRowDxfId="3692"/>
    <tableColumn id="12698" name="Columna12684" dataDxfId="20315" totalsRowDxfId="3691"/>
    <tableColumn id="12699" name="Columna12685" dataDxfId="20314" totalsRowDxfId="3690"/>
    <tableColumn id="12700" name="Columna12686" dataDxfId="20313" totalsRowDxfId="3689"/>
    <tableColumn id="12701" name="Columna12687" dataDxfId="20312" totalsRowDxfId="3688"/>
    <tableColumn id="12702" name="Columna12688" dataDxfId="20311" totalsRowDxfId="3687"/>
    <tableColumn id="12703" name="Columna12689" dataDxfId="20310" totalsRowDxfId="3686"/>
    <tableColumn id="12704" name="Columna12690" dataDxfId="20309" totalsRowDxfId="3685"/>
    <tableColumn id="12705" name="Columna12691" dataDxfId="20308" totalsRowDxfId="3684"/>
    <tableColumn id="12706" name="Columna12692" dataDxfId="20307" totalsRowDxfId="3683"/>
    <tableColumn id="12707" name="Columna12693" dataDxfId="20306" totalsRowDxfId="3682"/>
    <tableColumn id="12708" name="Columna12694" dataDxfId="20305" totalsRowDxfId="3681"/>
    <tableColumn id="12709" name="Columna12695" dataDxfId="20304" totalsRowDxfId="3680"/>
    <tableColumn id="12710" name="Columna12696" dataDxfId="20303" totalsRowDxfId="3679"/>
    <tableColumn id="12711" name="Columna12697" dataDxfId="20302" totalsRowDxfId="3678"/>
    <tableColumn id="12712" name="Columna12698" dataDxfId="20301" totalsRowDxfId="3677"/>
    <tableColumn id="12713" name="Columna12699" dataDxfId="20300" totalsRowDxfId="3676"/>
    <tableColumn id="12714" name="Columna12700" dataDxfId="20299" totalsRowDxfId="3675"/>
    <tableColumn id="12715" name="Columna12701" dataDxfId="20298" totalsRowDxfId="3674"/>
    <tableColumn id="12716" name="Columna12702" dataDxfId="20297" totalsRowDxfId="3673"/>
    <tableColumn id="12717" name="Columna12703" dataDxfId="20296" totalsRowDxfId="3672"/>
    <tableColumn id="12718" name="Columna12704" dataDxfId="20295" totalsRowDxfId="3671"/>
    <tableColumn id="12719" name="Columna12705" dataDxfId="20294" totalsRowDxfId="3670"/>
    <tableColumn id="12720" name="Columna12706" dataDxfId="20293" totalsRowDxfId="3669"/>
    <tableColumn id="12721" name="Columna12707" dataDxfId="20292" totalsRowDxfId="3668"/>
    <tableColumn id="12722" name="Columna12708" dataDxfId="20291" totalsRowDxfId="3667"/>
    <tableColumn id="12723" name="Columna12709" dataDxfId="20290" totalsRowDxfId="3666"/>
    <tableColumn id="12724" name="Columna12710" dataDxfId="20289" totalsRowDxfId="3665"/>
    <tableColumn id="12725" name="Columna12711" dataDxfId="20288" totalsRowDxfId="3664"/>
    <tableColumn id="12726" name="Columna12712" dataDxfId="20287" totalsRowDxfId="3663"/>
    <tableColumn id="12727" name="Columna12713" dataDxfId="20286" totalsRowDxfId="3662"/>
    <tableColumn id="12728" name="Columna12714" dataDxfId="20285" totalsRowDxfId="3661"/>
    <tableColumn id="12729" name="Columna12715" dataDxfId="20284" totalsRowDxfId="3660"/>
    <tableColumn id="12730" name="Columna12716" dataDxfId="20283" totalsRowDxfId="3659"/>
    <tableColumn id="12731" name="Columna12717" dataDxfId="20282" totalsRowDxfId="3658"/>
    <tableColumn id="12732" name="Columna12718" dataDxfId="20281" totalsRowDxfId="3657"/>
    <tableColumn id="12733" name="Columna12719" dataDxfId="20280" totalsRowDxfId="3656"/>
    <tableColumn id="12734" name="Columna12720" dataDxfId="20279" totalsRowDxfId="3655"/>
    <tableColumn id="12735" name="Columna12721" dataDxfId="20278" totalsRowDxfId="3654"/>
    <tableColumn id="12736" name="Columna12722" dataDxfId="20277" totalsRowDxfId="3653"/>
    <tableColumn id="12737" name="Columna12723" dataDxfId="20276" totalsRowDxfId="3652"/>
    <tableColumn id="12738" name="Columna12724" dataDxfId="20275" totalsRowDxfId="3651"/>
    <tableColumn id="12739" name="Columna12725" dataDxfId="20274" totalsRowDxfId="3650"/>
    <tableColumn id="12740" name="Columna12726" dataDxfId="20273" totalsRowDxfId="3649"/>
    <tableColumn id="12741" name="Columna12727" dataDxfId="20272" totalsRowDxfId="3648"/>
    <tableColumn id="12742" name="Columna12728" dataDxfId="20271" totalsRowDxfId="3647"/>
    <tableColumn id="12743" name="Columna12729" dataDxfId="20270" totalsRowDxfId="3646"/>
    <tableColumn id="12744" name="Columna12730" dataDxfId="20269" totalsRowDxfId="3645"/>
    <tableColumn id="12745" name="Columna12731" dataDxfId="20268" totalsRowDxfId="3644"/>
    <tableColumn id="12746" name="Columna12732" dataDxfId="20267" totalsRowDxfId="3643"/>
    <tableColumn id="12747" name="Columna12733" dataDxfId="20266" totalsRowDxfId="3642"/>
    <tableColumn id="12748" name="Columna12734" dataDxfId="20265" totalsRowDxfId="3641"/>
    <tableColumn id="12749" name="Columna12735" dataDxfId="20264" totalsRowDxfId="3640"/>
    <tableColumn id="12750" name="Columna12736" dataDxfId="20263" totalsRowDxfId="3639"/>
    <tableColumn id="12751" name="Columna12737" dataDxfId="20262" totalsRowDxfId="3638"/>
    <tableColumn id="12752" name="Columna12738" dataDxfId="20261" totalsRowDxfId="3637"/>
    <tableColumn id="12753" name="Columna12739" dataDxfId="20260" totalsRowDxfId="3636"/>
    <tableColumn id="12754" name="Columna12740" dataDxfId="20259" totalsRowDxfId="3635"/>
    <tableColumn id="12755" name="Columna12741" dataDxfId="20258" totalsRowDxfId="3634"/>
    <tableColumn id="12756" name="Columna12742" dataDxfId="20257" totalsRowDxfId="3633"/>
    <tableColumn id="12757" name="Columna12743" dataDxfId="20256" totalsRowDxfId="3632"/>
    <tableColumn id="12758" name="Columna12744" dataDxfId="20255" totalsRowDxfId="3631"/>
    <tableColumn id="12759" name="Columna12745" dataDxfId="20254" totalsRowDxfId="3630"/>
    <tableColumn id="12760" name="Columna12746" dataDxfId="20253" totalsRowDxfId="3629"/>
    <tableColumn id="12761" name="Columna12747" dataDxfId="20252" totalsRowDxfId="3628"/>
    <tableColumn id="12762" name="Columna12748" dataDxfId="20251" totalsRowDxfId="3627"/>
    <tableColumn id="12763" name="Columna12749" dataDxfId="20250" totalsRowDxfId="3626"/>
    <tableColumn id="12764" name="Columna12750" dataDxfId="20249" totalsRowDxfId="3625"/>
    <tableColumn id="12765" name="Columna12751" dataDxfId="20248" totalsRowDxfId="3624"/>
    <tableColumn id="12766" name="Columna12752" dataDxfId="20247" totalsRowDxfId="3623"/>
    <tableColumn id="12767" name="Columna12753" dataDxfId="20246" totalsRowDxfId="3622"/>
    <tableColumn id="12768" name="Columna12754" dataDxfId="20245" totalsRowDxfId="3621"/>
    <tableColumn id="12769" name="Columna12755" dataDxfId="20244" totalsRowDxfId="3620"/>
    <tableColumn id="12770" name="Columna12756" dataDxfId="20243" totalsRowDxfId="3619"/>
    <tableColumn id="12771" name="Columna12757" dataDxfId="20242" totalsRowDxfId="3618"/>
    <tableColumn id="12772" name="Columna12758" dataDxfId="20241" totalsRowDxfId="3617"/>
    <tableColumn id="12773" name="Columna12759" dataDxfId="20240" totalsRowDxfId="3616"/>
    <tableColumn id="12774" name="Columna12760" dataDxfId="20239" totalsRowDxfId="3615"/>
    <tableColumn id="12775" name="Columna12761" dataDxfId="20238" totalsRowDxfId="3614"/>
    <tableColumn id="12776" name="Columna12762" dataDxfId="20237" totalsRowDxfId="3613"/>
    <tableColumn id="12777" name="Columna12763" dataDxfId="20236" totalsRowDxfId="3612"/>
    <tableColumn id="12778" name="Columna12764" dataDxfId="20235" totalsRowDxfId="3611"/>
    <tableColumn id="12779" name="Columna12765" dataDxfId="20234" totalsRowDxfId="3610"/>
    <tableColumn id="12780" name="Columna12766" dataDxfId="20233" totalsRowDxfId="3609"/>
    <tableColumn id="12781" name="Columna12767" dataDxfId="20232" totalsRowDxfId="3608"/>
    <tableColumn id="12782" name="Columna12768" dataDxfId="20231" totalsRowDxfId="3607"/>
    <tableColumn id="12783" name="Columna12769" dataDxfId="20230" totalsRowDxfId="3606"/>
    <tableColumn id="12784" name="Columna12770" dataDxfId="20229" totalsRowDxfId="3605"/>
    <tableColumn id="12785" name="Columna12771" dataDxfId="20228" totalsRowDxfId="3604"/>
    <tableColumn id="12786" name="Columna12772" dataDxfId="20227" totalsRowDxfId="3603"/>
    <tableColumn id="12787" name="Columna12773" dataDxfId="20226" totalsRowDxfId="3602"/>
    <tableColumn id="12788" name="Columna12774" dataDxfId="20225" totalsRowDxfId="3601"/>
    <tableColumn id="12789" name="Columna12775" dataDxfId="20224" totalsRowDxfId="3600"/>
    <tableColumn id="12790" name="Columna12776" dataDxfId="20223" totalsRowDxfId="3599"/>
    <tableColumn id="12791" name="Columna12777" dataDxfId="20222" totalsRowDxfId="3598"/>
    <tableColumn id="12792" name="Columna12778" dataDxfId="20221" totalsRowDxfId="3597"/>
    <tableColumn id="12793" name="Columna12779" dataDxfId="20220" totalsRowDxfId="3596"/>
    <tableColumn id="12794" name="Columna12780" dataDxfId="20219" totalsRowDxfId="3595"/>
    <tableColumn id="12795" name="Columna12781" dataDxfId="20218" totalsRowDxfId="3594"/>
    <tableColumn id="12796" name="Columna12782" dataDxfId="20217" totalsRowDxfId="3593"/>
    <tableColumn id="12797" name="Columna12783" dataDxfId="20216" totalsRowDxfId="3592"/>
    <tableColumn id="12798" name="Columna12784" dataDxfId="20215" totalsRowDxfId="3591"/>
    <tableColumn id="12799" name="Columna12785" dataDxfId="20214" totalsRowDxfId="3590"/>
    <tableColumn id="12800" name="Columna12786" dataDxfId="20213" totalsRowDxfId="3589"/>
    <tableColumn id="12801" name="Columna12787" dataDxfId="20212" totalsRowDxfId="3588"/>
    <tableColumn id="12802" name="Columna12788" dataDxfId="20211" totalsRowDxfId="3587"/>
    <tableColumn id="12803" name="Columna12789" dataDxfId="20210" totalsRowDxfId="3586"/>
    <tableColumn id="12804" name="Columna12790" dataDxfId="20209" totalsRowDxfId="3585"/>
    <tableColumn id="12805" name="Columna12791" dataDxfId="20208" totalsRowDxfId="3584"/>
    <tableColumn id="12806" name="Columna12792" dataDxfId="20207" totalsRowDxfId="3583"/>
    <tableColumn id="12807" name="Columna12793" dataDxfId="20206" totalsRowDxfId="3582"/>
    <tableColumn id="12808" name="Columna12794" dataDxfId="20205" totalsRowDxfId="3581"/>
    <tableColumn id="12809" name="Columna12795" dataDxfId="20204" totalsRowDxfId="3580"/>
    <tableColumn id="12810" name="Columna12796" dataDxfId="20203" totalsRowDxfId="3579"/>
    <tableColumn id="12811" name="Columna12797" dataDxfId="20202" totalsRowDxfId="3578"/>
    <tableColumn id="12812" name="Columna12798" dataDxfId="20201" totalsRowDxfId="3577"/>
    <tableColumn id="12813" name="Columna12799" dataDxfId="20200" totalsRowDxfId="3576"/>
    <tableColumn id="12814" name="Columna12800" dataDxfId="20199" totalsRowDxfId="3575"/>
    <tableColumn id="12815" name="Columna12801" dataDxfId="20198" totalsRowDxfId="3574"/>
    <tableColumn id="12816" name="Columna12802" dataDxfId="20197" totalsRowDxfId="3573"/>
    <tableColumn id="12817" name="Columna12803" dataDxfId="20196" totalsRowDxfId="3572"/>
    <tableColumn id="12818" name="Columna12804" dataDxfId="20195" totalsRowDxfId="3571"/>
    <tableColumn id="12819" name="Columna12805" dataDxfId="20194" totalsRowDxfId="3570"/>
    <tableColumn id="12820" name="Columna12806" dataDxfId="20193" totalsRowDxfId="3569"/>
    <tableColumn id="12821" name="Columna12807" dataDxfId="20192" totalsRowDxfId="3568"/>
    <tableColumn id="12822" name="Columna12808" dataDxfId="20191" totalsRowDxfId="3567"/>
    <tableColumn id="12823" name="Columna12809" dataDxfId="20190" totalsRowDxfId="3566"/>
    <tableColumn id="12824" name="Columna12810" dataDxfId="20189" totalsRowDxfId="3565"/>
    <tableColumn id="12825" name="Columna12811" dataDxfId="20188" totalsRowDxfId="3564"/>
    <tableColumn id="12826" name="Columna12812" dataDxfId="20187" totalsRowDxfId="3563"/>
    <tableColumn id="12827" name="Columna12813" dataDxfId="20186" totalsRowDxfId="3562"/>
    <tableColumn id="12828" name="Columna12814" dataDxfId="20185" totalsRowDxfId="3561"/>
    <tableColumn id="12829" name="Columna12815" dataDxfId="20184" totalsRowDxfId="3560"/>
    <tableColumn id="12830" name="Columna12816" dataDxfId="20183" totalsRowDxfId="3559"/>
    <tableColumn id="12831" name="Columna12817" dataDxfId="20182" totalsRowDxfId="3558"/>
    <tableColumn id="12832" name="Columna12818" dataDxfId="20181" totalsRowDxfId="3557"/>
    <tableColumn id="12833" name="Columna12819" dataDxfId="20180" totalsRowDxfId="3556"/>
    <tableColumn id="12834" name="Columna12820" dataDxfId="20179" totalsRowDxfId="3555"/>
    <tableColumn id="12835" name="Columna12821" dataDxfId="20178" totalsRowDxfId="3554"/>
    <tableColumn id="12836" name="Columna12822" dataDxfId="20177" totalsRowDxfId="3553"/>
    <tableColumn id="12837" name="Columna12823" dataDxfId="20176" totalsRowDxfId="3552"/>
    <tableColumn id="12838" name="Columna12824" dataDxfId="20175" totalsRowDxfId="3551"/>
    <tableColumn id="12839" name="Columna12825" dataDxfId="20174" totalsRowDxfId="3550"/>
    <tableColumn id="12840" name="Columna12826" dataDxfId="20173" totalsRowDxfId="3549"/>
    <tableColumn id="12841" name="Columna12827" dataDxfId="20172" totalsRowDxfId="3548"/>
    <tableColumn id="12842" name="Columna12828" dataDxfId="20171" totalsRowDxfId="3547"/>
    <tableColumn id="12843" name="Columna12829" dataDxfId="20170" totalsRowDxfId="3546"/>
    <tableColumn id="12844" name="Columna12830" dataDxfId="20169" totalsRowDxfId="3545"/>
    <tableColumn id="12845" name="Columna12831" dataDxfId="20168" totalsRowDxfId="3544"/>
    <tableColumn id="12846" name="Columna12832" dataDxfId="20167" totalsRowDxfId="3543"/>
    <tableColumn id="12847" name="Columna12833" dataDxfId="20166" totalsRowDxfId="3542"/>
    <tableColumn id="12848" name="Columna12834" dataDxfId="20165" totalsRowDxfId="3541"/>
    <tableColumn id="12849" name="Columna12835" dataDxfId="20164" totalsRowDxfId="3540"/>
    <tableColumn id="12850" name="Columna12836" dataDxfId="20163" totalsRowDxfId="3539"/>
    <tableColumn id="12851" name="Columna12837" dataDxfId="20162" totalsRowDxfId="3538"/>
    <tableColumn id="12852" name="Columna12838" dataDxfId="20161" totalsRowDxfId="3537"/>
    <tableColumn id="12853" name="Columna12839" dataDxfId="20160" totalsRowDxfId="3536"/>
    <tableColumn id="12854" name="Columna12840" dataDxfId="20159" totalsRowDxfId="3535"/>
    <tableColumn id="12855" name="Columna12841" dataDxfId="20158" totalsRowDxfId="3534"/>
    <tableColumn id="12856" name="Columna12842" dataDxfId="20157" totalsRowDxfId="3533"/>
    <tableColumn id="12857" name="Columna12843" dataDxfId="20156" totalsRowDxfId="3532"/>
    <tableColumn id="12858" name="Columna12844" dataDxfId="20155" totalsRowDxfId="3531"/>
    <tableColumn id="12859" name="Columna12845" dataDxfId="20154" totalsRowDxfId="3530"/>
    <tableColumn id="12860" name="Columna12846" dataDxfId="20153" totalsRowDxfId="3529"/>
    <tableColumn id="12861" name="Columna12847" dataDxfId="20152" totalsRowDxfId="3528"/>
    <tableColumn id="12862" name="Columna12848" dataDxfId="20151" totalsRowDxfId="3527"/>
    <tableColumn id="12863" name="Columna12849" dataDxfId="20150" totalsRowDxfId="3526"/>
    <tableColumn id="12864" name="Columna12850" dataDxfId="20149" totalsRowDxfId="3525"/>
    <tableColumn id="12865" name="Columna12851" dataDxfId="20148" totalsRowDxfId="3524"/>
    <tableColumn id="12866" name="Columna12852" dataDxfId="20147" totalsRowDxfId="3523"/>
    <tableColumn id="12867" name="Columna12853" dataDxfId="20146" totalsRowDxfId="3522"/>
    <tableColumn id="12868" name="Columna12854" dataDxfId="20145" totalsRowDxfId="3521"/>
    <tableColumn id="12869" name="Columna12855" dataDxfId="20144" totalsRowDxfId="3520"/>
    <tableColumn id="12870" name="Columna12856" dataDxfId="20143" totalsRowDxfId="3519"/>
    <tableColumn id="12871" name="Columna12857" dataDxfId="20142" totalsRowDxfId="3518"/>
    <tableColumn id="12872" name="Columna12858" dataDxfId="20141" totalsRowDxfId="3517"/>
    <tableColumn id="12873" name="Columna12859" dataDxfId="20140" totalsRowDxfId="3516"/>
    <tableColumn id="12874" name="Columna12860" dataDxfId="20139" totalsRowDxfId="3515"/>
    <tableColumn id="12875" name="Columna12861" dataDxfId="20138" totalsRowDxfId="3514"/>
    <tableColumn id="12876" name="Columna12862" dataDxfId="20137" totalsRowDxfId="3513"/>
    <tableColumn id="12877" name="Columna12863" dataDxfId="20136" totalsRowDxfId="3512"/>
    <tableColumn id="12878" name="Columna12864" dataDxfId="20135" totalsRowDxfId="3511"/>
    <tableColumn id="12879" name="Columna12865" dataDxfId="20134" totalsRowDxfId="3510"/>
    <tableColumn id="12880" name="Columna12866" dataDxfId="20133" totalsRowDxfId="3509"/>
    <tableColumn id="12881" name="Columna12867" dataDxfId="20132" totalsRowDxfId="3508"/>
    <tableColumn id="12882" name="Columna12868" dataDxfId="20131" totalsRowDxfId="3507"/>
    <tableColumn id="12883" name="Columna12869" dataDxfId="20130" totalsRowDxfId="3506"/>
    <tableColumn id="12884" name="Columna12870" dataDxfId="20129" totalsRowDxfId="3505"/>
    <tableColumn id="12885" name="Columna12871" dataDxfId="20128" totalsRowDxfId="3504"/>
    <tableColumn id="12886" name="Columna12872" dataDxfId="20127" totalsRowDxfId="3503"/>
    <tableColumn id="12887" name="Columna12873" dataDxfId="20126" totalsRowDxfId="3502"/>
    <tableColumn id="12888" name="Columna12874" dataDxfId="20125" totalsRowDxfId="3501"/>
    <tableColumn id="12889" name="Columna12875" dataDxfId="20124" totalsRowDxfId="3500"/>
    <tableColumn id="12890" name="Columna12876" dataDxfId="20123" totalsRowDxfId="3499"/>
    <tableColumn id="12891" name="Columna12877" dataDxfId="20122" totalsRowDxfId="3498"/>
    <tableColumn id="12892" name="Columna12878" dataDxfId="20121" totalsRowDxfId="3497"/>
    <tableColumn id="12893" name="Columna12879" dataDxfId="20120" totalsRowDxfId="3496"/>
    <tableColumn id="12894" name="Columna12880" dataDxfId="20119" totalsRowDxfId="3495"/>
    <tableColumn id="12895" name="Columna12881" dataDxfId="20118" totalsRowDxfId="3494"/>
    <tableColumn id="12896" name="Columna12882" dataDxfId="20117" totalsRowDxfId="3493"/>
    <tableColumn id="12897" name="Columna12883" dataDxfId="20116" totalsRowDxfId="3492"/>
    <tableColumn id="12898" name="Columna12884" dataDxfId="20115" totalsRowDxfId="3491"/>
    <tableColumn id="12899" name="Columna12885" dataDxfId="20114" totalsRowDxfId="3490"/>
    <tableColumn id="12900" name="Columna12886" dataDxfId="20113" totalsRowDxfId="3489"/>
    <tableColumn id="12901" name="Columna12887" dataDxfId="20112" totalsRowDxfId="3488"/>
    <tableColumn id="12902" name="Columna12888" dataDxfId="20111" totalsRowDxfId="3487"/>
    <tableColumn id="12903" name="Columna12889" dataDxfId="20110" totalsRowDxfId="3486"/>
    <tableColumn id="12904" name="Columna12890" dataDxfId="20109" totalsRowDxfId="3485"/>
    <tableColumn id="12905" name="Columna12891" dataDxfId="20108" totalsRowDxfId="3484"/>
    <tableColumn id="12906" name="Columna12892" dataDxfId="20107" totalsRowDxfId="3483"/>
    <tableColumn id="12907" name="Columna12893" dataDxfId="20106" totalsRowDxfId="3482"/>
    <tableColumn id="12908" name="Columna12894" dataDxfId="20105" totalsRowDxfId="3481"/>
    <tableColumn id="12909" name="Columna12895" dataDxfId="20104" totalsRowDxfId="3480"/>
    <tableColumn id="12910" name="Columna12896" dataDxfId="20103" totalsRowDxfId="3479"/>
    <tableColumn id="12911" name="Columna12897" dataDxfId="20102" totalsRowDxfId="3478"/>
    <tableColumn id="12912" name="Columna12898" dataDxfId="20101" totalsRowDxfId="3477"/>
    <tableColumn id="12913" name="Columna12899" dataDxfId="20100" totalsRowDxfId="3476"/>
    <tableColumn id="12914" name="Columna12900" dataDxfId="20099" totalsRowDxfId="3475"/>
    <tableColumn id="12915" name="Columna12901" dataDxfId="20098" totalsRowDxfId="3474"/>
    <tableColumn id="12916" name="Columna12902" dataDxfId="20097" totalsRowDxfId="3473"/>
    <tableColumn id="12917" name="Columna12903" dataDxfId="20096" totalsRowDxfId="3472"/>
    <tableColumn id="12918" name="Columna12904" dataDxfId="20095" totalsRowDxfId="3471"/>
    <tableColumn id="12919" name="Columna12905" dataDxfId="20094" totalsRowDxfId="3470"/>
    <tableColumn id="12920" name="Columna12906" dataDxfId="20093" totalsRowDxfId="3469"/>
    <tableColumn id="12921" name="Columna12907" dataDxfId="20092" totalsRowDxfId="3468"/>
    <tableColumn id="12922" name="Columna12908" dataDxfId="20091" totalsRowDxfId="3467"/>
    <tableColumn id="12923" name="Columna12909" dataDxfId="20090" totalsRowDxfId="3466"/>
    <tableColumn id="12924" name="Columna12910" dataDxfId="20089" totalsRowDxfId="3465"/>
    <tableColumn id="12925" name="Columna12911" dataDxfId="20088" totalsRowDxfId="3464"/>
    <tableColumn id="12926" name="Columna12912" dataDxfId="20087" totalsRowDxfId="3463"/>
    <tableColumn id="12927" name="Columna12913" dataDxfId="20086" totalsRowDxfId="3462"/>
    <tableColumn id="12928" name="Columna12914" dataDxfId="20085" totalsRowDxfId="3461"/>
    <tableColumn id="12929" name="Columna12915" dataDxfId="20084" totalsRowDxfId="3460"/>
    <tableColumn id="12930" name="Columna12916" dataDxfId="20083" totalsRowDxfId="3459"/>
    <tableColumn id="12931" name="Columna12917" dataDxfId="20082" totalsRowDxfId="3458"/>
    <tableColumn id="12932" name="Columna12918" dataDxfId="20081" totalsRowDxfId="3457"/>
    <tableColumn id="12933" name="Columna12919" dataDxfId="20080" totalsRowDxfId="3456"/>
    <tableColumn id="12934" name="Columna12920" dataDxfId="20079" totalsRowDxfId="3455"/>
    <tableColumn id="12935" name="Columna12921" dataDxfId="20078" totalsRowDxfId="3454"/>
    <tableColumn id="12936" name="Columna12922" dataDxfId="20077" totalsRowDxfId="3453"/>
    <tableColumn id="12937" name="Columna12923" dataDxfId="20076" totalsRowDxfId="3452"/>
    <tableColumn id="12938" name="Columna12924" dataDxfId="20075" totalsRowDxfId="3451"/>
    <tableColumn id="12939" name="Columna12925" dataDxfId="20074" totalsRowDxfId="3450"/>
    <tableColumn id="12940" name="Columna12926" dataDxfId="20073" totalsRowDxfId="3449"/>
    <tableColumn id="12941" name="Columna12927" dataDxfId="20072" totalsRowDxfId="3448"/>
    <tableColumn id="12942" name="Columna12928" dataDxfId="20071" totalsRowDxfId="3447"/>
    <tableColumn id="12943" name="Columna12929" dataDxfId="20070" totalsRowDxfId="3446"/>
    <tableColumn id="12944" name="Columna12930" dataDxfId="20069" totalsRowDxfId="3445"/>
    <tableColumn id="12945" name="Columna12931" dataDxfId="20068" totalsRowDxfId="3444"/>
    <tableColumn id="12946" name="Columna12932" dataDxfId="20067" totalsRowDxfId="3443"/>
    <tableColumn id="12947" name="Columna12933" dataDxfId="20066" totalsRowDxfId="3442"/>
    <tableColumn id="12948" name="Columna12934" dataDxfId="20065" totalsRowDxfId="3441"/>
    <tableColumn id="12949" name="Columna12935" dataDxfId="20064" totalsRowDxfId="3440"/>
    <tableColumn id="12950" name="Columna12936" dataDxfId="20063" totalsRowDxfId="3439"/>
    <tableColumn id="12951" name="Columna12937" dataDxfId="20062" totalsRowDxfId="3438"/>
    <tableColumn id="12952" name="Columna12938" dataDxfId="20061" totalsRowDxfId="3437"/>
    <tableColumn id="12953" name="Columna12939" dataDxfId="20060" totalsRowDxfId="3436"/>
    <tableColumn id="12954" name="Columna12940" dataDxfId="20059" totalsRowDxfId="3435"/>
    <tableColumn id="12955" name="Columna12941" dataDxfId="20058" totalsRowDxfId="3434"/>
    <tableColumn id="12956" name="Columna12942" dataDxfId="20057" totalsRowDxfId="3433"/>
    <tableColumn id="12957" name="Columna12943" dataDxfId="20056" totalsRowDxfId="3432"/>
    <tableColumn id="12958" name="Columna12944" dataDxfId="20055" totalsRowDxfId="3431"/>
    <tableColumn id="12959" name="Columna12945" dataDxfId="20054" totalsRowDxfId="3430"/>
    <tableColumn id="12960" name="Columna12946" dataDxfId="20053" totalsRowDxfId="3429"/>
    <tableColumn id="12961" name="Columna12947" dataDxfId="20052" totalsRowDxfId="3428"/>
    <tableColumn id="12962" name="Columna12948" dataDxfId="20051" totalsRowDxfId="3427"/>
    <tableColumn id="12963" name="Columna12949" dataDxfId="20050" totalsRowDxfId="3426"/>
    <tableColumn id="12964" name="Columna12950" dataDxfId="20049" totalsRowDxfId="3425"/>
    <tableColumn id="12965" name="Columna12951" dataDxfId="20048" totalsRowDxfId="3424"/>
    <tableColumn id="12966" name="Columna12952" dataDxfId="20047" totalsRowDxfId="3423"/>
    <tableColumn id="12967" name="Columna12953" dataDxfId="20046" totalsRowDxfId="3422"/>
    <tableColumn id="12968" name="Columna12954" dataDxfId="20045" totalsRowDxfId="3421"/>
    <tableColumn id="12969" name="Columna12955" dataDxfId="20044" totalsRowDxfId="3420"/>
    <tableColumn id="12970" name="Columna12956" dataDxfId="20043" totalsRowDxfId="3419"/>
    <tableColumn id="12971" name="Columna12957" dataDxfId="20042" totalsRowDxfId="3418"/>
    <tableColumn id="12972" name="Columna12958" dataDxfId="20041" totalsRowDxfId="3417"/>
    <tableColumn id="12973" name="Columna12959" dataDxfId="20040" totalsRowDxfId="3416"/>
    <tableColumn id="12974" name="Columna12960" dataDxfId="20039" totalsRowDxfId="3415"/>
    <tableColumn id="12975" name="Columna12961" dataDxfId="20038" totalsRowDxfId="3414"/>
    <tableColumn id="12976" name="Columna12962" dataDxfId="20037" totalsRowDxfId="3413"/>
    <tableColumn id="12977" name="Columna12963" dataDxfId="20036" totalsRowDxfId="3412"/>
    <tableColumn id="12978" name="Columna12964" dataDxfId="20035" totalsRowDxfId="3411"/>
    <tableColumn id="12979" name="Columna12965" dataDxfId="20034" totalsRowDxfId="3410"/>
    <tableColumn id="12980" name="Columna12966" dataDxfId="20033" totalsRowDxfId="3409"/>
    <tableColumn id="12981" name="Columna12967" dataDxfId="20032" totalsRowDxfId="3408"/>
    <tableColumn id="12982" name="Columna12968" dataDxfId="20031" totalsRowDxfId="3407"/>
    <tableColumn id="12983" name="Columna12969" dataDxfId="20030" totalsRowDxfId="3406"/>
    <tableColumn id="12984" name="Columna12970" dataDxfId="20029" totalsRowDxfId="3405"/>
    <tableColumn id="12985" name="Columna12971" dataDxfId="20028" totalsRowDxfId="3404"/>
    <tableColumn id="12986" name="Columna12972" dataDxfId="20027" totalsRowDxfId="3403"/>
    <tableColumn id="12987" name="Columna12973" dataDxfId="20026" totalsRowDxfId="3402"/>
    <tableColumn id="12988" name="Columna12974" dataDxfId="20025" totalsRowDxfId="3401"/>
    <tableColumn id="12989" name="Columna12975" dataDxfId="20024" totalsRowDxfId="3400"/>
    <tableColumn id="12990" name="Columna12976" dataDxfId="20023" totalsRowDxfId="3399"/>
    <tableColumn id="12991" name="Columna12977" dataDxfId="20022" totalsRowDxfId="3398"/>
    <tableColumn id="12992" name="Columna12978" dataDxfId="20021" totalsRowDxfId="3397"/>
    <tableColumn id="12993" name="Columna12979" dataDxfId="20020" totalsRowDxfId="3396"/>
    <tableColumn id="12994" name="Columna12980" dataDxfId="20019" totalsRowDxfId="3395"/>
    <tableColumn id="12995" name="Columna12981" dataDxfId="20018" totalsRowDxfId="3394"/>
    <tableColumn id="12996" name="Columna12982" dataDxfId="20017" totalsRowDxfId="3393"/>
    <tableColumn id="12997" name="Columna12983" dataDxfId="20016" totalsRowDxfId="3392"/>
    <tableColumn id="12998" name="Columna12984" dataDxfId="20015" totalsRowDxfId="3391"/>
    <tableColumn id="12999" name="Columna12985" dataDxfId="20014" totalsRowDxfId="3390"/>
    <tableColumn id="13000" name="Columna12986" dataDxfId="20013" totalsRowDxfId="3389"/>
    <tableColumn id="13001" name="Columna12987" dataDxfId="20012" totalsRowDxfId="3388"/>
    <tableColumn id="13002" name="Columna12988" dataDxfId="20011" totalsRowDxfId="3387"/>
    <tableColumn id="13003" name="Columna12989" dataDxfId="20010" totalsRowDxfId="3386"/>
    <tableColumn id="13004" name="Columna12990" dataDxfId="20009" totalsRowDxfId="3385"/>
    <tableColumn id="13005" name="Columna12991" dataDxfId="20008" totalsRowDxfId="3384"/>
    <tableColumn id="13006" name="Columna12992" dataDxfId="20007" totalsRowDxfId="3383"/>
    <tableColumn id="13007" name="Columna12993" dataDxfId="20006" totalsRowDxfId="3382"/>
    <tableColumn id="13008" name="Columna12994" dataDxfId="20005" totalsRowDxfId="3381"/>
    <tableColumn id="13009" name="Columna12995" dataDxfId="20004" totalsRowDxfId="3380"/>
    <tableColumn id="13010" name="Columna12996" dataDxfId="20003" totalsRowDxfId="3379"/>
    <tableColumn id="13011" name="Columna12997" dataDxfId="20002" totalsRowDxfId="3378"/>
    <tableColumn id="13012" name="Columna12998" dataDxfId="20001" totalsRowDxfId="3377"/>
    <tableColumn id="13013" name="Columna12999" dataDxfId="20000" totalsRowDxfId="3376"/>
    <tableColumn id="13014" name="Columna13000" dataDxfId="19999" totalsRowDxfId="3375"/>
    <tableColumn id="13015" name="Columna13001" dataDxfId="19998" totalsRowDxfId="3374"/>
    <tableColumn id="13016" name="Columna13002" dataDxfId="19997" totalsRowDxfId="3373"/>
    <tableColumn id="13017" name="Columna13003" dataDxfId="19996" totalsRowDxfId="3372"/>
    <tableColumn id="13018" name="Columna13004" dataDxfId="19995" totalsRowDxfId="3371"/>
    <tableColumn id="13019" name="Columna13005" dataDxfId="19994" totalsRowDxfId="3370"/>
    <tableColumn id="13020" name="Columna13006" dataDxfId="19993" totalsRowDxfId="3369"/>
    <tableColumn id="13021" name="Columna13007" dataDxfId="19992" totalsRowDxfId="3368"/>
    <tableColumn id="13022" name="Columna13008" dataDxfId="19991" totalsRowDxfId="3367"/>
    <tableColumn id="13023" name="Columna13009" dataDxfId="19990" totalsRowDxfId="3366"/>
    <tableColumn id="13024" name="Columna13010" dataDxfId="19989" totalsRowDxfId="3365"/>
    <tableColumn id="13025" name="Columna13011" dataDxfId="19988" totalsRowDxfId="3364"/>
    <tableColumn id="13026" name="Columna13012" dataDxfId="19987" totalsRowDxfId="3363"/>
    <tableColumn id="13027" name="Columna13013" dataDxfId="19986" totalsRowDxfId="3362"/>
    <tableColumn id="13028" name="Columna13014" dataDxfId="19985" totalsRowDxfId="3361"/>
    <tableColumn id="13029" name="Columna13015" dataDxfId="19984" totalsRowDxfId="3360"/>
    <tableColumn id="13030" name="Columna13016" dataDxfId="19983" totalsRowDxfId="3359"/>
    <tableColumn id="13031" name="Columna13017" dataDxfId="19982" totalsRowDxfId="3358"/>
    <tableColumn id="13032" name="Columna13018" dataDxfId="19981" totalsRowDxfId="3357"/>
    <tableColumn id="13033" name="Columna13019" dataDxfId="19980" totalsRowDxfId="3356"/>
    <tableColumn id="13034" name="Columna13020" dataDxfId="19979" totalsRowDxfId="3355"/>
    <tableColumn id="13035" name="Columna13021" dataDxfId="19978" totalsRowDxfId="3354"/>
    <tableColumn id="13036" name="Columna13022" dataDxfId="19977" totalsRowDxfId="3353"/>
    <tableColumn id="13037" name="Columna13023" dataDxfId="19976" totalsRowDxfId="3352"/>
    <tableColumn id="13038" name="Columna13024" dataDxfId="19975" totalsRowDxfId="3351"/>
    <tableColumn id="13039" name="Columna13025" dataDxfId="19974" totalsRowDxfId="3350"/>
    <tableColumn id="13040" name="Columna13026" dataDxfId="19973" totalsRowDxfId="3349"/>
    <tableColumn id="13041" name="Columna13027" dataDxfId="19972" totalsRowDxfId="3348"/>
    <tableColumn id="13042" name="Columna13028" dataDxfId="19971" totalsRowDxfId="3347"/>
    <tableColumn id="13043" name="Columna13029" dataDxfId="19970" totalsRowDxfId="3346"/>
    <tableColumn id="13044" name="Columna13030" dataDxfId="19969" totalsRowDxfId="3345"/>
    <tableColumn id="13045" name="Columna13031" dataDxfId="19968" totalsRowDxfId="3344"/>
    <tableColumn id="13046" name="Columna13032" dataDxfId="19967" totalsRowDxfId="3343"/>
    <tableColumn id="13047" name="Columna13033" dataDxfId="19966" totalsRowDxfId="3342"/>
    <tableColumn id="13048" name="Columna13034" dataDxfId="19965" totalsRowDxfId="3341"/>
    <tableColumn id="13049" name="Columna13035" dataDxfId="19964" totalsRowDxfId="3340"/>
    <tableColumn id="13050" name="Columna13036" dataDxfId="19963" totalsRowDxfId="3339"/>
    <tableColumn id="13051" name="Columna13037" dataDxfId="19962" totalsRowDxfId="3338"/>
    <tableColumn id="13052" name="Columna13038" dataDxfId="19961" totalsRowDxfId="3337"/>
    <tableColumn id="13053" name="Columna13039" dataDxfId="19960" totalsRowDxfId="3336"/>
    <tableColumn id="13054" name="Columna13040" dataDxfId="19959" totalsRowDxfId="3335"/>
    <tableColumn id="13055" name="Columna13041" dataDxfId="19958" totalsRowDxfId="3334"/>
    <tableColumn id="13056" name="Columna13042" dataDxfId="19957" totalsRowDxfId="3333"/>
    <tableColumn id="13057" name="Columna13043" dataDxfId="19956" totalsRowDxfId="3332"/>
    <tableColumn id="13058" name="Columna13044" dataDxfId="19955" totalsRowDxfId="3331"/>
    <tableColumn id="13059" name="Columna13045" dataDxfId="19954" totalsRowDxfId="3330"/>
    <tableColumn id="13060" name="Columna13046" dataDxfId="19953" totalsRowDxfId="3329"/>
    <tableColumn id="13061" name="Columna13047" dataDxfId="19952" totalsRowDxfId="3328"/>
    <tableColumn id="13062" name="Columna13048" dataDxfId="19951" totalsRowDxfId="3327"/>
    <tableColumn id="13063" name="Columna13049" dataDxfId="19950" totalsRowDxfId="3326"/>
    <tableColumn id="13064" name="Columna13050" dataDxfId="19949" totalsRowDxfId="3325"/>
    <tableColumn id="13065" name="Columna13051" dataDxfId="19948" totalsRowDxfId="3324"/>
    <tableColumn id="13066" name="Columna13052" dataDxfId="19947" totalsRowDxfId="3323"/>
    <tableColumn id="13067" name="Columna13053" dataDxfId="19946" totalsRowDxfId="3322"/>
    <tableColumn id="13068" name="Columna13054" dataDxfId="19945" totalsRowDxfId="3321"/>
    <tableColumn id="13069" name="Columna13055" dataDxfId="19944" totalsRowDxfId="3320"/>
    <tableColumn id="13070" name="Columna13056" dataDxfId="19943" totalsRowDxfId="3319"/>
    <tableColumn id="13071" name="Columna13057" dataDxfId="19942" totalsRowDxfId="3318"/>
    <tableColumn id="13072" name="Columna13058" dataDxfId="19941" totalsRowDxfId="3317"/>
    <tableColumn id="13073" name="Columna13059" dataDxfId="19940" totalsRowDxfId="3316"/>
    <tableColumn id="13074" name="Columna13060" dataDxfId="19939" totalsRowDxfId="3315"/>
    <tableColumn id="13075" name="Columna13061" dataDxfId="19938" totalsRowDxfId="3314"/>
    <tableColumn id="13076" name="Columna13062" dataDxfId="19937" totalsRowDxfId="3313"/>
    <tableColumn id="13077" name="Columna13063" dataDxfId="19936" totalsRowDxfId="3312"/>
    <tableColumn id="13078" name="Columna13064" dataDxfId="19935" totalsRowDxfId="3311"/>
    <tableColumn id="13079" name="Columna13065" dataDxfId="19934" totalsRowDxfId="3310"/>
    <tableColumn id="13080" name="Columna13066" dataDxfId="19933" totalsRowDxfId="3309"/>
    <tableColumn id="13081" name="Columna13067" dataDxfId="19932" totalsRowDxfId="3308"/>
    <tableColumn id="13082" name="Columna13068" dataDxfId="19931" totalsRowDxfId="3307"/>
    <tableColumn id="13083" name="Columna13069" dataDxfId="19930" totalsRowDxfId="3306"/>
    <tableColumn id="13084" name="Columna13070" dataDxfId="19929" totalsRowDxfId="3305"/>
    <tableColumn id="13085" name="Columna13071" dataDxfId="19928" totalsRowDxfId="3304"/>
    <tableColumn id="13086" name="Columna13072" dataDxfId="19927" totalsRowDxfId="3303"/>
    <tableColumn id="13087" name="Columna13073" dataDxfId="19926" totalsRowDxfId="3302"/>
    <tableColumn id="13088" name="Columna13074" dataDxfId="19925" totalsRowDxfId="3301"/>
    <tableColumn id="13089" name="Columna13075" dataDxfId="19924" totalsRowDxfId="3300"/>
    <tableColumn id="13090" name="Columna13076" dataDxfId="19923" totalsRowDxfId="3299"/>
    <tableColumn id="13091" name="Columna13077" dataDxfId="19922" totalsRowDxfId="3298"/>
    <tableColumn id="13092" name="Columna13078" dataDxfId="19921" totalsRowDxfId="3297"/>
    <tableColumn id="13093" name="Columna13079" dataDxfId="19920" totalsRowDxfId="3296"/>
    <tableColumn id="13094" name="Columna13080" dataDxfId="19919" totalsRowDxfId="3295"/>
    <tableColumn id="13095" name="Columna13081" dataDxfId="19918" totalsRowDxfId="3294"/>
    <tableColumn id="13096" name="Columna13082" dataDxfId="19917" totalsRowDxfId="3293"/>
    <tableColumn id="13097" name="Columna13083" dataDxfId="19916" totalsRowDxfId="3292"/>
    <tableColumn id="13098" name="Columna13084" dataDxfId="19915" totalsRowDxfId="3291"/>
    <tableColumn id="13099" name="Columna13085" dataDxfId="19914" totalsRowDxfId="3290"/>
    <tableColumn id="13100" name="Columna13086" dataDxfId="19913" totalsRowDxfId="3289"/>
    <tableColumn id="13101" name="Columna13087" dataDxfId="19912" totalsRowDxfId="3288"/>
    <tableColumn id="13102" name="Columna13088" dataDxfId="19911" totalsRowDxfId="3287"/>
    <tableColumn id="13103" name="Columna13089" dataDxfId="19910" totalsRowDxfId="3286"/>
    <tableColumn id="13104" name="Columna13090" dataDxfId="19909" totalsRowDxfId="3285"/>
    <tableColumn id="13105" name="Columna13091" dataDxfId="19908" totalsRowDxfId="3284"/>
    <tableColumn id="13106" name="Columna13092" dataDxfId="19907" totalsRowDxfId="3283"/>
    <tableColumn id="13107" name="Columna13093" dataDxfId="19906" totalsRowDxfId="3282"/>
    <tableColumn id="13108" name="Columna13094" dataDxfId="19905" totalsRowDxfId="3281"/>
    <tableColumn id="13109" name="Columna13095" dataDxfId="19904" totalsRowDxfId="3280"/>
    <tableColumn id="13110" name="Columna13096" dataDxfId="19903" totalsRowDxfId="3279"/>
    <tableColumn id="13111" name="Columna13097" dataDxfId="19902" totalsRowDxfId="3278"/>
    <tableColumn id="13112" name="Columna13098" dataDxfId="19901" totalsRowDxfId="3277"/>
    <tableColumn id="13113" name="Columna13099" dataDxfId="19900" totalsRowDxfId="3276"/>
    <tableColumn id="13114" name="Columna13100" dataDxfId="19899" totalsRowDxfId="3275"/>
    <tableColumn id="13115" name="Columna13101" dataDxfId="19898" totalsRowDxfId="3274"/>
    <tableColumn id="13116" name="Columna13102" dataDxfId="19897" totalsRowDxfId="3273"/>
    <tableColumn id="13117" name="Columna13103" dataDxfId="19896" totalsRowDxfId="3272"/>
    <tableColumn id="13118" name="Columna13104" dataDxfId="19895" totalsRowDxfId="3271"/>
    <tableColumn id="13119" name="Columna13105" dataDxfId="19894" totalsRowDxfId="3270"/>
    <tableColumn id="13120" name="Columna13106" dataDxfId="19893" totalsRowDxfId="3269"/>
    <tableColumn id="13121" name="Columna13107" dataDxfId="19892" totalsRowDxfId="3268"/>
    <tableColumn id="13122" name="Columna13108" dataDxfId="19891" totalsRowDxfId="3267"/>
    <tableColumn id="13123" name="Columna13109" dataDxfId="19890" totalsRowDxfId="3266"/>
    <tableColumn id="13124" name="Columna13110" dataDxfId="19889" totalsRowDxfId="3265"/>
    <tableColumn id="13125" name="Columna13111" dataDxfId="19888" totalsRowDxfId="3264"/>
    <tableColumn id="13126" name="Columna13112" dataDxfId="19887" totalsRowDxfId="3263"/>
    <tableColumn id="13127" name="Columna13113" dataDxfId="19886" totalsRowDxfId="3262"/>
    <tableColumn id="13128" name="Columna13114" dataDxfId="19885" totalsRowDxfId="3261"/>
    <tableColumn id="13129" name="Columna13115" dataDxfId="19884" totalsRowDxfId="3260"/>
    <tableColumn id="13130" name="Columna13116" dataDxfId="19883" totalsRowDxfId="3259"/>
    <tableColumn id="13131" name="Columna13117" dataDxfId="19882" totalsRowDxfId="3258"/>
    <tableColumn id="13132" name="Columna13118" dataDxfId="19881" totalsRowDxfId="3257"/>
    <tableColumn id="13133" name="Columna13119" dataDxfId="19880" totalsRowDxfId="3256"/>
    <tableColumn id="13134" name="Columna13120" dataDxfId="19879" totalsRowDxfId="3255"/>
    <tableColumn id="13135" name="Columna13121" dataDxfId="19878" totalsRowDxfId="3254"/>
    <tableColumn id="13136" name="Columna13122" dataDxfId="19877" totalsRowDxfId="3253"/>
    <tableColumn id="13137" name="Columna13123" dataDxfId="19876" totalsRowDxfId="3252"/>
    <tableColumn id="13138" name="Columna13124" dataDxfId="19875" totalsRowDxfId="3251"/>
    <tableColumn id="13139" name="Columna13125" dataDxfId="19874" totalsRowDxfId="3250"/>
    <tableColumn id="13140" name="Columna13126" dataDxfId="19873" totalsRowDxfId="3249"/>
    <tableColumn id="13141" name="Columna13127" dataDxfId="19872" totalsRowDxfId="3248"/>
    <tableColumn id="13142" name="Columna13128" dataDxfId="19871" totalsRowDxfId="3247"/>
    <tableColumn id="13143" name="Columna13129" dataDxfId="19870" totalsRowDxfId="3246"/>
    <tableColumn id="13144" name="Columna13130" dataDxfId="19869" totalsRowDxfId="3245"/>
    <tableColumn id="13145" name="Columna13131" dataDxfId="19868" totalsRowDxfId="3244"/>
    <tableColumn id="13146" name="Columna13132" dataDxfId="19867" totalsRowDxfId="3243"/>
    <tableColumn id="13147" name="Columna13133" dataDxfId="19866" totalsRowDxfId="3242"/>
    <tableColumn id="13148" name="Columna13134" dataDxfId="19865" totalsRowDxfId="3241"/>
    <tableColumn id="13149" name="Columna13135" dataDxfId="19864" totalsRowDxfId="3240"/>
    <tableColumn id="13150" name="Columna13136" dataDxfId="19863" totalsRowDxfId="3239"/>
    <tableColumn id="13151" name="Columna13137" dataDxfId="19862" totalsRowDxfId="3238"/>
    <tableColumn id="13152" name="Columna13138" dataDxfId="19861" totalsRowDxfId="3237"/>
    <tableColumn id="13153" name="Columna13139" dataDxfId="19860" totalsRowDxfId="3236"/>
    <tableColumn id="13154" name="Columna13140" dataDxfId="19859" totalsRowDxfId="3235"/>
    <tableColumn id="13155" name="Columna13141" dataDxfId="19858" totalsRowDxfId="3234"/>
    <tableColumn id="13156" name="Columna13142" dataDxfId="19857" totalsRowDxfId="3233"/>
    <tableColumn id="13157" name="Columna13143" dataDxfId="19856" totalsRowDxfId="3232"/>
    <tableColumn id="13158" name="Columna13144" dataDxfId="19855" totalsRowDxfId="3231"/>
    <tableColumn id="13159" name="Columna13145" dataDxfId="19854" totalsRowDxfId="3230"/>
    <tableColumn id="13160" name="Columna13146" dataDxfId="19853" totalsRowDxfId="3229"/>
    <tableColumn id="13161" name="Columna13147" dataDxfId="19852" totalsRowDxfId="3228"/>
    <tableColumn id="13162" name="Columna13148" dataDxfId="19851" totalsRowDxfId="3227"/>
    <tableColumn id="13163" name="Columna13149" dataDxfId="19850" totalsRowDxfId="3226"/>
    <tableColumn id="13164" name="Columna13150" dataDxfId="19849" totalsRowDxfId="3225"/>
    <tableColumn id="13165" name="Columna13151" dataDxfId="19848" totalsRowDxfId="3224"/>
    <tableColumn id="13166" name="Columna13152" dataDxfId="19847" totalsRowDxfId="3223"/>
    <tableColumn id="13167" name="Columna13153" dataDxfId="19846" totalsRowDxfId="3222"/>
    <tableColumn id="13168" name="Columna13154" dataDxfId="19845" totalsRowDxfId="3221"/>
    <tableColumn id="13169" name="Columna13155" dataDxfId="19844" totalsRowDxfId="3220"/>
    <tableColumn id="13170" name="Columna13156" dataDxfId="19843" totalsRowDxfId="3219"/>
    <tableColumn id="13171" name="Columna13157" dataDxfId="19842" totalsRowDxfId="3218"/>
    <tableColumn id="13172" name="Columna13158" dataDxfId="19841" totalsRowDxfId="3217"/>
    <tableColumn id="13173" name="Columna13159" dataDxfId="19840" totalsRowDxfId="3216"/>
    <tableColumn id="13174" name="Columna13160" dataDxfId="19839" totalsRowDxfId="3215"/>
    <tableColumn id="13175" name="Columna13161" dataDxfId="19838" totalsRowDxfId="3214"/>
    <tableColumn id="13176" name="Columna13162" dataDxfId="19837" totalsRowDxfId="3213"/>
    <tableColumn id="13177" name="Columna13163" dataDxfId="19836" totalsRowDxfId="3212"/>
    <tableColumn id="13178" name="Columna13164" dataDxfId="19835" totalsRowDxfId="3211"/>
    <tableColumn id="13179" name="Columna13165" dataDxfId="19834" totalsRowDxfId="3210"/>
    <tableColumn id="13180" name="Columna13166" dataDxfId="19833" totalsRowDxfId="3209"/>
    <tableColumn id="13181" name="Columna13167" dataDxfId="19832" totalsRowDxfId="3208"/>
    <tableColumn id="13182" name="Columna13168" dataDxfId="19831" totalsRowDxfId="3207"/>
    <tableColumn id="13183" name="Columna13169" dataDxfId="19830" totalsRowDxfId="3206"/>
    <tableColumn id="13184" name="Columna13170" dataDxfId="19829" totalsRowDxfId="3205"/>
    <tableColumn id="13185" name="Columna13171" dataDxfId="19828" totalsRowDxfId="3204"/>
    <tableColumn id="13186" name="Columna13172" dataDxfId="19827" totalsRowDxfId="3203"/>
    <tableColumn id="13187" name="Columna13173" dataDxfId="19826" totalsRowDxfId="3202"/>
    <tableColumn id="13188" name="Columna13174" dataDxfId="19825" totalsRowDxfId="3201"/>
    <tableColumn id="13189" name="Columna13175" dataDxfId="19824" totalsRowDxfId="3200"/>
    <tableColumn id="13190" name="Columna13176" dataDxfId="19823" totalsRowDxfId="3199"/>
    <tableColumn id="13191" name="Columna13177" dataDxfId="19822" totalsRowDxfId="3198"/>
    <tableColumn id="13192" name="Columna13178" dataDxfId="19821" totalsRowDxfId="3197"/>
    <tableColumn id="13193" name="Columna13179" dataDxfId="19820" totalsRowDxfId="3196"/>
    <tableColumn id="13194" name="Columna13180" dataDxfId="19819" totalsRowDxfId="3195"/>
    <tableColumn id="13195" name="Columna13181" dataDxfId="19818" totalsRowDxfId="3194"/>
    <tableColumn id="13196" name="Columna13182" dataDxfId="19817" totalsRowDxfId="3193"/>
    <tableColumn id="13197" name="Columna13183" dataDxfId="19816" totalsRowDxfId="3192"/>
    <tableColumn id="13198" name="Columna13184" dataDxfId="19815" totalsRowDxfId="3191"/>
    <tableColumn id="13199" name="Columna13185" dataDxfId="19814" totalsRowDxfId="3190"/>
    <tableColumn id="13200" name="Columna13186" dataDxfId="19813" totalsRowDxfId="3189"/>
    <tableColumn id="13201" name="Columna13187" dataDxfId="19812" totalsRowDxfId="3188"/>
    <tableColumn id="13202" name="Columna13188" dataDxfId="19811" totalsRowDxfId="3187"/>
    <tableColumn id="13203" name="Columna13189" dataDxfId="19810" totalsRowDxfId="3186"/>
    <tableColumn id="13204" name="Columna13190" dataDxfId="19809" totalsRowDxfId="3185"/>
    <tableColumn id="13205" name="Columna13191" dataDxfId="19808" totalsRowDxfId="3184"/>
    <tableColumn id="13206" name="Columna13192" dataDxfId="19807" totalsRowDxfId="3183"/>
    <tableColumn id="13207" name="Columna13193" dataDxfId="19806" totalsRowDxfId="3182"/>
    <tableColumn id="13208" name="Columna13194" dataDxfId="19805" totalsRowDxfId="3181"/>
    <tableColumn id="13209" name="Columna13195" dataDxfId="19804" totalsRowDxfId="3180"/>
    <tableColumn id="13210" name="Columna13196" dataDxfId="19803" totalsRowDxfId="3179"/>
    <tableColumn id="13211" name="Columna13197" dataDxfId="19802" totalsRowDxfId="3178"/>
    <tableColumn id="13212" name="Columna13198" dataDxfId="19801" totalsRowDxfId="3177"/>
    <tableColumn id="13213" name="Columna13199" dataDxfId="19800" totalsRowDxfId="3176"/>
    <tableColumn id="13214" name="Columna13200" dataDxfId="19799" totalsRowDxfId="3175"/>
    <tableColumn id="13215" name="Columna13201" dataDxfId="19798" totalsRowDxfId="3174"/>
    <tableColumn id="13216" name="Columna13202" dataDxfId="19797" totalsRowDxfId="3173"/>
    <tableColumn id="13217" name="Columna13203" dataDxfId="19796" totalsRowDxfId="3172"/>
    <tableColumn id="13218" name="Columna13204" dataDxfId="19795" totalsRowDxfId="3171"/>
    <tableColumn id="13219" name="Columna13205" dataDxfId="19794" totalsRowDxfId="3170"/>
    <tableColumn id="13220" name="Columna13206" dataDxfId="19793" totalsRowDxfId="3169"/>
    <tableColumn id="13221" name="Columna13207" dataDxfId="19792" totalsRowDxfId="3168"/>
    <tableColumn id="13222" name="Columna13208" dataDxfId="19791" totalsRowDxfId="3167"/>
    <tableColumn id="13223" name="Columna13209" dataDxfId="19790" totalsRowDxfId="3166"/>
    <tableColumn id="13224" name="Columna13210" dataDxfId="19789" totalsRowDxfId="3165"/>
    <tableColumn id="13225" name="Columna13211" dataDxfId="19788" totalsRowDxfId="3164"/>
    <tableColumn id="13226" name="Columna13212" dataDxfId="19787" totalsRowDxfId="3163"/>
    <tableColumn id="13227" name="Columna13213" dataDxfId="19786" totalsRowDxfId="3162"/>
    <tableColumn id="13228" name="Columna13214" dataDxfId="19785" totalsRowDxfId="3161"/>
    <tableColumn id="13229" name="Columna13215" dataDxfId="19784" totalsRowDxfId="3160"/>
    <tableColumn id="13230" name="Columna13216" dataDxfId="19783" totalsRowDxfId="3159"/>
    <tableColumn id="13231" name="Columna13217" dataDxfId="19782" totalsRowDxfId="3158"/>
    <tableColumn id="13232" name="Columna13218" dataDxfId="19781" totalsRowDxfId="3157"/>
    <tableColumn id="13233" name="Columna13219" dataDxfId="19780" totalsRowDxfId="3156"/>
    <tableColumn id="13234" name="Columna13220" dataDxfId="19779" totalsRowDxfId="3155"/>
    <tableColumn id="13235" name="Columna13221" dataDxfId="19778" totalsRowDxfId="3154"/>
    <tableColumn id="13236" name="Columna13222" dataDxfId="19777" totalsRowDxfId="3153"/>
    <tableColumn id="13237" name="Columna13223" dataDxfId="19776" totalsRowDxfId="3152"/>
    <tableColumn id="13238" name="Columna13224" dataDxfId="19775" totalsRowDxfId="3151"/>
    <tableColumn id="13239" name="Columna13225" dataDxfId="19774" totalsRowDxfId="3150"/>
    <tableColumn id="13240" name="Columna13226" dataDxfId="19773" totalsRowDxfId="3149"/>
    <tableColumn id="13241" name="Columna13227" dataDxfId="19772" totalsRowDxfId="3148"/>
    <tableColumn id="13242" name="Columna13228" dataDxfId="19771" totalsRowDxfId="3147"/>
    <tableColumn id="13243" name="Columna13229" dataDxfId="19770" totalsRowDxfId="3146"/>
    <tableColumn id="13244" name="Columna13230" dataDxfId="19769" totalsRowDxfId="3145"/>
    <tableColumn id="13245" name="Columna13231" dataDxfId="19768" totalsRowDxfId="3144"/>
    <tableColumn id="13246" name="Columna13232" dataDxfId="19767" totalsRowDxfId="3143"/>
    <tableColumn id="13247" name="Columna13233" dataDxfId="19766" totalsRowDxfId="3142"/>
    <tableColumn id="13248" name="Columna13234" dataDxfId="19765" totalsRowDxfId="3141"/>
    <tableColumn id="13249" name="Columna13235" dataDxfId="19764" totalsRowDxfId="3140"/>
    <tableColumn id="13250" name="Columna13236" dataDxfId="19763" totalsRowDxfId="3139"/>
    <tableColumn id="13251" name="Columna13237" dataDxfId="19762" totalsRowDxfId="3138"/>
    <tableColumn id="13252" name="Columna13238" dataDxfId="19761" totalsRowDxfId="3137"/>
    <tableColumn id="13253" name="Columna13239" dataDxfId="19760" totalsRowDxfId="3136"/>
    <tableColumn id="13254" name="Columna13240" dataDxfId="19759" totalsRowDxfId="3135"/>
    <tableColumn id="13255" name="Columna13241" dataDxfId="19758" totalsRowDxfId="3134"/>
    <tableColumn id="13256" name="Columna13242" dataDxfId="19757" totalsRowDxfId="3133"/>
    <tableColumn id="13257" name="Columna13243" dataDxfId="19756" totalsRowDxfId="3132"/>
    <tableColumn id="13258" name="Columna13244" dataDxfId="19755" totalsRowDxfId="3131"/>
    <tableColumn id="13259" name="Columna13245" dataDxfId="19754" totalsRowDxfId="3130"/>
    <tableColumn id="13260" name="Columna13246" dataDxfId="19753" totalsRowDxfId="3129"/>
    <tableColumn id="13261" name="Columna13247" dataDxfId="19752" totalsRowDxfId="3128"/>
    <tableColumn id="13262" name="Columna13248" dataDxfId="19751" totalsRowDxfId="3127"/>
    <tableColumn id="13263" name="Columna13249" dataDxfId="19750" totalsRowDxfId="3126"/>
    <tableColumn id="13264" name="Columna13250" dataDxfId="19749" totalsRowDxfId="3125"/>
    <tableColumn id="13265" name="Columna13251" dataDxfId="19748" totalsRowDxfId="3124"/>
    <tableColumn id="13266" name="Columna13252" dataDxfId="19747" totalsRowDxfId="3123"/>
    <tableColumn id="13267" name="Columna13253" dataDxfId="19746" totalsRowDxfId="3122"/>
    <tableColumn id="13268" name="Columna13254" dataDxfId="19745" totalsRowDxfId="3121"/>
    <tableColumn id="13269" name="Columna13255" dataDxfId="19744" totalsRowDxfId="3120"/>
    <tableColumn id="13270" name="Columna13256" dataDxfId="19743" totalsRowDxfId="3119"/>
    <tableColumn id="13271" name="Columna13257" dataDxfId="19742" totalsRowDxfId="3118"/>
    <tableColumn id="13272" name="Columna13258" dataDxfId="19741" totalsRowDxfId="3117"/>
    <tableColumn id="13273" name="Columna13259" dataDxfId="19740" totalsRowDxfId="3116"/>
    <tableColumn id="13274" name="Columna13260" dataDxfId="19739" totalsRowDxfId="3115"/>
    <tableColumn id="13275" name="Columna13261" dataDxfId="19738" totalsRowDxfId="3114"/>
    <tableColumn id="13276" name="Columna13262" dataDxfId="19737" totalsRowDxfId="3113"/>
    <tableColumn id="13277" name="Columna13263" dataDxfId="19736" totalsRowDxfId="3112"/>
    <tableColumn id="13278" name="Columna13264" dataDxfId="19735" totalsRowDxfId="3111"/>
    <tableColumn id="13279" name="Columna13265" dataDxfId="19734" totalsRowDxfId="3110"/>
    <tableColumn id="13280" name="Columna13266" dataDxfId="19733" totalsRowDxfId="3109"/>
    <tableColumn id="13281" name="Columna13267" dataDxfId="19732" totalsRowDxfId="3108"/>
    <tableColumn id="13282" name="Columna13268" dataDxfId="19731" totalsRowDxfId="3107"/>
    <tableColumn id="13283" name="Columna13269" dataDxfId="19730" totalsRowDxfId="3106"/>
    <tableColumn id="13284" name="Columna13270" dataDxfId="19729" totalsRowDxfId="3105"/>
    <tableColumn id="13285" name="Columna13271" dataDxfId="19728" totalsRowDxfId="3104"/>
    <tableColumn id="13286" name="Columna13272" dataDxfId="19727" totalsRowDxfId="3103"/>
    <tableColumn id="13287" name="Columna13273" dataDxfId="19726" totalsRowDxfId="3102"/>
    <tableColumn id="13288" name="Columna13274" dataDxfId="19725" totalsRowDxfId="3101"/>
    <tableColumn id="13289" name="Columna13275" dataDxfId="19724" totalsRowDxfId="3100"/>
    <tableColumn id="13290" name="Columna13276" dataDxfId="19723" totalsRowDxfId="3099"/>
    <tableColumn id="13291" name="Columna13277" dataDxfId="19722" totalsRowDxfId="3098"/>
    <tableColumn id="13292" name="Columna13278" dataDxfId="19721" totalsRowDxfId="3097"/>
    <tableColumn id="13293" name="Columna13279" dataDxfId="19720" totalsRowDxfId="3096"/>
    <tableColumn id="13294" name="Columna13280" dataDxfId="19719" totalsRowDxfId="3095"/>
    <tableColumn id="13295" name="Columna13281" dataDxfId="19718" totalsRowDxfId="3094"/>
    <tableColumn id="13296" name="Columna13282" dataDxfId="19717" totalsRowDxfId="3093"/>
    <tableColumn id="13297" name="Columna13283" dataDxfId="19716" totalsRowDxfId="3092"/>
    <tableColumn id="13298" name="Columna13284" dataDxfId="19715" totalsRowDxfId="3091"/>
    <tableColumn id="13299" name="Columna13285" dataDxfId="19714" totalsRowDxfId="3090"/>
    <tableColumn id="13300" name="Columna13286" dataDxfId="19713" totalsRowDxfId="3089"/>
    <tableColumn id="13301" name="Columna13287" dataDxfId="19712" totalsRowDxfId="3088"/>
    <tableColumn id="13302" name="Columna13288" dataDxfId="19711" totalsRowDxfId="3087"/>
    <tableColumn id="13303" name="Columna13289" dataDxfId="19710" totalsRowDxfId="3086"/>
    <tableColumn id="13304" name="Columna13290" dataDxfId="19709" totalsRowDxfId="3085"/>
    <tableColumn id="13305" name="Columna13291" dataDxfId="19708" totalsRowDxfId="3084"/>
    <tableColumn id="13306" name="Columna13292" dataDxfId="19707" totalsRowDxfId="3083"/>
    <tableColumn id="13307" name="Columna13293" dataDxfId="19706" totalsRowDxfId="3082"/>
    <tableColumn id="13308" name="Columna13294" dataDxfId="19705" totalsRowDxfId="3081"/>
    <tableColumn id="13309" name="Columna13295" dataDxfId="19704" totalsRowDxfId="3080"/>
    <tableColumn id="13310" name="Columna13296" dataDxfId="19703" totalsRowDxfId="3079"/>
    <tableColumn id="13311" name="Columna13297" dataDxfId="19702" totalsRowDxfId="3078"/>
    <tableColumn id="13312" name="Columna13298" dataDxfId="19701" totalsRowDxfId="3077"/>
    <tableColumn id="13313" name="Columna13299" dataDxfId="19700" totalsRowDxfId="3076"/>
    <tableColumn id="13314" name="Columna13300" dataDxfId="19699" totalsRowDxfId="3075"/>
    <tableColumn id="13315" name="Columna13301" dataDxfId="19698" totalsRowDxfId="3074"/>
    <tableColumn id="13316" name="Columna13302" dataDxfId="19697" totalsRowDxfId="3073"/>
    <tableColumn id="13317" name="Columna13303" dataDxfId="19696" totalsRowDxfId="3072"/>
    <tableColumn id="13318" name="Columna13304" dataDxfId="19695" totalsRowDxfId="3071"/>
    <tableColumn id="13319" name="Columna13305" dataDxfId="19694" totalsRowDxfId="3070"/>
    <tableColumn id="13320" name="Columna13306" dataDxfId="19693" totalsRowDxfId="3069"/>
    <tableColumn id="13321" name="Columna13307" dataDxfId="19692" totalsRowDxfId="3068"/>
    <tableColumn id="13322" name="Columna13308" dataDxfId="19691" totalsRowDxfId="3067"/>
    <tableColumn id="13323" name="Columna13309" dataDxfId="19690" totalsRowDxfId="3066"/>
    <tableColumn id="13324" name="Columna13310" dataDxfId="19689" totalsRowDxfId="3065"/>
    <tableColumn id="13325" name="Columna13311" dataDxfId="19688" totalsRowDxfId="3064"/>
    <tableColumn id="13326" name="Columna13312" dataDxfId="19687" totalsRowDxfId="3063"/>
    <tableColumn id="13327" name="Columna13313" dataDxfId="19686" totalsRowDxfId="3062"/>
    <tableColumn id="13328" name="Columna13314" dataDxfId="19685" totalsRowDxfId="3061"/>
    <tableColumn id="13329" name="Columna13315" dataDxfId="19684" totalsRowDxfId="3060"/>
    <tableColumn id="13330" name="Columna13316" dataDxfId="19683" totalsRowDxfId="3059"/>
    <tableColumn id="13331" name="Columna13317" dataDxfId="19682" totalsRowDxfId="3058"/>
    <tableColumn id="13332" name="Columna13318" dataDxfId="19681" totalsRowDxfId="3057"/>
    <tableColumn id="13333" name="Columna13319" dataDxfId="19680" totalsRowDxfId="3056"/>
    <tableColumn id="13334" name="Columna13320" dataDxfId="19679" totalsRowDxfId="3055"/>
    <tableColumn id="13335" name="Columna13321" dataDxfId="19678" totalsRowDxfId="3054"/>
    <tableColumn id="13336" name="Columna13322" dataDxfId="19677" totalsRowDxfId="3053"/>
    <tableColumn id="13337" name="Columna13323" dataDxfId="19676" totalsRowDxfId="3052"/>
    <tableColumn id="13338" name="Columna13324" dataDxfId="19675" totalsRowDxfId="3051"/>
    <tableColumn id="13339" name="Columna13325" dataDxfId="19674" totalsRowDxfId="3050"/>
    <tableColumn id="13340" name="Columna13326" dataDxfId="19673" totalsRowDxfId="3049"/>
    <tableColumn id="13341" name="Columna13327" dataDxfId="19672" totalsRowDxfId="3048"/>
    <tableColumn id="13342" name="Columna13328" dataDxfId="19671" totalsRowDxfId="3047"/>
    <tableColumn id="13343" name="Columna13329" dataDxfId="19670" totalsRowDxfId="3046"/>
    <tableColumn id="13344" name="Columna13330" dataDxfId="19669" totalsRowDxfId="3045"/>
    <tableColumn id="13345" name="Columna13331" dataDxfId="19668" totalsRowDxfId="3044"/>
    <tableColumn id="13346" name="Columna13332" dataDxfId="19667" totalsRowDxfId="3043"/>
    <tableColumn id="13347" name="Columna13333" dataDxfId="19666" totalsRowDxfId="3042"/>
    <tableColumn id="13348" name="Columna13334" dataDxfId="19665" totalsRowDxfId="3041"/>
    <tableColumn id="13349" name="Columna13335" dataDxfId="19664" totalsRowDxfId="3040"/>
    <tableColumn id="13350" name="Columna13336" dataDxfId="19663" totalsRowDxfId="3039"/>
    <tableColumn id="13351" name="Columna13337" dataDxfId="19662" totalsRowDxfId="3038"/>
    <tableColumn id="13352" name="Columna13338" dataDxfId="19661" totalsRowDxfId="3037"/>
    <tableColumn id="13353" name="Columna13339" dataDxfId="19660" totalsRowDxfId="3036"/>
    <tableColumn id="13354" name="Columna13340" dataDxfId="19659" totalsRowDxfId="3035"/>
    <tableColumn id="13355" name="Columna13341" dataDxfId="19658" totalsRowDxfId="3034"/>
    <tableColumn id="13356" name="Columna13342" dataDxfId="19657" totalsRowDxfId="3033"/>
    <tableColumn id="13357" name="Columna13343" dataDxfId="19656" totalsRowDxfId="3032"/>
    <tableColumn id="13358" name="Columna13344" dataDxfId="19655" totalsRowDxfId="3031"/>
    <tableColumn id="13359" name="Columna13345" dataDxfId="19654" totalsRowDxfId="3030"/>
    <tableColumn id="13360" name="Columna13346" dataDxfId="19653" totalsRowDxfId="3029"/>
    <tableColumn id="13361" name="Columna13347" dataDxfId="19652" totalsRowDxfId="3028"/>
    <tableColumn id="13362" name="Columna13348" dataDxfId="19651" totalsRowDxfId="3027"/>
    <tableColumn id="13363" name="Columna13349" dataDxfId="19650" totalsRowDxfId="3026"/>
    <tableColumn id="13364" name="Columna13350" dataDxfId="19649" totalsRowDxfId="3025"/>
    <tableColumn id="13365" name="Columna13351" dataDxfId="19648" totalsRowDxfId="3024"/>
    <tableColumn id="13366" name="Columna13352" dataDxfId="19647" totalsRowDxfId="3023"/>
    <tableColumn id="13367" name="Columna13353" dataDxfId="19646" totalsRowDxfId="3022"/>
    <tableColumn id="13368" name="Columna13354" dataDxfId="19645" totalsRowDxfId="3021"/>
    <tableColumn id="13369" name="Columna13355" dataDxfId="19644" totalsRowDxfId="3020"/>
    <tableColumn id="13370" name="Columna13356" dataDxfId="19643" totalsRowDxfId="3019"/>
    <tableColumn id="13371" name="Columna13357" dataDxfId="19642" totalsRowDxfId="3018"/>
    <tableColumn id="13372" name="Columna13358" dataDxfId="19641" totalsRowDxfId="3017"/>
    <tableColumn id="13373" name="Columna13359" dataDxfId="19640" totalsRowDxfId="3016"/>
    <tableColumn id="13374" name="Columna13360" dataDxfId="19639" totalsRowDxfId="3015"/>
    <tableColumn id="13375" name="Columna13361" dataDxfId="19638" totalsRowDxfId="3014"/>
    <tableColumn id="13376" name="Columna13362" dataDxfId="19637" totalsRowDxfId="3013"/>
    <tableColumn id="13377" name="Columna13363" dataDxfId="19636" totalsRowDxfId="3012"/>
    <tableColumn id="13378" name="Columna13364" dataDxfId="19635" totalsRowDxfId="3011"/>
    <tableColumn id="13379" name="Columna13365" dataDxfId="19634" totalsRowDxfId="3010"/>
    <tableColumn id="13380" name="Columna13366" dataDxfId="19633" totalsRowDxfId="3009"/>
    <tableColumn id="13381" name="Columna13367" dataDxfId="19632" totalsRowDxfId="3008"/>
    <tableColumn id="13382" name="Columna13368" dataDxfId="19631" totalsRowDxfId="3007"/>
    <tableColumn id="13383" name="Columna13369" dataDxfId="19630" totalsRowDxfId="3006"/>
    <tableColumn id="13384" name="Columna13370" dataDxfId="19629" totalsRowDxfId="3005"/>
    <tableColumn id="13385" name="Columna13371" dataDxfId="19628" totalsRowDxfId="3004"/>
    <tableColumn id="13386" name="Columna13372" dataDxfId="19627" totalsRowDxfId="3003"/>
    <tableColumn id="13387" name="Columna13373" dataDxfId="19626" totalsRowDxfId="3002"/>
    <tableColumn id="13388" name="Columna13374" dataDxfId="19625" totalsRowDxfId="3001"/>
    <tableColumn id="13389" name="Columna13375" dataDxfId="19624" totalsRowDxfId="3000"/>
    <tableColumn id="13390" name="Columna13376" dataDxfId="19623" totalsRowDxfId="2999"/>
    <tableColumn id="13391" name="Columna13377" dataDxfId="19622" totalsRowDxfId="2998"/>
    <tableColumn id="13392" name="Columna13378" dataDxfId="19621" totalsRowDxfId="2997"/>
    <tableColumn id="13393" name="Columna13379" dataDxfId="19620" totalsRowDxfId="2996"/>
    <tableColumn id="13394" name="Columna13380" dataDxfId="19619" totalsRowDxfId="2995"/>
    <tableColumn id="13395" name="Columna13381" dataDxfId="19618" totalsRowDxfId="2994"/>
    <tableColumn id="13396" name="Columna13382" dataDxfId="19617" totalsRowDxfId="2993"/>
    <tableColumn id="13397" name="Columna13383" dataDxfId="19616" totalsRowDxfId="2992"/>
    <tableColumn id="13398" name="Columna13384" dataDxfId="19615" totalsRowDxfId="2991"/>
    <tableColumn id="13399" name="Columna13385" dataDxfId="19614" totalsRowDxfId="2990"/>
    <tableColumn id="13400" name="Columna13386" dataDxfId="19613" totalsRowDxfId="2989"/>
    <tableColumn id="13401" name="Columna13387" dataDxfId="19612" totalsRowDxfId="2988"/>
    <tableColumn id="13402" name="Columna13388" dataDxfId="19611" totalsRowDxfId="2987"/>
    <tableColumn id="13403" name="Columna13389" dataDxfId="19610" totalsRowDxfId="2986"/>
    <tableColumn id="13404" name="Columna13390" dataDxfId="19609" totalsRowDxfId="2985"/>
    <tableColumn id="13405" name="Columna13391" dataDxfId="19608" totalsRowDxfId="2984"/>
    <tableColumn id="13406" name="Columna13392" dataDxfId="19607" totalsRowDxfId="2983"/>
    <tableColumn id="13407" name="Columna13393" dataDxfId="19606" totalsRowDxfId="2982"/>
    <tableColumn id="13408" name="Columna13394" dataDxfId="19605" totalsRowDxfId="2981"/>
    <tableColumn id="13409" name="Columna13395" dataDxfId="19604" totalsRowDxfId="2980"/>
    <tableColumn id="13410" name="Columna13396" dataDxfId="19603" totalsRowDxfId="2979"/>
    <tableColumn id="13411" name="Columna13397" dataDxfId="19602" totalsRowDxfId="2978"/>
    <tableColumn id="13412" name="Columna13398" dataDxfId="19601" totalsRowDxfId="2977"/>
    <tableColumn id="13413" name="Columna13399" dataDxfId="19600" totalsRowDxfId="2976"/>
    <tableColumn id="13414" name="Columna13400" dataDxfId="19599" totalsRowDxfId="2975"/>
    <tableColumn id="13415" name="Columna13401" dataDxfId="19598" totalsRowDxfId="2974"/>
    <tableColumn id="13416" name="Columna13402" dataDxfId="19597" totalsRowDxfId="2973"/>
    <tableColumn id="13417" name="Columna13403" dataDxfId="19596" totalsRowDxfId="2972"/>
    <tableColumn id="13418" name="Columna13404" dataDxfId="19595" totalsRowDxfId="2971"/>
    <tableColumn id="13419" name="Columna13405" dataDxfId="19594" totalsRowDxfId="2970"/>
    <tableColumn id="13420" name="Columna13406" dataDxfId="19593" totalsRowDxfId="2969"/>
    <tableColumn id="13421" name="Columna13407" dataDxfId="19592" totalsRowDxfId="2968"/>
    <tableColumn id="13422" name="Columna13408" dataDxfId="19591" totalsRowDxfId="2967"/>
    <tableColumn id="13423" name="Columna13409" dataDxfId="19590" totalsRowDxfId="2966"/>
    <tableColumn id="13424" name="Columna13410" dataDxfId="19589" totalsRowDxfId="2965"/>
    <tableColumn id="13425" name="Columna13411" dataDxfId="19588" totalsRowDxfId="2964"/>
    <tableColumn id="13426" name="Columna13412" dataDxfId="19587" totalsRowDxfId="2963"/>
    <tableColumn id="13427" name="Columna13413" dataDxfId="19586" totalsRowDxfId="2962"/>
    <tableColumn id="13428" name="Columna13414" dataDxfId="19585" totalsRowDxfId="2961"/>
    <tableColumn id="13429" name="Columna13415" dataDxfId="19584" totalsRowDxfId="2960"/>
    <tableColumn id="13430" name="Columna13416" dataDxfId="19583" totalsRowDxfId="2959"/>
    <tableColumn id="13431" name="Columna13417" dataDxfId="19582" totalsRowDxfId="2958"/>
    <tableColumn id="13432" name="Columna13418" dataDxfId="19581" totalsRowDxfId="2957"/>
    <tableColumn id="13433" name="Columna13419" dataDxfId="19580" totalsRowDxfId="2956"/>
    <tableColumn id="13434" name="Columna13420" dataDxfId="19579" totalsRowDxfId="2955"/>
    <tableColumn id="13435" name="Columna13421" dataDxfId="19578" totalsRowDxfId="2954"/>
    <tableColumn id="13436" name="Columna13422" dataDxfId="19577" totalsRowDxfId="2953"/>
    <tableColumn id="13437" name="Columna13423" dataDxfId="19576" totalsRowDxfId="2952"/>
    <tableColumn id="13438" name="Columna13424" dataDxfId="19575" totalsRowDxfId="2951"/>
    <tableColumn id="13439" name="Columna13425" dataDxfId="19574" totalsRowDxfId="2950"/>
    <tableColumn id="13440" name="Columna13426" dataDxfId="19573" totalsRowDxfId="2949"/>
    <tableColumn id="13441" name="Columna13427" dataDxfId="19572" totalsRowDxfId="2948"/>
    <tableColumn id="13442" name="Columna13428" dataDxfId="19571" totalsRowDxfId="2947"/>
    <tableColumn id="13443" name="Columna13429" dataDxfId="19570" totalsRowDxfId="2946"/>
    <tableColumn id="13444" name="Columna13430" dataDxfId="19569" totalsRowDxfId="2945"/>
    <tableColumn id="13445" name="Columna13431" dataDxfId="19568" totalsRowDxfId="2944"/>
    <tableColumn id="13446" name="Columna13432" dataDxfId="19567" totalsRowDxfId="2943"/>
    <tableColumn id="13447" name="Columna13433" dataDxfId="19566" totalsRowDxfId="2942"/>
    <tableColumn id="13448" name="Columna13434" dataDxfId="19565" totalsRowDxfId="2941"/>
    <tableColumn id="13449" name="Columna13435" dataDxfId="19564" totalsRowDxfId="2940"/>
    <tableColumn id="13450" name="Columna13436" dataDxfId="19563" totalsRowDxfId="2939"/>
    <tableColumn id="13451" name="Columna13437" dataDxfId="19562" totalsRowDxfId="2938"/>
    <tableColumn id="13452" name="Columna13438" dataDxfId="19561" totalsRowDxfId="2937"/>
    <tableColumn id="13453" name="Columna13439" dataDxfId="19560" totalsRowDxfId="2936"/>
    <tableColumn id="13454" name="Columna13440" dataDxfId="19559" totalsRowDxfId="2935"/>
    <tableColumn id="13455" name="Columna13441" dataDxfId="19558" totalsRowDxfId="2934"/>
    <tableColumn id="13456" name="Columna13442" dataDxfId="19557" totalsRowDxfId="2933"/>
    <tableColumn id="13457" name="Columna13443" dataDxfId="19556" totalsRowDxfId="2932"/>
    <tableColumn id="13458" name="Columna13444" dataDxfId="19555" totalsRowDxfId="2931"/>
    <tableColumn id="13459" name="Columna13445" dataDxfId="19554" totalsRowDxfId="2930"/>
    <tableColumn id="13460" name="Columna13446" dataDxfId="19553" totalsRowDxfId="2929"/>
    <tableColumn id="13461" name="Columna13447" dataDxfId="19552" totalsRowDxfId="2928"/>
    <tableColumn id="13462" name="Columna13448" dataDxfId="19551" totalsRowDxfId="2927"/>
    <tableColumn id="13463" name="Columna13449" dataDxfId="19550" totalsRowDxfId="2926"/>
    <tableColumn id="13464" name="Columna13450" dataDxfId="19549" totalsRowDxfId="2925"/>
    <tableColumn id="13465" name="Columna13451" dataDxfId="19548" totalsRowDxfId="2924"/>
    <tableColumn id="13466" name="Columna13452" dataDxfId="19547" totalsRowDxfId="2923"/>
    <tableColumn id="13467" name="Columna13453" dataDxfId="19546" totalsRowDxfId="2922"/>
    <tableColumn id="13468" name="Columna13454" dataDxfId="19545" totalsRowDxfId="2921"/>
    <tableColumn id="13469" name="Columna13455" dataDxfId="19544" totalsRowDxfId="2920"/>
    <tableColumn id="13470" name="Columna13456" dataDxfId="19543" totalsRowDxfId="2919"/>
    <tableColumn id="13471" name="Columna13457" dataDxfId="19542" totalsRowDxfId="2918"/>
    <tableColumn id="13472" name="Columna13458" dataDxfId="19541" totalsRowDxfId="2917"/>
    <tableColumn id="13473" name="Columna13459" dataDxfId="19540" totalsRowDxfId="2916"/>
    <tableColumn id="13474" name="Columna13460" dataDxfId="19539" totalsRowDxfId="2915"/>
    <tableColumn id="13475" name="Columna13461" dataDxfId="19538" totalsRowDxfId="2914"/>
    <tableColumn id="13476" name="Columna13462" dataDxfId="19537" totalsRowDxfId="2913"/>
    <tableColumn id="13477" name="Columna13463" dataDxfId="19536" totalsRowDxfId="2912"/>
    <tableColumn id="13478" name="Columna13464" dataDxfId="19535" totalsRowDxfId="2911"/>
    <tableColumn id="13479" name="Columna13465" dataDxfId="19534" totalsRowDxfId="2910"/>
    <tableColumn id="13480" name="Columna13466" dataDxfId="19533" totalsRowDxfId="2909"/>
    <tableColumn id="13481" name="Columna13467" dataDxfId="19532" totalsRowDxfId="2908"/>
    <tableColumn id="13482" name="Columna13468" dataDxfId="19531" totalsRowDxfId="2907"/>
    <tableColumn id="13483" name="Columna13469" dataDxfId="19530" totalsRowDxfId="2906"/>
    <tableColumn id="13484" name="Columna13470" dataDxfId="19529" totalsRowDxfId="2905"/>
    <tableColumn id="13485" name="Columna13471" dataDxfId="19528" totalsRowDxfId="2904"/>
    <tableColumn id="13486" name="Columna13472" dataDxfId="19527" totalsRowDxfId="2903"/>
    <tableColumn id="13487" name="Columna13473" dataDxfId="19526" totalsRowDxfId="2902"/>
    <tableColumn id="13488" name="Columna13474" dataDxfId="19525" totalsRowDxfId="2901"/>
    <tableColumn id="13489" name="Columna13475" dataDxfId="19524" totalsRowDxfId="2900"/>
    <tableColumn id="13490" name="Columna13476" dataDxfId="19523" totalsRowDxfId="2899"/>
    <tableColumn id="13491" name="Columna13477" dataDxfId="19522" totalsRowDxfId="2898"/>
    <tableColumn id="13492" name="Columna13478" dataDxfId="19521" totalsRowDxfId="2897"/>
    <tableColumn id="13493" name="Columna13479" dataDxfId="19520" totalsRowDxfId="2896"/>
    <tableColumn id="13494" name="Columna13480" dataDxfId="19519" totalsRowDxfId="2895"/>
    <tableColumn id="13495" name="Columna13481" dataDxfId="19518" totalsRowDxfId="2894"/>
    <tableColumn id="13496" name="Columna13482" dataDxfId="19517" totalsRowDxfId="2893"/>
    <tableColumn id="13497" name="Columna13483" dataDxfId="19516" totalsRowDxfId="2892"/>
    <tableColumn id="13498" name="Columna13484" dataDxfId="19515" totalsRowDxfId="2891"/>
    <tableColumn id="13499" name="Columna13485" dataDxfId="19514" totalsRowDxfId="2890"/>
    <tableColumn id="13500" name="Columna13486" dataDxfId="19513" totalsRowDxfId="2889"/>
    <tableColumn id="13501" name="Columna13487" dataDxfId="19512" totalsRowDxfId="2888"/>
    <tableColumn id="13502" name="Columna13488" dataDxfId="19511" totalsRowDxfId="2887"/>
    <tableColumn id="13503" name="Columna13489" dataDxfId="19510" totalsRowDxfId="2886"/>
    <tableColumn id="13504" name="Columna13490" dataDxfId="19509" totalsRowDxfId="2885"/>
    <tableColumn id="13505" name="Columna13491" dataDxfId="19508" totalsRowDxfId="2884"/>
    <tableColumn id="13506" name="Columna13492" dataDxfId="19507" totalsRowDxfId="2883"/>
    <tableColumn id="13507" name="Columna13493" dataDxfId="19506" totalsRowDxfId="2882"/>
    <tableColumn id="13508" name="Columna13494" dataDxfId="19505" totalsRowDxfId="2881"/>
    <tableColumn id="13509" name="Columna13495" dataDxfId="19504" totalsRowDxfId="2880"/>
    <tableColumn id="13510" name="Columna13496" dataDxfId="19503" totalsRowDxfId="2879"/>
    <tableColumn id="13511" name="Columna13497" dataDxfId="19502" totalsRowDxfId="2878"/>
    <tableColumn id="13512" name="Columna13498" dataDxfId="19501" totalsRowDxfId="2877"/>
    <tableColumn id="13513" name="Columna13499" dataDxfId="19500" totalsRowDxfId="2876"/>
    <tableColumn id="13514" name="Columna13500" dataDxfId="19499" totalsRowDxfId="2875"/>
    <tableColumn id="13515" name="Columna13501" dataDxfId="19498" totalsRowDxfId="2874"/>
    <tableColumn id="13516" name="Columna13502" dataDxfId="19497" totalsRowDxfId="2873"/>
    <tableColumn id="13517" name="Columna13503" dataDxfId="19496" totalsRowDxfId="2872"/>
    <tableColumn id="13518" name="Columna13504" dataDxfId="19495" totalsRowDxfId="2871"/>
    <tableColumn id="13519" name="Columna13505" dataDxfId="19494" totalsRowDxfId="2870"/>
    <tableColumn id="13520" name="Columna13506" dataDxfId="19493" totalsRowDxfId="2869"/>
    <tableColumn id="13521" name="Columna13507" dataDxfId="19492" totalsRowDxfId="2868"/>
    <tableColumn id="13522" name="Columna13508" dataDxfId="19491" totalsRowDxfId="2867"/>
    <tableColumn id="13523" name="Columna13509" dataDxfId="19490" totalsRowDxfId="2866"/>
    <tableColumn id="13524" name="Columna13510" dataDxfId="19489" totalsRowDxfId="2865"/>
    <tableColumn id="13525" name="Columna13511" dataDxfId="19488" totalsRowDxfId="2864"/>
    <tableColumn id="13526" name="Columna13512" dataDxfId="19487" totalsRowDxfId="2863"/>
    <tableColumn id="13527" name="Columna13513" dataDxfId="19486" totalsRowDxfId="2862"/>
    <tableColumn id="13528" name="Columna13514" dataDxfId="19485" totalsRowDxfId="2861"/>
    <tableColumn id="13529" name="Columna13515" dataDxfId="19484" totalsRowDxfId="2860"/>
    <tableColumn id="13530" name="Columna13516" dataDxfId="19483" totalsRowDxfId="2859"/>
    <tableColumn id="13531" name="Columna13517" dataDxfId="19482" totalsRowDxfId="2858"/>
    <tableColumn id="13532" name="Columna13518" dataDxfId="19481" totalsRowDxfId="2857"/>
    <tableColumn id="13533" name="Columna13519" dataDxfId="19480" totalsRowDxfId="2856"/>
    <tableColumn id="13534" name="Columna13520" dataDxfId="19479" totalsRowDxfId="2855"/>
    <tableColumn id="13535" name="Columna13521" dataDxfId="19478" totalsRowDxfId="2854"/>
    <tableColumn id="13536" name="Columna13522" dataDxfId="19477" totalsRowDxfId="2853"/>
    <tableColumn id="13537" name="Columna13523" dataDxfId="19476" totalsRowDxfId="2852"/>
    <tableColumn id="13538" name="Columna13524" dataDxfId="19475" totalsRowDxfId="2851"/>
    <tableColumn id="13539" name="Columna13525" dataDxfId="19474" totalsRowDxfId="2850"/>
    <tableColumn id="13540" name="Columna13526" dataDxfId="19473" totalsRowDxfId="2849"/>
    <tableColumn id="13541" name="Columna13527" dataDxfId="19472" totalsRowDxfId="2848"/>
    <tableColumn id="13542" name="Columna13528" dataDxfId="19471" totalsRowDxfId="2847"/>
    <tableColumn id="13543" name="Columna13529" dataDxfId="19470" totalsRowDxfId="2846"/>
    <tableColumn id="13544" name="Columna13530" dataDxfId="19469" totalsRowDxfId="2845"/>
    <tableColumn id="13545" name="Columna13531" dataDxfId="19468" totalsRowDxfId="2844"/>
    <tableColumn id="13546" name="Columna13532" dataDxfId="19467" totalsRowDxfId="2843"/>
    <tableColumn id="13547" name="Columna13533" dataDxfId="19466" totalsRowDxfId="2842"/>
    <tableColumn id="13548" name="Columna13534" dataDxfId="19465" totalsRowDxfId="2841"/>
    <tableColumn id="13549" name="Columna13535" dataDxfId="19464" totalsRowDxfId="2840"/>
    <tableColumn id="13550" name="Columna13536" dataDxfId="19463" totalsRowDxfId="2839"/>
    <tableColumn id="13551" name="Columna13537" dataDxfId="19462" totalsRowDxfId="2838"/>
    <tableColumn id="13552" name="Columna13538" dataDxfId="19461" totalsRowDxfId="2837"/>
    <tableColumn id="13553" name="Columna13539" dataDxfId="19460" totalsRowDxfId="2836"/>
    <tableColumn id="13554" name="Columna13540" dataDxfId="19459" totalsRowDxfId="2835"/>
    <tableColumn id="13555" name="Columna13541" dataDxfId="19458" totalsRowDxfId="2834"/>
    <tableColumn id="13556" name="Columna13542" dataDxfId="19457" totalsRowDxfId="2833"/>
    <tableColumn id="13557" name="Columna13543" dataDxfId="19456" totalsRowDxfId="2832"/>
    <tableColumn id="13558" name="Columna13544" dataDxfId="19455" totalsRowDxfId="2831"/>
    <tableColumn id="13559" name="Columna13545" dataDxfId="19454" totalsRowDxfId="2830"/>
    <tableColumn id="13560" name="Columna13546" dataDxfId="19453" totalsRowDxfId="2829"/>
    <tableColumn id="13561" name="Columna13547" dataDxfId="19452" totalsRowDxfId="2828"/>
    <tableColumn id="13562" name="Columna13548" dataDxfId="19451" totalsRowDxfId="2827"/>
    <tableColumn id="13563" name="Columna13549" dataDxfId="19450" totalsRowDxfId="2826"/>
    <tableColumn id="13564" name="Columna13550" dataDxfId="19449" totalsRowDxfId="2825"/>
    <tableColumn id="13565" name="Columna13551" dataDxfId="19448" totalsRowDxfId="2824"/>
    <tableColumn id="13566" name="Columna13552" dataDxfId="19447" totalsRowDxfId="2823"/>
    <tableColumn id="13567" name="Columna13553" dataDxfId="19446" totalsRowDxfId="2822"/>
    <tableColumn id="13568" name="Columna13554" dataDxfId="19445" totalsRowDxfId="2821"/>
    <tableColumn id="13569" name="Columna13555" dataDxfId="19444" totalsRowDxfId="2820"/>
    <tableColumn id="13570" name="Columna13556" dataDxfId="19443" totalsRowDxfId="2819"/>
    <tableColumn id="13571" name="Columna13557" dataDxfId="19442" totalsRowDxfId="2818"/>
    <tableColumn id="13572" name="Columna13558" dataDxfId="19441" totalsRowDxfId="2817"/>
    <tableColumn id="13573" name="Columna13559" dataDxfId="19440" totalsRowDxfId="2816"/>
    <tableColumn id="13574" name="Columna13560" dataDxfId="19439" totalsRowDxfId="2815"/>
    <tableColumn id="13575" name="Columna13561" dataDxfId="19438" totalsRowDxfId="2814"/>
    <tableColumn id="13576" name="Columna13562" dataDxfId="19437" totalsRowDxfId="2813"/>
    <tableColumn id="13577" name="Columna13563" dataDxfId="19436" totalsRowDxfId="2812"/>
    <tableColumn id="13578" name="Columna13564" dataDxfId="19435" totalsRowDxfId="2811"/>
    <tableColumn id="13579" name="Columna13565" dataDxfId="19434" totalsRowDxfId="2810"/>
    <tableColumn id="13580" name="Columna13566" dataDxfId="19433" totalsRowDxfId="2809"/>
    <tableColumn id="13581" name="Columna13567" dataDxfId="19432" totalsRowDxfId="2808"/>
    <tableColumn id="13582" name="Columna13568" dataDxfId="19431" totalsRowDxfId="2807"/>
    <tableColumn id="13583" name="Columna13569" dataDxfId="19430" totalsRowDxfId="2806"/>
    <tableColumn id="13584" name="Columna13570" dataDxfId="19429" totalsRowDxfId="2805"/>
    <tableColumn id="13585" name="Columna13571" dataDxfId="19428" totalsRowDxfId="2804"/>
    <tableColumn id="13586" name="Columna13572" dataDxfId="19427" totalsRowDxfId="2803"/>
    <tableColumn id="13587" name="Columna13573" dataDxfId="19426" totalsRowDxfId="2802"/>
    <tableColumn id="13588" name="Columna13574" dataDxfId="19425" totalsRowDxfId="2801"/>
    <tableColumn id="13589" name="Columna13575" dataDxfId="19424" totalsRowDxfId="2800"/>
    <tableColumn id="13590" name="Columna13576" dataDxfId="19423" totalsRowDxfId="2799"/>
    <tableColumn id="13591" name="Columna13577" dataDxfId="19422" totalsRowDxfId="2798"/>
    <tableColumn id="13592" name="Columna13578" dataDxfId="19421" totalsRowDxfId="2797"/>
    <tableColumn id="13593" name="Columna13579" dataDxfId="19420" totalsRowDxfId="2796"/>
    <tableColumn id="13594" name="Columna13580" dataDxfId="19419" totalsRowDxfId="2795"/>
    <tableColumn id="13595" name="Columna13581" dataDxfId="19418" totalsRowDxfId="2794"/>
    <tableColumn id="13596" name="Columna13582" dataDxfId="19417" totalsRowDxfId="2793"/>
    <tableColumn id="13597" name="Columna13583" dataDxfId="19416" totalsRowDxfId="2792"/>
    <tableColumn id="13598" name="Columna13584" dataDxfId="19415" totalsRowDxfId="2791"/>
    <tableColumn id="13599" name="Columna13585" dataDxfId="19414" totalsRowDxfId="2790"/>
    <tableColumn id="13600" name="Columna13586" dataDxfId="19413" totalsRowDxfId="2789"/>
    <tableColumn id="13601" name="Columna13587" dataDxfId="19412" totalsRowDxfId="2788"/>
    <tableColumn id="13602" name="Columna13588" dataDxfId="19411" totalsRowDxfId="2787"/>
    <tableColumn id="13603" name="Columna13589" dataDxfId="19410" totalsRowDxfId="2786"/>
    <tableColumn id="13604" name="Columna13590" dataDxfId="19409" totalsRowDxfId="2785"/>
    <tableColumn id="13605" name="Columna13591" dataDxfId="19408" totalsRowDxfId="2784"/>
    <tableColumn id="13606" name="Columna13592" dataDxfId="19407" totalsRowDxfId="2783"/>
    <tableColumn id="13607" name="Columna13593" dataDxfId="19406" totalsRowDxfId="2782"/>
    <tableColumn id="13608" name="Columna13594" dataDxfId="19405" totalsRowDxfId="2781"/>
    <tableColumn id="13609" name="Columna13595" dataDxfId="19404" totalsRowDxfId="2780"/>
    <tableColumn id="13610" name="Columna13596" dataDxfId="19403" totalsRowDxfId="2779"/>
    <tableColumn id="13611" name="Columna13597" dataDxfId="19402" totalsRowDxfId="2778"/>
    <tableColumn id="13612" name="Columna13598" dataDxfId="19401" totalsRowDxfId="2777"/>
    <tableColumn id="13613" name="Columna13599" dataDxfId="19400" totalsRowDxfId="2776"/>
    <tableColumn id="13614" name="Columna13600" dataDxfId="19399" totalsRowDxfId="2775"/>
    <tableColumn id="13615" name="Columna13601" dataDxfId="19398" totalsRowDxfId="2774"/>
    <tableColumn id="13616" name="Columna13602" dataDxfId="19397" totalsRowDxfId="2773"/>
    <tableColumn id="13617" name="Columna13603" dataDxfId="19396" totalsRowDxfId="2772"/>
    <tableColumn id="13618" name="Columna13604" dataDxfId="19395" totalsRowDxfId="2771"/>
    <tableColumn id="13619" name="Columna13605" dataDxfId="19394" totalsRowDxfId="2770"/>
    <tableColumn id="13620" name="Columna13606" dataDxfId="19393" totalsRowDxfId="2769"/>
    <tableColumn id="13621" name="Columna13607" dataDxfId="19392" totalsRowDxfId="2768"/>
    <tableColumn id="13622" name="Columna13608" dataDxfId="19391" totalsRowDxfId="2767"/>
    <tableColumn id="13623" name="Columna13609" dataDxfId="19390" totalsRowDxfId="2766"/>
    <tableColumn id="13624" name="Columna13610" dataDxfId="19389" totalsRowDxfId="2765"/>
    <tableColumn id="13625" name="Columna13611" dataDxfId="19388" totalsRowDxfId="2764"/>
    <tableColumn id="13626" name="Columna13612" dataDxfId="19387" totalsRowDxfId="2763"/>
    <tableColumn id="13627" name="Columna13613" dataDxfId="19386" totalsRowDxfId="2762"/>
    <tableColumn id="13628" name="Columna13614" dataDxfId="19385" totalsRowDxfId="2761"/>
    <tableColumn id="13629" name="Columna13615" dataDxfId="19384" totalsRowDxfId="2760"/>
    <tableColumn id="13630" name="Columna13616" dataDxfId="19383" totalsRowDxfId="2759"/>
    <tableColumn id="13631" name="Columna13617" dataDxfId="19382" totalsRowDxfId="2758"/>
    <tableColumn id="13632" name="Columna13618" dataDxfId="19381" totalsRowDxfId="2757"/>
    <tableColumn id="13633" name="Columna13619" dataDxfId="19380" totalsRowDxfId="2756"/>
    <tableColumn id="13634" name="Columna13620" dataDxfId="19379" totalsRowDxfId="2755"/>
    <tableColumn id="13635" name="Columna13621" dataDxfId="19378" totalsRowDxfId="2754"/>
    <tableColumn id="13636" name="Columna13622" dataDxfId="19377" totalsRowDxfId="2753"/>
    <tableColumn id="13637" name="Columna13623" dataDxfId="19376" totalsRowDxfId="2752"/>
    <tableColumn id="13638" name="Columna13624" dataDxfId="19375" totalsRowDxfId="2751"/>
    <tableColumn id="13639" name="Columna13625" dataDxfId="19374" totalsRowDxfId="2750"/>
    <tableColumn id="13640" name="Columna13626" dataDxfId="19373" totalsRowDxfId="2749"/>
    <tableColumn id="13641" name="Columna13627" dataDxfId="19372" totalsRowDxfId="2748"/>
    <tableColumn id="13642" name="Columna13628" dataDxfId="19371" totalsRowDxfId="2747"/>
    <tableColumn id="13643" name="Columna13629" dataDxfId="19370" totalsRowDxfId="2746"/>
    <tableColumn id="13644" name="Columna13630" dataDxfId="19369" totalsRowDxfId="2745"/>
    <tableColumn id="13645" name="Columna13631" dataDxfId="19368" totalsRowDxfId="2744"/>
    <tableColumn id="13646" name="Columna13632" dataDxfId="19367" totalsRowDxfId="2743"/>
    <tableColumn id="13647" name="Columna13633" dataDxfId="19366" totalsRowDxfId="2742"/>
    <tableColumn id="13648" name="Columna13634" dataDxfId="19365" totalsRowDxfId="2741"/>
    <tableColumn id="13649" name="Columna13635" dataDxfId="19364" totalsRowDxfId="2740"/>
    <tableColumn id="13650" name="Columna13636" dataDxfId="19363" totalsRowDxfId="2739"/>
    <tableColumn id="13651" name="Columna13637" dataDxfId="19362" totalsRowDxfId="2738"/>
    <tableColumn id="13652" name="Columna13638" dataDxfId="19361" totalsRowDxfId="2737"/>
    <tableColumn id="13653" name="Columna13639" dataDxfId="19360" totalsRowDxfId="2736"/>
    <tableColumn id="13654" name="Columna13640" dataDxfId="19359" totalsRowDxfId="2735"/>
    <tableColumn id="13655" name="Columna13641" dataDxfId="19358" totalsRowDxfId="2734"/>
    <tableColumn id="13656" name="Columna13642" dataDxfId="19357" totalsRowDxfId="2733"/>
    <tableColumn id="13657" name="Columna13643" dataDxfId="19356" totalsRowDxfId="2732"/>
    <tableColumn id="13658" name="Columna13644" dataDxfId="19355" totalsRowDxfId="2731"/>
    <tableColumn id="13659" name="Columna13645" dataDxfId="19354" totalsRowDxfId="2730"/>
    <tableColumn id="13660" name="Columna13646" dataDxfId="19353" totalsRowDxfId="2729"/>
    <tableColumn id="13661" name="Columna13647" dataDxfId="19352" totalsRowDxfId="2728"/>
    <tableColumn id="13662" name="Columna13648" dataDxfId="19351" totalsRowDxfId="2727"/>
    <tableColumn id="13663" name="Columna13649" dataDxfId="19350" totalsRowDxfId="2726"/>
    <tableColumn id="13664" name="Columna13650" dataDxfId="19349" totalsRowDxfId="2725"/>
    <tableColumn id="13665" name="Columna13651" dataDxfId="19348" totalsRowDxfId="2724"/>
    <tableColumn id="13666" name="Columna13652" dataDxfId="19347" totalsRowDxfId="2723"/>
    <tableColumn id="13667" name="Columna13653" dataDxfId="19346" totalsRowDxfId="2722"/>
    <tableColumn id="13668" name="Columna13654" dataDxfId="19345" totalsRowDxfId="2721"/>
    <tableColumn id="13669" name="Columna13655" dataDxfId="19344" totalsRowDxfId="2720"/>
    <tableColumn id="13670" name="Columna13656" dataDxfId="19343" totalsRowDxfId="2719"/>
    <tableColumn id="13671" name="Columna13657" dataDxfId="19342" totalsRowDxfId="2718"/>
    <tableColumn id="13672" name="Columna13658" dataDxfId="19341" totalsRowDxfId="2717"/>
    <tableColumn id="13673" name="Columna13659" dataDxfId="19340" totalsRowDxfId="2716"/>
    <tableColumn id="13674" name="Columna13660" dataDxfId="19339" totalsRowDxfId="2715"/>
    <tableColumn id="13675" name="Columna13661" dataDxfId="19338" totalsRowDxfId="2714"/>
    <tableColumn id="13676" name="Columna13662" dataDxfId="19337" totalsRowDxfId="2713"/>
    <tableColumn id="13677" name="Columna13663" dataDxfId="19336" totalsRowDxfId="2712"/>
    <tableColumn id="13678" name="Columna13664" dataDxfId="19335" totalsRowDxfId="2711"/>
    <tableColumn id="13679" name="Columna13665" dataDxfId="19334" totalsRowDxfId="2710"/>
    <tableColumn id="13680" name="Columna13666" dataDxfId="19333" totalsRowDxfId="2709"/>
    <tableColumn id="13681" name="Columna13667" dataDxfId="19332" totalsRowDxfId="2708"/>
    <tableColumn id="13682" name="Columna13668" dataDxfId="19331" totalsRowDxfId="2707"/>
    <tableColumn id="13683" name="Columna13669" dataDxfId="19330" totalsRowDxfId="2706"/>
    <tableColumn id="13684" name="Columna13670" dataDxfId="19329" totalsRowDxfId="2705"/>
    <tableColumn id="13685" name="Columna13671" dataDxfId="19328" totalsRowDxfId="2704"/>
    <tableColumn id="13686" name="Columna13672" dataDxfId="19327" totalsRowDxfId="2703"/>
    <tableColumn id="13687" name="Columna13673" dataDxfId="19326" totalsRowDxfId="2702"/>
    <tableColumn id="13688" name="Columna13674" dataDxfId="19325" totalsRowDxfId="2701"/>
    <tableColumn id="13689" name="Columna13675" dataDxfId="19324" totalsRowDxfId="2700"/>
    <tableColumn id="13690" name="Columna13676" dataDxfId="19323" totalsRowDxfId="2699"/>
    <tableColumn id="13691" name="Columna13677" dataDxfId="19322" totalsRowDxfId="2698"/>
    <tableColumn id="13692" name="Columna13678" dataDxfId="19321" totalsRowDxfId="2697"/>
    <tableColumn id="13693" name="Columna13679" dataDxfId="19320" totalsRowDxfId="2696"/>
    <tableColumn id="13694" name="Columna13680" dataDxfId="19319" totalsRowDxfId="2695"/>
    <tableColumn id="13695" name="Columna13681" dataDxfId="19318" totalsRowDxfId="2694"/>
    <tableColumn id="13696" name="Columna13682" dataDxfId="19317" totalsRowDxfId="2693"/>
    <tableColumn id="13697" name="Columna13683" dataDxfId="19316" totalsRowDxfId="2692"/>
    <tableColumn id="13698" name="Columna13684" dataDxfId="19315" totalsRowDxfId="2691"/>
    <tableColumn id="13699" name="Columna13685" dataDxfId="19314" totalsRowDxfId="2690"/>
    <tableColumn id="13700" name="Columna13686" dataDxfId="19313" totalsRowDxfId="2689"/>
    <tableColumn id="13701" name="Columna13687" dataDxfId="19312" totalsRowDxfId="2688"/>
    <tableColumn id="13702" name="Columna13688" dataDxfId="19311" totalsRowDxfId="2687"/>
    <tableColumn id="13703" name="Columna13689" dataDxfId="19310" totalsRowDxfId="2686"/>
    <tableColumn id="13704" name="Columna13690" dataDxfId="19309" totalsRowDxfId="2685"/>
    <tableColumn id="13705" name="Columna13691" dataDxfId="19308" totalsRowDxfId="2684"/>
    <tableColumn id="13706" name="Columna13692" dataDxfId="19307" totalsRowDxfId="2683"/>
    <tableColumn id="13707" name="Columna13693" dataDxfId="19306" totalsRowDxfId="2682"/>
    <tableColumn id="13708" name="Columna13694" dataDxfId="19305" totalsRowDxfId="2681"/>
    <tableColumn id="13709" name="Columna13695" dataDxfId="19304" totalsRowDxfId="2680"/>
    <tableColumn id="13710" name="Columna13696" dataDxfId="19303" totalsRowDxfId="2679"/>
    <tableColumn id="13711" name="Columna13697" dataDxfId="19302" totalsRowDxfId="2678"/>
    <tableColumn id="13712" name="Columna13698" dataDxfId="19301" totalsRowDxfId="2677"/>
    <tableColumn id="13713" name="Columna13699" dataDxfId="19300" totalsRowDxfId="2676"/>
    <tableColumn id="13714" name="Columna13700" dataDxfId="19299" totalsRowDxfId="2675"/>
    <tableColumn id="13715" name="Columna13701" dataDxfId="19298" totalsRowDxfId="2674"/>
    <tableColumn id="13716" name="Columna13702" dataDxfId="19297" totalsRowDxfId="2673"/>
    <tableColumn id="13717" name="Columna13703" dataDxfId="19296" totalsRowDxfId="2672"/>
    <tableColumn id="13718" name="Columna13704" dataDxfId="19295" totalsRowDxfId="2671"/>
    <tableColumn id="13719" name="Columna13705" dataDxfId="19294" totalsRowDxfId="2670"/>
    <tableColumn id="13720" name="Columna13706" dataDxfId="19293" totalsRowDxfId="2669"/>
    <tableColumn id="13721" name="Columna13707" dataDxfId="19292" totalsRowDxfId="2668"/>
    <tableColumn id="13722" name="Columna13708" dataDxfId="19291" totalsRowDxfId="2667"/>
    <tableColumn id="13723" name="Columna13709" dataDxfId="19290" totalsRowDxfId="2666"/>
    <tableColumn id="13724" name="Columna13710" dataDxfId="19289" totalsRowDxfId="2665"/>
    <tableColumn id="13725" name="Columna13711" dataDxfId="19288" totalsRowDxfId="2664"/>
    <tableColumn id="13726" name="Columna13712" dataDxfId="19287" totalsRowDxfId="2663"/>
    <tableColumn id="13727" name="Columna13713" dataDxfId="19286" totalsRowDxfId="2662"/>
    <tableColumn id="13728" name="Columna13714" dataDxfId="19285" totalsRowDxfId="2661"/>
    <tableColumn id="13729" name="Columna13715" dataDxfId="19284" totalsRowDxfId="2660"/>
    <tableColumn id="13730" name="Columna13716" dataDxfId="19283" totalsRowDxfId="2659"/>
    <tableColumn id="13731" name="Columna13717" dataDxfId="19282" totalsRowDxfId="2658"/>
    <tableColumn id="13732" name="Columna13718" dataDxfId="19281" totalsRowDxfId="2657"/>
    <tableColumn id="13733" name="Columna13719" dataDxfId="19280" totalsRowDxfId="2656"/>
    <tableColumn id="13734" name="Columna13720" dataDxfId="19279" totalsRowDxfId="2655"/>
    <tableColumn id="13735" name="Columna13721" dataDxfId="19278" totalsRowDxfId="2654"/>
    <tableColumn id="13736" name="Columna13722" dataDxfId="19277" totalsRowDxfId="2653"/>
    <tableColumn id="13737" name="Columna13723" dataDxfId="19276" totalsRowDxfId="2652"/>
    <tableColumn id="13738" name="Columna13724" dataDxfId="19275" totalsRowDxfId="2651"/>
    <tableColumn id="13739" name="Columna13725" dataDxfId="19274" totalsRowDxfId="2650"/>
    <tableColumn id="13740" name="Columna13726" dataDxfId="19273" totalsRowDxfId="2649"/>
    <tableColumn id="13741" name="Columna13727" dataDxfId="19272" totalsRowDxfId="2648"/>
    <tableColumn id="13742" name="Columna13728" dataDxfId="19271" totalsRowDxfId="2647"/>
    <tableColumn id="13743" name="Columna13729" dataDxfId="19270" totalsRowDxfId="2646"/>
    <tableColumn id="13744" name="Columna13730" dataDxfId="19269" totalsRowDxfId="2645"/>
    <tableColumn id="13745" name="Columna13731" dataDxfId="19268" totalsRowDxfId="2644"/>
    <tableColumn id="13746" name="Columna13732" dataDxfId="19267" totalsRowDxfId="2643"/>
    <tableColumn id="13747" name="Columna13733" dataDxfId="19266" totalsRowDxfId="2642"/>
    <tableColumn id="13748" name="Columna13734" dataDxfId="19265" totalsRowDxfId="2641"/>
    <tableColumn id="13749" name="Columna13735" dataDxfId="19264" totalsRowDxfId="2640"/>
    <tableColumn id="13750" name="Columna13736" dataDxfId="19263" totalsRowDxfId="2639"/>
    <tableColumn id="13751" name="Columna13737" dataDxfId="19262" totalsRowDxfId="2638"/>
    <tableColumn id="13752" name="Columna13738" dataDxfId="19261" totalsRowDxfId="2637"/>
    <tableColumn id="13753" name="Columna13739" dataDxfId="19260" totalsRowDxfId="2636"/>
    <tableColumn id="13754" name="Columna13740" dataDxfId="19259" totalsRowDxfId="2635"/>
    <tableColumn id="13755" name="Columna13741" dataDxfId="19258" totalsRowDxfId="2634"/>
    <tableColumn id="13756" name="Columna13742" dataDxfId="19257" totalsRowDxfId="2633"/>
    <tableColumn id="13757" name="Columna13743" dataDxfId="19256" totalsRowDxfId="2632"/>
    <tableColumn id="13758" name="Columna13744" dataDxfId="19255" totalsRowDxfId="2631"/>
    <tableColumn id="13759" name="Columna13745" dataDxfId="19254" totalsRowDxfId="2630"/>
    <tableColumn id="13760" name="Columna13746" dataDxfId="19253" totalsRowDxfId="2629"/>
    <tableColumn id="13761" name="Columna13747" dataDxfId="19252" totalsRowDxfId="2628"/>
    <tableColumn id="13762" name="Columna13748" dataDxfId="19251" totalsRowDxfId="2627"/>
    <tableColumn id="13763" name="Columna13749" dataDxfId="19250" totalsRowDxfId="2626"/>
    <tableColumn id="13764" name="Columna13750" dataDxfId="19249" totalsRowDxfId="2625"/>
    <tableColumn id="13765" name="Columna13751" dataDxfId="19248" totalsRowDxfId="2624"/>
    <tableColumn id="13766" name="Columna13752" dataDxfId="19247" totalsRowDxfId="2623"/>
    <tableColumn id="13767" name="Columna13753" dataDxfId="19246" totalsRowDxfId="2622"/>
    <tableColumn id="13768" name="Columna13754" dataDxfId="19245" totalsRowDxfId="2621"/>
    <tableColumn id="13769" name="Columna13755" dataDxfId="19244" totalsRowDxfId="2620"/>
    <tableColumn id="13770" name="Columna13756" dataDxfId="19243" totalsRowDxfId="2619"/>
    <tableColumn id="13771" name="Columna13757" dataDxfId="19242" totalsRowDxfId="2618"/>
    <tableColumn id="13772" name="Columna13758" dataDxfId="19241" totalsRowDxfId="2617"/>
    <tableColumn id="13773" name="Columna13759" dataDxfId="19240" totalsRowDxfId="2616"/>
    <tableColumn id="13774" name="Columna13760" dataDxfId="19239" totalsRowDxfId="2615"/>
    <tableColumn id="13775" name="Columna13761" dataDxfId="19238" totalsRowDxfId="2614"/>
    <tableColumn id="13776" name="Columna13762" dataDxfId="19237" totalsRowDxfId="2613"/>
    <tableColumn id="13777" name="Columna13763" dataDxfId="19236" totalsRowDxfId="2612"/>
    <tableColumn id="13778" name="Columna13764" dataDxfId="19235" totalsRowDxfId="2611"/>
    <tableColumn id="13779" name="Columna13765" dataDxfId="19234" totalsRowDxfId="2610"/>
    <tableColumn id="13780" name="Columna13766" dataDxfId="19233" totalsRowDxfId="2609"/>
    <tableColumn id="13781" name="Columna13767" dataDxfId="19232" totalsRowDxfId="2608"/>
    <tableColumn id="13782" name="Columna13768" dataDxfId="19231" totalsRowDxfId="2607"/>
    <tableColumn id="13783" name="Columna13769" dataDxfId="19230" totalsRowDxfId="2606"/>
    <tableColumn id="13784" name="Columna13770" dataDxfId="19229" totalsRowDxfId="2605"/>
    <tableColumn id="13785" name="Columna13771" dataDxfId="19228" totalsRowDxfId="2604"/>
    <tableColumn id="13786" name="Columna13772" dataDxfId="19227" totalsRowDxfId="2603"/>
    <tableColumn id="13787" name="Columna13773" dataDxfId="19226" totalsRowDxfId="2602"/>
    <tableColumn id="13788" name="Columna13774" dataDxfId="19225" totalsRowDxfId="2601"/>
    <tableColumn id="13789" name="Columna13775" dataDxfId="19224" totalsRowDxfId="2600"/>
    <tableColumn id="13790" name="Columna13776" dataDxfId="19223" totalsRowDxfId="2599"/>
    <tableColumn id="13791" name="Columna13777" dataDxfId="19222" totalsRowDxfId="2598"/>
    <tableColumn id="13792" name="Columna13778" dataDxfId="19221" totalsRowDxfId="2597"/>
    <tableColumn id="13793" name="Columna13779" dataDxfId="19220" totalsRowDxfId="2596"/>
    <tableColumn id="13794" name="Columna13780" dataDxfId="19219" totalsRowDxfId="2595"/>
    <tableColumn id="13795" name="Columna13781" dataDxfId="19218" totalsRowDxfId="2594"/>
    <tableColumn id="13796" name="Columna13782" dataDxfId="19217" totalsRowDxfId="2593"/>
    <tableColumn id="13797" name="Columna13783" dataDxfId="19216" totalsRowDxfId="2592"/>
    <tableColumn id="13798" name="Columna13784" dataDxfId="19215" totalsRowDxfId="2591"/>
    <tableColumn id="13799" name="Columna13785" dataDxfId="19214" totalsRowDxfId="2590"/>
    <tableColumn id="13800" name="Columna13786" dataDxfId="19213" totalsRowDxfId="2589"/>
    <tableColumn id="13801" name="Columna13787" dataDxfId="19212" totalsRowDxfId="2588"/>
    <tableColumn id="13802" name="Columna13788" dataDxfId="19211" totalsRowDxfId="2587"/>
    <tableColumn id="13803" name="Columna13789" dataDxfId="19210" totalsRowDxfId="2586"/>
    <tableColumn id="13804" name="Columna13790" dataDxfId="19209" totalsRowDxfId="2585"/>
    <tableColumn id="13805" name="Columna13791" dataDxfId="19208" totalsRowDxfId="2584"/>
    <tableColumn id="13806" name="Columna13792" dataDxfId="19207" totalsRowDxfId="2583"/>
    <tableColumn id="13807" name="Columna13793" dataDxfId="19206" totalsRowDxfId="2582"/>
    <tableColumn id="13808" name="Columna13794" dataDxfId="19205" totalsRowDxfId="2581"/>
    <tableColumn id="13809" name="Columna13795" dataDxfId="19204" totalsRowDxfId="2580"/>
    <tableColumn id="13810" name="Columna13796" dataDxfId="19203" totalsRowDxfId="2579"/>
    <tableColumn id="13811" name="Columna13797" dataDxfId="19202" totalsRowDxfId="2578"/>
    <tableColumn id="13812" name="Columna13798" dataDxfId="19201" totalsRowDxfId="2577"/>
    <tableColumn id="13813" name="Columna13799" dataDxfId="19200" totalsRowDxfId="2576"/>
    <tableColumn id="13814" name="Columna13800" dataDxfId="19199" totalsRowDxfId="2575"/>
    <tableColumn id="13815" name="Columna13801" dataDxfId="19198" totalsRowDxfId="2574"/>
    <tableColumn id="13816" name="Columna13802" dataDxfId="19197" totalsRowDxfId="2573"/>
    <tableColumn id="13817" name="Columna13803" dataDxfId="19196" totalsRowDxfId="2572"/>
    <tableColumn id="13818" name="Columna13804" dataDxfId="19195" totalsRowDxfId="2571"/>
    <tableColumn id="13819" name="Columna13805" dataDxfId="19194" totalsRowDxfId="2570"/>
    <tableColumn id="13820" name="Columna13806" dataDxfId="19193" totalsRowDxfId="2569"/>
    <tableColumn id="13821" name="Columna13807" dataDxfId="19192" totalsRowDxfId="2568"/>
    <tableColumn id="13822" name="Columna13808" dataDxfId="19191" totalsRowDxfId="2567"/>
    <tableColumn id="13823" name="Columna13809" dataDxfId="19190" totalsRowDxfId="2566"/>
    <tableColumn id="13824" name="Columna13810" dataDxfId="19189" totalsRowDxfId="2565"/>
    <tableColumn id="13825" name="Columna13811" dataDxfId="19188" totalsRowDxfId="2564"/>
    <tableColumn id="13826" name="Columna13812" dataDxfId="19187" totalsRowDxfId="2563"/>
    <tableColumn id="13827" name="Columna13813" dataDxfId="19186" totalsRowDxfId="2562"/>
    <tableColumn id="13828" name="Columna13814" dataDxfId="19185" totalsRowDxfId="2561"/>
    <tableColumn id="13829" name="Columna13815" dataDxfId="19184" totalsRowDxfId="2560"/>
    <tableColumn id="13830" name="Columna13816" dataDxfId="19183" totalsRowDxfId="2559"/>
    <tableColumn id="13831" name="Columna13817" dataDxfId="19182" totalsRowDxfId="2558"/>
    <tableColumn id="13832" name="Columna13818" dataDxfId="19181" totalsRowDxfId="2557"/>
    <tableColumn id="13833" name="Columna13819" dataDxfId="19180" totalsRowDxfId="2556"/>
    <tableColumn id="13834" name="Columna13820" dataDxfId="19179" totalsRowDxfId="2555"/>
    <tableColumn id="13835" name="Columna13821" dataDxfId="19178" totalsRowDxfId="2554"/>
    <tableColumn id="13836" name="Columna13822" dataDxfId="19177" totalsRowDxfId="2553"/>
    <tableColumn id="13837" name="Columna13823" dataDxfId="19176" totalsRowDxfId="2552"/>
    <tableColumn id="13838" name="Columna13824" dataDxfId="19175" totalsRowDxfId="2551"/>
    <tableColumn id="13839" name="Columna13825" dataDxfId="19174" totalsRowDxfId="2550"/>
    <tableColumn id="13840" name="Columna13826" dataDxfId="19173" totalsRowDxfId="2549"/>
    <tableColumn id="13841" name="Columna13827" dataDxfId="19172" totalsRowDxfId="2548"/>
    <tableColumn id="13842" name="Columna13828" dataDxfId="19171" totalsRowDxfId="2547"/>
    <tableColumn id="13843" name="Columna13829" dataDxfId="19170" totalsRowDxfId="2546"/>
    <tableColumn id="13844" name="Columna13830" dataDxfId="19169" totalsRowDxfId="2545"/>
    <tableColumn id="13845" name="Columna13831" dataDxfId="19168" totalsRowDxfId="2544"/>
    <tableColumn id="13846" name="Columna13832" dataDxfId="19167" totalsRowDxfId="2543"/>
    <tableColumn id="13847" name="Columna13833" dataDxfId="19166" totalsRowDxfId="2542"/>
    <tableColumn id="13848" name="Columna13834" dataDxfId="19165" totalsRowDxfId="2541"/>
    <tableColumn id="13849" name="Columna13835" dataDxfId="19164" totalsRowDxfId="2540"/>
    <tableColumn id="13850" name="Columna13836" dataDxfId="19163" totalsRowDxfId="2539"/>
    <tableColumn id="13851" name="Columna13837" dataDxfId="19162" totalsRowDxfId="2538"/>
    <tableColumn id="13852" name="Columna13838" dataDxfId="19161" totalsRowDxfId="2537"/>
    <tableColumn id="13853" name="Columna13839" dataDxfId="19160" totalsRowDxfId="2536"/>
    <tableColumn id="13854" name="Columna13840" dataDxfId="19159" totalsRowDxfId="2535"/>
    <tableColumn id="13855" name="Columna13841" dataDxfId="19158" totalsRowDxfId="2534"/>
    <tableColumn id="13856" name="Columna13842" dataDxfId="19157" totalsRowDxfId="2533"/>
    <tableColumn id="13857" name="Columna13843" dataDxfId="19156" totalsRowDxfId="2532"/>
    <tableColumn id="13858" name="Columna13844" dataDxfId="19155" totalsRowDxfId="2531"/>
    <tableColumn id="13859" name="Columna13845" dataDxfId="19154" totalsRowDxfId="2530"/>
    <tableColumn id="13860" name="Columna13846" dataDxfId="19153" totalsRowDxfId="2529"/>
    <tableColumn id="13861" name="Columna13847" dataDxfId="19152" totalsRowDxfId="2528"/>
    <tableColumn id="13862" name="Columna13848" dataDxfId="19151" totalsRowDxfId="2527"/>
    <tableColumn id="13863" name="Columna13849" dataDxfId="19150" totalsRowDxfId="2526"/>
    <tableColumn id="13864" name="Columna13850" dataDxfId="19149" totalsRowDxfId="2525"/>
    <tableColumn id="13865" name="Columna13851" dataDxfId="19148" totalsRowDxfId="2524"/>
    <tableColumn id="13866" name="Columna13852" dataDxfId="19147" totalsRowDxfId="2523"/>
    <tableColumn id="13867" name="Columna13853" dataDxfId="19146" totalsRowDxfId="2522"/>
    <tableColumn id="13868" name="Columna13854" dataDxfId="19145" totalsRowDxfId="2521"/>
    <tableColumn id="13869" name="Columna13855" dataDxfId="19144" totalsRowDxfId="2520"/>
    <tableColumn id="13870" name="Columna13856" dataDxfId="19143" totalsRowDxfId="2519"/>
    <tableColumn id="13871" name="Columna13857" dataDxfId="19142" totalsRowDxfId="2518"/>
    <tableColumn id="13872" name="Columna13858" dataDxfId="19141" totalsRowDxfId="2517"/>
    <tableColumn id="13873" name="Columna13859" dataDxfId="19140" totalsRowDxfId="2516"/>
    <tableColumn id="13874" name="Columna13860" dataDxfId="19139" totalsRowDxfId="2515"/>
    <tableColumn id="13875" name="Columna13861" dataDxfId="19138" totalsRowDxfId="2514"/>
    <tableColumn id="13876" name="Columna13862" dataDxfId="19137" totalsRowDxfId="2513"/>
    <tableColumn id="13877" name="Columna13863" dataDxfId="19136" totalsRowDxfId="2512"/>
    <tableColumn id="13878" name="Columna13864" dataDxfId="19135" totalsRowDxfId="2511"/>
    <tableColumn id="13879" name="Columna13865" dataDxfId="19134" totalsRowDxfId="2510"/>
    <tableColumn id="13880" name="Columna13866" dataDxfId="19133" totalsRowDxfId="2509"/>
    <tableColumn id="13881" name="Columna13867" dataDxfId="19132" totalsRowDxfId="2508"/>
    <tableColumn id="13882" name="Columna13868" dataDxfId="19131" totalsRowDxfId="2507"/>
    <tableColumn id="13883" name="Columna13869" dataDxfId="19130" totalsRowDxfId="2506"/>
    <tableColumn id="13884" name="Columna13870" dataDxfId="19129" totalsRowDxfId="2505"/>
    <tableColumn id="13885" name="Columna13871" dataDxfId="19128" totalsRowDxfId="2504"/>
    <tableColumn id="13886" name="Columna13872" dataDxfId="19127" totalsRowDxfId="2503"/>
    <tableColumn id="13887" name="Columna13873" dataDxfId="19126" totalsRowDxfId="2502"/>
    <tableColumn id="13888" name="Columna13874" dataDxfId="19125" totalsRowDxfId="2501"/>
    <tableColumn id="13889" name="Columna13875" dataDxfId="19124" totalsRowDxfId="2500"/>
    <tableColumn id="13890" name="Columna13876" dataDxfId="19123" totalsRowDxfId="2499"/>
    <tableColumn id="13891" name="Columna13877" dataDxfId="19122" totalsRowDxfId="2498"/>
    <tableColumn id="13892" name="Columna13878" dataDxfId="19121" totalsRowDxfId="2497"/>
    <tableColumn id="13893" name="Columna13879" dataDxfId="19120" totalsRowDxfId="2496"/>
    <tableColumn id="13894" name="Columna13880" dataDxfId="19119" totalsRowDxfId="2495"/>
    <tableColumn id="13895" name="Columna13881" dataDxfId="19118" totalsRowDxfId="2494"/>
    <tableColumn id="13896" name="Columna13882" dataDxfId="19117" totalsRowDxfId="2493"/>
    <tableColumn id="13897" name="Columna13883" dataDxfId="19116" totalsRowDxfId="2492"/>
    <tableColumn id="13898" name="Columna13884" dataDxfId="19115" totalsRowDxfId="2491"/>
    <tableColumn id="13899" name="Columna13885" dataDxfId="19114" totalsRowDxfId="2490"/>
    <tableColumn id="13900" name="Columna13886" dataDxfId="19113" totalsRowDxfId="2489"/>
    <tableColumn id="13901" name="Columna13887" dataDxfId="19112" totalsRowDxfId="2488"/>
    <tableColumn id="13902" name="Columna13888" dataDxfId="19111" totalsRowDxfId="2487"/>
    <tableColumn id="13903" name="Columna13889" dataDxfId="19110" totalsRowDxfId="2486"/>
    <tableColumn id="13904" name="Columna13890" dataDxfId="19109" totalsRowDxfId="2485"/>
    <tableColumn id="13905" name="Columna13891" dataDxfId="19108" totalsRowDxfId="2484"/>
    <tableColumn id="13906" name="Columna13892" dataDxfId="19107" totalsRowDxfId="2483"/>
    <tableColumn id="13907" name="Columna13893" dataDxfId="19106" totalsRowDxfId="2482"/>
    <tableColumn id="13908" name="Columna13894" dataDxfId="19105" totalsRowDxfId="2481"/>
    <tableColumn id="13909" name="Columna13895" dataDxfId="19104" totalsRowDxfId="2480"/>
    <tableColumn id="13910" name="Columna13896" dataDxfId="19103" totalsRowDxfId="2479"/>
    <tableColumn id="13911" name="Columna13897" dataDxfId="19102" totalsRowDxfId="2478"/>
    <tableColumn id="13912" name="Columna13898" dataDxfId="19101" totalsRowDxfId="2477"/>
    <tableColumn id="13913" name="Columna13899" dataDxfId="19100" totalsRowDxfId="2476"/>
    <tableColumn id="13914" name="Columna13900" dataDxfId="19099" totalsRowDxfId="2475"/>
    <tableColumn id="13915" name="Columna13901" dataDxfId="19098" totalsRowDxfId="2474"/>
    <tableColumn id="13916" name="Columna13902" dataDxfId="19097" totalsRowDxfId="2473"/>
    <tableColumn id="13917" name="Columna13903" dataDxfId="19096" totalsRowDxfId="2472"/>
    <tableColumn id="13918" name="Columna13904" dataDxfId="19095" totalsRowDxfId="2471"/>
    <tableColumn id="13919" name="Columna13905" dataDxfId="19094" totalsRowDxfId="2470"/>
    <tableColumn id="13920" name="Columna13906" dataDxfId="19093" totalsRowDxfId="2469"/>
    <tableColumn id="13921" name="Columna13907" dataDxfId="19092" totalsRowDxfId="2468"/>
    <tableColumn id="13922" name="Columna13908" dataDxfId="19091" totalsRowDxfId="2467"/>
    <tableColumn id="13923" name="Columna13909" dataDxfId="19090" totalsRowDxfId="2466"/>
    <tableColumn id="13924" name="Columna13910" dataDxfId="19089" totalsRowDxfId="2465"/>
    <tableColumn id="13925" name="Columna13911" dataDxfId="19088" totalsRowDxfId="2464"/>
    <tableColumn id="13926" name="Columna13912" dataDxfId="19087" totalsRowDxfId="2463"/>
    <tableColumn id="13927" name="Columna13913" dataDxfId="19086" totalsRowDxfId="2462"/>
    <tableColumn id="13928" name="Columna13914" dataDxfId="19085" totalsRowDxfId="2461"/>
    <tableColumn id="13929" name="Columna13915" dataDxfId="19084" totalsRowDxfId="2460"/>
    <tableColumn id="13930" name="Columna13916" dataDxfId="19083" totalsRowDxfId="2459"/>
    <tableColumn id="13931" name="Columna13917" dataDxfId="19082" totalsRowDxfId="2458"/>
    <tableColumn id="13932" name="Columna13918" dataDxfId="19081" totalsRowDxfId="2457"/>
    <tableColumn id="13933" name="Columna13919" dataDxfId="19080" totalsRowDxfId="2456"/>
    <tableColumn id="13934" name="Columna13920" dataDxfId="19079" totalsRowDxfId="2455"/>
    <tableColumn id="13935" name="Columna13921" dataDxfId="19078" totalsRowDxfId="2454"/>
    <tableColumn id="13936" name="Columna13922" dataDxfId="19077" totalsRowDxfId="2453"/>
    <tableColumn id="13937" name="Columna13923" dataDxfId="19076" totalsRowDxfId="2452"/>
    <tableColumn id="13938" name="Columna13924" dataDxfId="19075" totalsRowDxfId="2451"/>
    <tableColumn id="13939" name="Columna13925" dataDxfId="19074" totalsRowDxfId="2450"/>
    <tableColumn id="13940" name="Columna13926" dataDxfId="19073" totalsRowDxfId="2449"/>
    <tableColumn id="13941" name="Columna13927" dataDxfId="19072" totalsRowDxfId="2448"/>
    <tableColumn id="13942" name="Columna13928" dataDxfId="19071" totalsRowDxfId="2447"/>
    <tableColumn id="13943" name="Columna13929" dataDxfId="19070" totalsRowDxfId="2446"/>
    <tableColumn id="13944" name="Columna13930" dataDxfId="19069" totalsRowDxfId="2445"/>
    <tableColumn id="13945" name="Columna13931" dataDxfId="19068" totalsRowDxfId="2444"/>
    <tableColumn id="13946" name="Columna13932" dataDxfId="19067" totalsRowDxfId="2443"/>
    <tableColumn id="13947" name="Columna13933" dataDxfId="19066" totalsRowDxfId="2442"/>
    <tableColumn id="13948" name="Columna13934" dataDxfId="19065" totalsRowDxfId="2441"/>
    <tableColumn id="13949" name="Columna13935" dataDxfId="19064" totalsRowDxfId="2440"/>
    <tableColumn id="13950" name="Columna13936" dataDxfId="19063" totalsRowDxfId="2439"/>
    <tableColumn id="13951" name="Columna13937" dataDxfId="19062" totalsRowDxfId="2438"/>
    <tableColumn id="13952" name="Columna13938" dataDxfId="19061" totalsRowDxfId="2437"/>
    <tableColumn id="13953" name="Columna13939" dataDxfId="19060" totalsRowDxfId="2436"/>
    <tableColumn id="13954" name="Columna13940" dataDxfId="19059" totalsRowDxfId="2435"/>
    <tableColumn id="13955" name="Columna13941" dataDxfId="19058" totalsRowDxfId="2434"/>
    <tableColumn id="13956" name="Columna13942" dataDxfId="19057" totalsRowDxfId="2433"/>
    <tableColumn id="13957" name="Columna13943" dataDxfId="19056" totalsRowDxfId="2432"/>
    <tableColumn id="13958" name="Columna13944" dataDxfId="19055" totalsRowDxfId="2431"/>
    <tableColumn id="13959" name="Columna13945" dataDxfId="19054" totalsRowDxfId="2430"/>
    <tableColumn id="13960" name="Columna13946" dataDxfId="19053" totalsRowDxfId="2429"/>
    <tableColumn id="13961" name="Columna13947" dataDxfId="19052" totalsRowDxfId="2428"/>
    <tableColumn id="13962" name="Columna13948" dataDxfId="19051" totalsRowDxfId="2427"/>
    <tableColumn id="13963" name="Columna13949" dataDxfId="19050" totalsRowDxfId="2426"/>
    <tableColumn id="13964" name="Columna13950" dataDxfId="19049" totalsRowDxfId="2425"/>
    <tableColumn id="13965" name="Columna13951" dataDxfId="19048" totalsRowDxfId="2424"/>
    <tableColumn id="13966" name="Columna13952" dataDxfId="19047" totalsRowDxfId="2423"/>
    <tableColumn id="13967" name="Columna13953" dataDxfId="19046" totalsRowDxfId="2422"/>
    <tableColumn id="13968" name="Columna13954" dataDxfId="19045" totalsRowDxfId="2421"/>
    <tableColumn id="13969" name="Columna13955" dataDxfId="19044" totalsRowDxfId="2420"/>
    <tableColumn id="13970" name="Columna13956" dataDxfId="19043" totalsRowDxfId="2419"/>
    <tableColumn id="13971" name="Columna13957" dataDxfId="19042" totalsRowDxfId="2418"/>
    <tableColumn id="13972" name="Columna13958" dataDxfId="19041" totalsRowDxfId="2417"/>
    <tableColumn id="13973" name="Columna13959" dataDxfId="19040" totalsRowDxfId="2416"/>
    <tableColumn id="13974" name="Columna13960" dataDxfId="19039" totalsRowDxfId="2415"/>
    <tableColumn id="13975" name="Columna13961" dataDxfId="19038" totalsRowDxfId="2414"/>
    <tableColumn id="13976" name="Columna13962" dataDxfId="19037" totalsRowDxfId="2413"/>
    <tableColumn id="13977" name="Columna13963" dataDxfId="19036" totalsRowDxfId="2412"/>
    <tableColumn id="13978" name="Columna13964" dataDxfId="19035" totalsRowDxfId="2411"/>
    <tableColumn id="13979" name="Columna13965" dataDxfId="19034" totalsRowDxfId="2410"/>
    <tableColumn id="13980" name="Columna13966" dataDxfId="19033" totalsRowDxfId="2409"/>
    <tableColumn id="13981" name="Columna13967" dataDxfId="19032" totalsRowDxfId="2408"/>
    <tableColumn id="13982" name="Columna13968" dataDxfId="19031" totalsRowDxfId="2407"/>
    <tableColumn id="13983" name="Columna13969" dataDxfId="19030" totalsRowDxfId="2406"/>
    <tableColumn id="13984" name="Columna13970" dataDxfId="19029" totalsRowDxfId="2405"/>
    <tableColumn id="13985" name="Columna13971" dataDxfId="19028" totalsRowDxfId="2404"/>
    <tableColumn id="13986" name="Columna13972" dataDxfId="19027" totalsRowDxfId="2403"/>
    <tableColumn id="13987" name="Columna13973" dataDxfId="19026" totalsRowDxfId="2402"/>
    <tableColumn id="13988" name="Columna13974" dataDxfId="19025" totalsRowDxfId="2401"/>
    <tableColumn id="13989" name="Columna13975" dataDxfId="19024" totalsRowDxfId="2400"/>
    <tableColumn id="13990" name="Columna13976" dataDxfId="19023" totalsRowDxfId="2399"/>
    <tableColumn id="13991" name="Columna13977" dataDxfId="19022" totalsRowDxfId="2398"/>
    <tableColumn id="13992" name="Columna13978" dataDxfId="19021" totalsRowDxfId="2397"/>
    <tableColumn id="13993" name="Columna13979" dataDxfId="19020" totalsRowDxfId="2396"/>
    <tableColumn id="13994" name="Columna13980" dataDxfId="19019" totalsRowDxfId="2395"/>
    <tableColumn id="13995" name="Columna13981" dataDxfId="19018" totalsRowDxfId="2394"/>
    <tableColumn id="13996" name="Columna13982" dataDxfId="19017" totalsRowDxfId="2393"/>
    <tableColumn id="13997" name="Columna13983" dataDxfId="19016" totalsRowDxfId="2392"/>
    <tableColumn id="13998" name="Columna13984" dataDxfId="19015" totalsRowDxfId="2391"/>
    <tableColumn id="13999" name="Columna13985" dataDxfId="19014" totalsRowDxfId="2390"/>
    <tableColumn id="14000" name="Columna13986" dataDxfId="19013" totalsRowDxfId="2389"/>
    <tableColumn id="14001" name="Columna13987" dataDxfId="19012" totalsRowDxfId="2388"/>
    <tableColumn id="14002" name="Columna13988" dataDxfId="19011" totalsRowDxfId="2387"/>
    <tableColumn id="14003" name="Columna13989" dataDxfId="19010" totalsRowDxfId="2386"/>
    <tableColumn id="14004" name="Columna13990" dataDxfId="19009" totalsRowDxfId="2385"/>
    <tableColumn id="14005" name="Columna13991" dataDxfId="19008" totalsRowDxfId="2384"/>
    <tableColumn id="14006" name="Columna13992" dataDxfId="19007" totalsRowDxfId="2383"/>
    <tableColumn id="14007" name="Columna13993" dataDxfId="19006" totalsRowDxfId="2382"/>
    <tableColumn id="14008" name="Columna13994" dataDxfId="19005" totalsRowDxfId="2381"/>
    <tableColumn id="14009" name="Columna13995" dataDxfId="19004" totalsRowDxfId="2380"/>
    <tableColumn id="14010" name="Columna13996" dataDxfId="19003" totalsRowDxfId="2379"/>
    <tableColumn id="14011" name="Columna13997" dataDxfId="19002" totalsRowDxfId="2378"/>
    <tableColumn id="14012" name="Columna13998" dataDxfId="19001" totalsRowDxfId="2377"/>
    <tableColumn id="14013" name="Columna13999" dataDxfId="19000" totalsRowDxfId="2376"/>
    <tableColumn id="14014" name="Columna14000" dataDxfId="18999" totalsRowDxfId="2375"/>
    <tableColumn id="14015" name="Columna14001" dataDxfId="18998" totalsRowDxfId="2374"/>
    <tableColumn id="14016" name="Columna14002" dataDxfId="18997" totalsRowDxfId="2373"/>
    <tableColumn id="14017" name="Columna14003" dataDxfId="18996" totalsRowDxfId="2372"/>
    <tableColumn id="14018" name="Columna14004" dataDxfId="18995" totalsRowDxfId="2371"/>
    <tableColumn id="14019" name="Columna14005" dataDxfId="18994" totalsRowDxfId="2370"/>
    <tableColumn id="14020" name="Columna14006" dataDxfId="18993" totalsRowDxfId="2369"/>
    <tableColumn id="14021" name="Columna14007" dataDxfId="18992" totalsRowDxfId="2368"/>
    <tableColumn id="14022" name="Columna14008" dataDxfId="18991" totalsRowDxfId="2367"/>
    <tableColumn id="14023" name="Columna14009" dataDxfId="18990" totalsRowDxfId="2366"/>
    <tableColumn id="14024" name="Columna14010" dataDxfId="18989" totalsRowDxfId="2365"/>
    <tableColumn id="14025" name="Columna14011" dataDxfId="18988" totalsRowDxfId="2364"/>
    <tableColumn id="14026" name="Columna14012" dataDxfId="18987" totalsRowDxfId="2363"/>
    <tableColumn id="14027" name="Columna14013" dataDxfId="18986" totalsRowDxfId="2362"/>
    <tableColumn id="14028" name="Columna14014" dataDxfId="18985" totalsRowDxfId="2361"/>
    <tableColumn id="14029" name="Columna14015" dataDxfId="18984" totalsRowDxfId="2360"/>
    <tableColumn id="14030" name="Columna14016" dataDxfId="18983" totalsRowDxfId="2359"/>
    <tableColumn id="14031" name="Columna14017" dataDxfId="18982" totalsRowDxfId="2358"/>
    <tableColumn id="14032" name="Columna14018" dataDxfId="18981" totalsRowDxfId="2357"/>
    <tableColumn id="14033" name="Columna14019" dataDxfId="18980" totalsRowDxfId="2356"/>
    <tableColumn id="14034" name="Columna14020" dataDxfId="18979" totalsRowDxfId="2355"/>
    <tableColumn id="14035" name="Columna14021" dataDxfId="18978" totalsRowDxfId="2354"/>
    <tableColumn id="14036" name="Columna14022" dataDxfId="18977" totalsRowDxfId="2353"/>
    <tableColumn id="14037" name="Columna14023" dataDxfId="18976" totalsRowDxfId="2352"/>
    <tableColumn id="14038" name="Columna14024" dataDxfId="18975" totalsRowDxfId="2351"/>
    <tableColumn id="14039" name="Columna14025" dataDxfId="18974" totalsRowDxfId="2350"/>
    <tableColumn id="14040" name="Columna14026" dataDxfId="18973" totalsRowDxfId="2349"/>
    <tableColumn id="14041" name="Columna14027" dataDxfId="18972" totalsRowDxfId="2348"/>
    <tableColumn id="14042" name="Columna14028" dataDxfId="18971" totalsRowDxfId="2347"/>
    <tableColumn id="14043" name="Columna14029" dataDxfId="18970" totalsRowDxfId="2346"/>
    <tableColumn id="14044" name="Columna14030" dataDxfId="18969" totalsRowDxfId="2345"/>
    <tableColumn id="14045" name="Columna14031" dataDxfId="18968" totalsRowDxfId="2344"/>
    <tableColumn id="14046" name="Columna14032" dataDxfId="18967" totalsRowDxfId="2343"/>
    <tableColumn id="14047" name="Columna14033" dataDxfId="18966" totalsRowDxfId="2342"/>
    <tableColumn id="14048" name="Columna14034" dataDxfId="18965" totalsRowDxfId="2341"/>
    <tableColumn id="14049" name="Columna14035" dataDxfId="18964" totalsRowDxfId="2340"/>
    <tableColumn id="14050" name="Columna14036" dataDxfId="18963" totalsRowDxfId="2339"/>
    <tableColumn id="14051" name="Columna14037" dataDxfId="18962" totalsRowDxfId="2338"/>
    <tableColumn id="14052" name="Columna14038" dataDxfId="18961" totalsRowDxfId="2337"/>
    <tableColumn id="14053" name="Columna14039" dataDxfId="18960" totalsRowDxfId="2336"/>
    <tableColumn id="14054" name="Columna14040" dataDxfId="18959" totalsRowDxfId="2335"/>
    <tableColumn id="14055" name="Columna14041" dataDxfId="18958" totalsRowDxfId="2334"/>
    <tableColumn id="14056" name="Columna14042" dataDxfId="18957" totalsRowDxfId="2333"/>
    <tableColumn id="14057" name="Columna14043" dataDxfId="18956" totalsRowDxfId="2332"/>
    <tableColumn id="14058" name="Columna14044" dataDxfId="18955" totalsRowDxfId="2331"/>
    <tableColumn id="14059" name="Columna14045" dataDxfId="18954" totalsRowDxfId="2330"/>
    <tableColumn id="14060" name="Columna14046" dataDxfId="18953" totalsRowDxfId="2329"/>
    <tableColumn id="14061" name="Columna14047" dataDxfId="18952" totalsRowDxfId="2328"/>
    <tableColumn id="14062" name="Columna14048" dataDxfId="18951" totalsRowDxfId="2327"/>
    <tableColumn id="14063" name="Columna14049" dataDxfId="18950" totalsRowDxfId="2326"/>
    <tableColumn id="14064" name="Columna14050" dataDxfId="18949" totalsRowDxfId="2325"/>
    <tableColumn id="14065" name="Columna14051" dataDxfId="18948" totalsRowDxfId="2324"/>
    <tableColumn id="14066" name="Columna14052" dataDxfId="18947" totalsRowDxfId="2323"/>
    <tableColumn id="14067" name="Columna14053" dataDxfId="18946" totalsRowDxfId="2322"/>
    <tableColumn id="14068" name="Columna14054" dataDxfId="18945" totalsRowDxfId="2321"/>
    <tableColumn id="14069" name="Columna14055" dataDxfId="18944" totalsRowDxfId="2320"/>
    <tableColumn id="14070" name="Columna14056" dataDxfId="18943" totalsRowDxfId="2319"/>
    <tableColumn id="14071" name="Columna14057" dataDxfId="18942" totalsRowDxfId="2318"/>
    <tableColumn id="14072" name="Columna14058" dataDxfId="18941" totalsRowDxfId="2317"/>
    <tableColumn id="14073" name="Columna14059" dataDxfId="18940" totalsRowDxfId="2316"/>
    <tableColumn id="14074" name="Columna14060" dataDxfId="18939" totalsRowDxfId="2315"/>
    <tableColumn id="14075" name="Columna14061" dataDxfId="18938" totalsRowDxfId="2314"/>
    <tableColumn id="14076" name="Columna14062" dataDxfId="18937" totalsRowDxfId="2313"/>
    <tableColumn id="14077" name="Columna14063" dataDxfId="18936" totalsRowDxfId="2312"/>
    <tableColumn id="14078" name="Columna14064" dataDxfId="18935" totalsRowDxfId="2311"/>
    <tableColumn id="14079" name="Columna14065" dataDxfId="18934" totalsRowDxfId="2310"/>
    <tableColumn id="14080" name="Columna14066" dataDxfId="18933" totalsRowDxfId="2309"/>
    <tableColumn id="14081" name="Columna14067" dataDxfId="18932" totalsRowDxfId="2308"/>
    <tableColumn id="14082" name="Columna14068" dataDxfId="18931" totalsRowDxfId="2307"/>
    <tableColumn id="14083" name="Columna14069" dataDxfId="18930" totalsRowDxfId="2306"/>
    <tableColumn id="14084" name="Columna14070" dataDxfId="18929" totalsRowDxfId="2305"/>
    <tableColumn id="14085" name="Columna14071" dataDxfId="18928" totalsRowDxfId="2304"/>
    <tableColumn id="14086" name="Columna14072" dataDxfId="18927" totalsRowDxfId="2303"/>
    <tableColumn id="14087" name="Columna14073" dataDxfId="18926" totalsRowDxfId="2302"/>
    <tableColumn id="14088" name="Columna14074" dataDxfId="18925" totalsRowDxfId="2301"/>
    <tableColumn id="14089" name="Columna14075" dataDxfId="18924" totalsRowDxfId="2300"/>
    <tableColumn id="14090" name="Columna14076" dataDxfId="18923" totalsRowDxfId="2299"/>
    <tableColumn id="14091" name="Columna14077" dataDxfId="18922" totalsRowDxfId="2298"/>
    <tableColumn id="14092" name="Columna14078" dataDxfId="18921" totalsRowDxfId="2297"/>
    <tableColumn id="14093" name="Columna14079" dataDxfId="18920" totalsRowDxfId="2296"/>
    <tableColumn id="14094" name="Columna14080" dataDxfId="18919" totalsRowDxfId="2295"/>
    <tableColumn id="14095" name="Columna14081" dataDxfId="18918" totalsRowDxfId="2294"/>
    <tableColumn id="14096" name="Columna14082" dataDxfId="18917" totalsRowDxfId="2293"/>
    <tableColumn id="14097" name="Columna14083" dataDxfId="18916" totalsRowDxfId="2292"/>
    <tableColumn id="14098" name="Columna14084" dataDxfId="18915" totalsRowDxfId="2291"/>
    <tableColumn id="14099" name="Columna14085" dataDxfId="18914" totalsRowDxfId="2290"/>
    <tableColumn id="14100" name="Columna14086" dataDxfId="18913" totalsRowDxfId="2289"/>
    <tableColumn id="14101" name="Columna14087" dataDxfId="18912" totalsRowDxfId="2288"/>
    <tableColumn id="14102" name="Columna14088" dataDxfId="18911" totalsRowDxfId="2287"/>
    <tableColumn id="14103" name="Columna14089" dataDxfId="18910" totalsRowDxfId="2286"/>
    <tableColumn id="14104" name="Columna14090" dataDxfId="18909" totalsRowDxfId="2285"/>
    <tableColumn id="14105" name="Columna14091" dataDxfId="18908" totalsRowDxfId="2284"/>
    <tableColumn id="14106" name="Columna14092" dataDxfId="18907" totalsRowDxfId="2283"/>
    <tableColumn id="14107" name="Columna14093" dataDxfId="18906" totalsRowDxfId="2282"/>
    <tableColumn id="14108" name="Columna14094" dataDxfId="18905" totalsRowDxfId="2281"/>
    <tableColumn id="14109" name="Columna14095" dataDxfId="18904" totalsRowDxfId="2280"/>
    <tableColumn id="14110" name="Columna14096" dataDxfId="18903" totalsRowDxfId="2279"/>
    <tableColumn id="14111" name="Columna14097" dataDxfId="18902" totalsRowDxfId="2278"/>
    <tableColumn id="14112" name="Columna14098" dataDxfId="18901" totalsRowDxfId="2277"/>
    <tableColumn id="14113" name="Columna14099" dataDxfId="18900" totalsRowDxfId="2276"/>
    <tableColumn id="14114" name="Columna14100" dataDxfId="18899" totalsRowDxfId="2275"/>
    <tableColumn id="14115" name="Columna14101" dataDxfId="18898" totalsRowDxfId="2274"/>
    <tableColumn id="14116" name="Columna14102" dataDxfId="18897" totalsRowDxfId="2273"/>
    <tableColumn id="14117" name="Columna14103" dataDxfId="18896" totalsRowDxfId="2272"/>
    <tableColumn id="14118" name="Columna14104" dataDxfId="18895" totalsRowDxfId="2271"/>
    <tableColumn id="14119" name="Columna14105" dataDxfId="18894" totalsRowDxfId="2270"/>
    <tableColumn id="14120" name="Columna14106" dataDxfId="18893" totalsRowDxfId="2269"/>
    <tableColumn id="14121" name="Columna14107" dataDxfId="18892" totalsRowDxfId="2268"/>
    <tableColumn id="14122" name="Columna14108" dataDxfId="18891" totalsRowDxfId="2267"/>
    <tableColumn id="14123" name="Columna14109" dataDxfId="18890" totalsRowDxfId="2266"/>
    <tableColumn id="14124" name="Columna14110" dataDxfId="18889" totalsRowDxfId="2265"/>
    <tableColumn id="14125" name="Columna14111" dataDxfId="18888" totalsRowDxfId="2264"/>
    <tableColumn id="14126" name="Columna14112" dataDxfId="18887" totalsRowDxfId="2263"/>
    <tableColumn id="14127" name="Columna14113" dataDxfId="18886" totalsRowDxfId="2262"/>
    <tableColumn id="14128" name="Columna14114" dataDxfId="18885" totalsRowDxfId="2261"/>
    <tableColumn id="14129" name="Columna14115" dataDxfId="18884" totalsRowDxfId="2260"/>
    <tableColumn id="14130" name="Columna14116" dataDxfId="18883" totalsRowDxfId="2259"/>
    <tableColumn id="14131" name="Columna14117" dataDxfId="18882" totalsRowDxfId="2258"/>
    <tableColumn id="14132" name="Columna14118" dataDxfId="18881" totalsRowDxfId="2257"/>
    <tableColumn id="14133" name="Columna14119" dataDxfId="18880" totalsRowDxfId="2256"/>
    <tableColumn id="14134" name="Columna14120" dataDxfId="18879" totalsRowDxfId="2255"/>
    <tableColumn id="14135" name="Columna14121" dataDxfId="18878" totalsRowDxfId="2254"/>
    <tableColumn id="14136" name="Columna14122" dataDxfId="18877" totalsRowDxfId="2253"/>
    <tableColumn id="14137" name="Columna14123" dataDxfId="18876" totalsRowDxfId="2252"/>
    <tableColumn id="14138" name="Columna14124" dataDxfId="18875" totalsRowDxfId="2251"/>
    <tableColumn id="14139" name="Columna14125" dataDxfId="18874" totalsRowDxfId="2250"/>
    <tableColumn id="14140" name="Columna14126" dataDxfId="18873" totalsRowDxfId="2249"/>
    <tableColumn id="14141" name="Columna14127" dataDxfId="18872" totalsRowDxfId="2248"/>
    <tableColumn id="14142" name="Columna14128" dataDxfId="18871" totalsRowDxfId="2247"/>
    <tableColumn id="14143" name="Columna14129" dataDxfId="18870" totalsRowDxfId="2246"/>
    <tableColumn id="14144" name="Columna14130" dataDxfId="18869" totalsRowDxfId="2245"/>
    <tableColumn id="14145" name="Columna14131" dataDxfId="18868" totalsRowDxfId="2244"/>
    <tableColumn id="14146" name="Columna14132" dataDxfId="18867" totalsRowDxfId="2243"/>
    <tableColumn id="14147" name="Columna14133" dataDxfId="18866" totalsRowDxfId="2242"/>
    <tableColumn id="14148" name="Columna14134" dataDxfId="18865" totalsRowDxfId="2241"/>
    <tableColumn id="14149" name="Columna14135" dataDxfId="18864" totalsRowDxfId="2240"/>
    <tableColumn id="14150" name="Columna14136" dataDxfId="18863" totalsRowDxfId="2239"/>
    <tableColumn id="14151" name="Columna14137" dataDxfId="18862" totalsRowDxfId="2238"/>
    <tableColumn id="14152" name="Columna14138" dataDxfId="18861" totalsRowDxfId="2237"/>
    <tableColumn id="14153" name="Columna14139" dataDxfId="18860" totalsRowDxfId="2236"/>
    <tableColumn id="14154" name="Columna14140" dataDxfId="18859" totalsRowDxfId="2235"/>
    <tableColumn id="14155" name="Columna14141" dataDxfId="18858" totalsRowDxfId="2234"/>
    <tableColumn id="14156" name="Columna14142" dataDxfId="18857" totalsRowDxfId="2233"/>
    <tableColumn id="14157" name="Columna14143" dataDxfId="18856" totalsRowDxfId="2232"/>
    <tableColumn id="14158" name="Columna14144" dataDxfId="18855" totalsRowDxfId="2231"/>
    <tableColumn id="14159" name="Columna14145" dataDxfId="18854" totalsRowDxfId="2230"/>
    <tableColumn id="14160" name="Columna14146" dataDxfId="18853" totalsRowDxfId="2229"/>
    <tableColumn id="14161" name="Columna14147" dataDxfId="18852" totalsRowDxfId="2228"/>
    <tableColumn id="14162" name="Columna14148" dataDxfId="18851" totalsRowDxfId="2227"/>
    <tableColumn id="14163" name="Columna14149" dataDxfId="18850" totalsRowDxfId="2226"/>
    <tableColumn id="14164" name="Columna14150" dataDxfId="18849" totalsRowDxfId="2225"/>
    <tableColumn id="14165" name="Columna14151" dataDxfId="18848" totalsRowDxfId="2224"/>
    <tableColumn id="14166" name="Columna14152" dataDxfId="18847" totalsRowDxfId="2223"/>
    <tableColumn id="14167" name="Columna14153" dataDxfId="18846" totalsRowDxfId="2222"/>
    <tableColumn id="14168" name="Columna14154" dataDxfId="18845" totalsRowDxfId="2221"/>
    <tableColumn id="14169" name="Columna14155" dataDxfId="18844" totalsRowDxfId="2220"/>
    <tableColumn id="14170" name="Columna14156" dataDxfId="18843" totalsRowDxfId="2219"/>
    <tableColumn id="14171" name="Columna14157" dataDxfId="18842" totalsRowDxfId="2218"/>
    <tableColumn id="14172" name="Columna14158" dataDxfId="18841" totalsRowDxfId="2217"/>
    <tableColumn id="14173" name="Columna14159" dataDxfId="18840" totalsRowDxfId="2216"/>
    <tableColumn id="14174" name="Columna14160" dataDxfId="18839" totalsRowDxfId="2215"/>
    <tableColumn id="14175" name="Columna14161" dataDxfId="18838" totalsRowDxfId="2214"/>
    <tableColumn id="14176" name="Columna14162" dataDxfId="18837" totalsRowDxfId="2213"/>
    <tableColumn id="14177" name="Columna14163" dataDxfId="18836" totalsRowDxfId="2212"/>
    <tableColumn id="14178" name="Columna14164" dataDxfId="18835" totalsRowDxfId="2211"/>
    <tableColumn id="14179" name="Columna14165" dataDxfId="18834" totalsRowDxfId="2210"/>
    <tableColumn id="14180" name="Columna14166" dataDxfId="18833" totalsRowDxfId="2209"/>
    <tableColumn id="14181" name="Columna14167" dataDxfId="18832" totalsRowDxfId="2208"/>
    <tableColumn id="14182" name="Columna14168" dataDxfId="18831" totalsRowDxfId="2207"/>
    <tableColumn id="14183" name="Columna14169" dataDxfId="18830" totalsRowDxfId="2206"/>
    <tableColumn id="14184" name="Columna14170" dataDxfId="18829" totalsRowDxfId="2205"/>
    <tableColumn id="14185" name="Columna14171" dataDxfId="18828" totalsRowDxfId="2204"/>
    <tableColumn id="14186" name="Columna14172" dataDxfId="18827" totalsRowDxfId="2203"/>
    <tableColumn id="14187" name="Columna14173" dataDxfId="18826" totalsRowDxfId="2202"/>
    <tableColumn id="14188" name="Columna14174" dataDxfId="18825" totalsRowDxfId="2201"/>
    <tableColumn id="14189" name="Columna14175" dataDxfId="18824" totalsRowDxfId="2200"/>
    <tableColumn id="14190" name="Columna14176" dataDxfId="18823" totalsRowDxfId="2199"/>
    <tableColumn id="14191" name="Columna14177" dataDxfId="18822" totalsRowDxfId="2198"/>
    <tableColumn id="14192" name="Columna14178" dataDxfId="18821" totalsRowDxfId="2197"/>
    <tableColumn id="14193" name="Columna14179" dataDxfId="18820" totalsRowDxfId="2196"/>
    <tableColumn id="14194" name="Columna14180" dataDxfId="18819" totalsRowDxfId="2195"/>
    <tableColumn id="14195" name="Columna14181" dataDxfId="18818" totalsRowDxfId="2194"/>
    <tableColumn id="14196" name="Columna14182" dataDxfId="18817" totalsRowDxfId="2193"/>
    <tableColumn id="14197" name="Columna14183" dataDxfId="18816" totalsRowDxfId="2192"/>
    <tableColumn id="14198" name="Columna14184" dataDxfId="18815" totalsRowDxfId="2191"/>
    <tableColumn id="14199" name="Columna14185" dataDxfId="18814" totalsRowDxfId="2190"/>
    <tableColumn id="14200" name="Columna14186" dataDxfId="18813" totalsRowDxfId="2189"/>
    <tableColumn id="14201" name="Columna14187" dataDxfId="18812" totalsRowDxfId="2188"/>
    <tableColumn id="14202" name="Columna14188" dataDxfId="18811" totalsRowDxfId="2187"/>
    <tableColumn id="14203" name="Columna14189" dataDxfId="18810" totalsRowDxfId="2186"/>
    <tableColumn id="14204" name="Columna14190" dataDxfId="18809" totalsRowDxfId="2185"/>
    <tableColumn id="14205" name="Columna14191" dataDxfId="18808" totalsRowDxfId="2184"/>
    <tableColumn id="14206" name="Columna14192" dataDxfId="18807" totalsRowDxfId="2183"/>
    <tableColumn id="14207" name="Columna14193" dataDxfId="18806" totalsRowDxfId="2182"/>
    <tableColumn id="14208" name="Columna14194" dataDxfId="18805" totalsRowDxfId="2181"/>
    <tableColumn id="14209" name="Columna14195" dataDxfId="18804" totalsRowDxfId="2180"/>
    <tableColumn id="14210" name="Columna14196" dataDxfId="18803" totalsRowDxfId="2179"/>
    <tableColumn id="14211" name="Columna14197" dataDxfId="18802" totalsRowDxfId="2178"/>
    <tableColumn id="14212" name="Columna14198" dataDxfId="18801" totalsRowDxfId="2177"/>
    <tableColumn id="14213" name="Columna14199" dataDxfId="18800" totalsRowDxfId="2176"/>
    <tableColumn id="14214" name="Columna14200" dataDxfId="18799" totalsRowDxfId="2175"/>
    <tableColumn id="14215" name="Columna14201" dataDxfId="18798" totalsRowDxfId="2174"/>
    <tableColumn id="14216" name="Columna14202" dataDxfId="18797" totalsRowDxfId="2173"/>
    <tableColumn id="14217" name="Columna14203" dataDxfId="18796" totalsRowDxfId="2172"/>
    <tableColumn id="14218" name="Columna14204" dataDxfId="18795" totalsRowDxfId="2171"/>
    <tableColumn id="14219" name="Columna14205" dataDxfId="18794" totalsRowDxfId="2170"/>
    <tableColumn id="14220" name="Columna14206" dataDxfId="18793" totalsRowDxfId="2169"/>
    <tableColumn id="14221" name="Columna14207" dataDxfId="18792" totalsRowDxfId="2168"/>
    <tableColumn id="14222" name="Columna14208" dataDxfId="18791" totalsRowDxfId="2167"/>
    <tableColumn id="14223" name="Columna14209" dataDxfId="18790" totalsRowDxfId="2166"/>
    <tableColumn id="14224" name="Columna14210" dataDxfId="18789" totalsRowDxfId="2165"/>
    <tableColumn id="14225" name="Columna14211" dataDxfId="18788" totalsRowDxfId="2164"/>
    <tableColumn id="14226" name="Columna14212" dataDxfId="18787" totalsRowDxfId="2163"/>
    <tableColumn id="14227" name="Columna14213" dataDxfId="18786" totalsRowDxfId="2162"/>
    <tableColumn id="14228" name="Columna14214" dataDxfId="18785" totalsRowDxfId="2161"/>
    <tableColumn id="14229" name="Columna14215" dataDxfId="18784" totalsRowDxfId="2160"/>
    <tableColumn id="14230" name="Columna14216" dataDxfId="18783" totalsRowDxfId="2159"/>
    <tableColumn id="14231" name="Columna14217" dataDxfId="18782" totalsRowDxfId="2158"/>
    <tableColumn id="14232" name="Columna14218" dataDxfId="18781" totalsRowDxfId="2157"/>
    <tableColumn id="14233" name="Columna14219" dataDxfId="18780" totalsRowDxfId="2156"/>
    <tableColumn id="14234" name="Columna14220" dataDxfId="18779" totalsRowDxfId="2155"/>
    <tableColumn id="14235" name="Columna14221" dataDxfId="18778" totalsRowDxfId="2154"/>
    <tableColumn id="14236" name="Columna14222" dataDxfId="18777" totalsRowDxfId="2153"/>
    <tableColumn id="14237" name="Columna14223" dataDxfId="18776" totalsRowDxfId="2152"/>
    <tableColumn id="14238" name="Columna14224" dataDxfId="18775" totalsRowDxfId="2151"/>
    <tableColumn id="14239" name="Columna14225" dataDxfId="18774" totalsRowDxfId="2150"/>
    <tableColumn id="14240" name="Columna14226" dataDxfId="18773" totalsRowDxfId="2149"/>
    <tableColumn id="14241" name="Columna14227" dataDxfId="18772" totalsRowDxfId="2148"/>
    <tableColumn id="14242" name="Columna14228" dataDxfId="18771" totalsRowDxfId="2147"/>
    <tableColumn id="14243" name="Columna14229" dataDxfId="18770" totalsRowDxfId="2146"/>
    <tableColumn id="14244" name="Columna14230" dataDxfId="18769" totalsRowDxfId="2145"/>
    <tableColumn id="14245" name="Columna14231" dataDxfId="18768" totalsRowDxfId="2144"/>
    <tableColumn id="14246" name="Columna14232" dataDxfId="18767" totalsRowDxfId="2143"/>
    <tableColumn id="14247" name="Columna14233" dataDxfId="18766" totalsRowDxfId="2142"/>
    <tableColumn id="14248" name="Columna14234" dataDxfId="18765" totalsRowDxfId="2141"/>
    <tableColumn id="14249" name="Columna14235" dataDxfId="18764" totalsRowDxfId="2140"/>
    <tableColumn id="14250" name="Columna14236" dataDxfId="18763" totalsRowDxfId="2139"/>
    <tableColumn id="14251" name="Columna14237" dataDxfId="18762" totalsRowDxfId="2138"/>
    <tableColumn id="14252" name="Columna14238" dataDxfId="18761" totalsRowDxfId="2137"/>
    <tableColumn id="14253" name="Columna14239" dataDxfId="18760" totalsRowDxfId="2136"/>
    <tableColumn id="14254" name="Columna14240" dataDxfId="18759" totalsRowDxfId="2135"/>
    <tableColumn id="14255" name="Columna14241" dataDxfId="18758" totalsRowDxfId="2134"/>
    <tableColumn id="14256" name="Columna14242" dataDxfId="18757" totalsRowDxfId="2133"/>
    <tableColumn id="14257" name="Columna14243" dataDxfId="18756" totalsRowDxfId="2132"/>
    <tableColumn id="14258" name="Columna14244" dataDxfId="18755" totalsRowDxfId="2131"/>
    <tableColumn id="14259" name="Columna14245" dataDxfId="18754" totalsRowDxfId="2130"/>
    <tableColumn id="14260" name="Columna14246" dataDxfId="18753" totalsRowDxfId="2129"/>
    <tableColumn id="14261" name="Columna14247" dataDxfId="18752" totalsRowDxfId="2128"/>
    <tableColumn id="14262" name="Columna14248" dataDxfId="18751" totalsRowDxfId="2127"/>
    <tableColumn id="14263" name="Columna14249" dataDxfId="18750" totalsRowDxfId="2126"/>
    <tableColumn id="14264" name="Columna14250" dataDxfId="18749" totalsRowDxfId="2125"/>
    <tableColumn id="14265" name="Columna14251" dataDxfId="18748" totalsRowDxfId="2124"/>
    <tableColumn id="14266" name="Columna14252" dataDxfId="18747" totalsRowDxfId="2123"/>
    <tableColumn id="14267" name="Columna14253" dataDxfId="18746" totalsRowDxfId="2122"/>
    <tableColumn id="14268" name="Columna14254" dataDxfId="18745" totalsRowDxfId="2121"/>
    <tableColumn id="14269" name="Columna14255" dataDxfId="18744" totalsRowDxfId="2120"/>
    <tableColumn id="14270" name="Columna14256" dataDxfId="18743" totalsRowDxfId="2119"/>
    <tableColumn id="14271" name="Columna14257" dataDxfId="18742" totalsRowDxfId="2118"/>
    <tableColumn id="14272" name="Columna14258" dataDxfId="18741" totalsRowDxfId="2117"/>
    <tableColumn id="14273" name="Columna14259" dataDxfId="18740" totalsRowDxfId="2116"/>
    <tableColumn id="14274" name="Columna14260" dataDxfId="18739" totalsRowDxfId="2115"/>
    <tableColumn id="14275" name="Columna14261" dataDxfId="18738" totalsRowDxfId="2114"/>
    <tableColumn id="14276" name="Columna14262" dataDxfId="18737" totalsRowDxfId="2113"/>
    <tableColumn id="14277" name="Columna14263" dataDxfId="18736" totalsRowDxfId="2112"/>
    <tableColumn id="14278" name="Columna14264" dataDxfId="18735" totalsRowDxfId="2111"/>
    <tableColumn id="14279" name="Columna14265" dataDxfId="18734" totalsRowDxfId="2110"/>
    <tableColumn id="14280" name="Columna14266" dataDxfId="18733" totalsRowDxfId="2109"/>
    <tableColumn id="14281" name="Columna14267" dataDxfId="18732" totalsRowDxfId="2108"/>
    <tableColumn id="14282" name="Columna14268" dataDxfId="18731" totalsRowDxfId="2107"/>
    <tableColumn id="14283" name="Columna14269" dataDxfId="18730" totalsRowDxfId="2106"/>
    <tableColumn id="14284" name="Columna14270" dataDxfId="18729" totalsRowDxfId="2105"/>
    <tableColumn id="14285" name="Columna14271" dataDxfId="18728" totalsRowDxfId="2104"/>
    <tableColumn id="14286" name="Columna14272" dataDxfId="18727" totalsRowDxfId="2103"/>
    <tableColumn id="14287" name="Columna14273" dataDxfId="18726" totalsRowDxfId="2102"/>
    <tableColumn id="14288" name="Columna14274" dataDxfId="18725" totalsRowDxfId="2101"/>
    <tableColumn id="14289" name="Columna14275" dataDxfId="18724" totalsRowDxfId="2100"/>
    <tableColumn id="14290" name="Columna14276" dataDxfId="18723" totalsRowDxfId="2099"/>
    <tableColumn id="14291" name="Columna14277" dataDxfId="18722" totalsRowDxfId="2098"/>
    <tableColumn id="14292" name="Columna14278" dataDxfId="18721" totalsRowDxfId="2097"/>
    <tableColumn id="14293" name="Columna14279" dataDxfId="18720" totalsRowDxfId="2096"/>
    <tableColumn id="14294" name="Columna14280" dataDxfId="18719" totalsRowDxfId="2095"/>
    <tableColumn id="14295" name="Columna14281" dataDxfId="18718" totalsRowDxfId="2094"/>
    <tableColumn id="14296" name="Columna14282" dataDxfId="18717" totalsRowDxfId="2093"/>
    <tableColumn id="14297" name="Columna14283" dataDxfId="18716" totalsRowDxfId="2092"/>
    <tableColumn id="14298" name="Columna14284" dataDxfId="18715" totalsRowDxfId="2091"/>
    <tableColumn id="14299" name="Columna14285" dataDxfId="18714" totalsRowDxfId="2090"/>
    <tableColumn id="14300" name="Columna14286" dataDxfId="18713" totalsRowDxfId="2089"/>
    <tableColumn id="14301" name="Columna14287" dataDxfId="18712" totalsRowDxfId="2088"/>
    <tableColumn id="14302" name="Columna14288" dataDxfId="18711" totalsRowDxfId="2087"/>
    <tableColumn id="14303" name="Columna14289" dataDxfId="18710" totalsRowDxfId="2086"/>
    <tableColumn id="14304" name="Columna14290" dataDxfId="18709" totalsRowDxfId="2085"/>
    <tableColumn id="14305" name="Columna14291" dataDxfId="18708" totalsRowDxfId="2084"/>
    <tableColumn id="14306" name="Columna14292" dataDxfId="18707" totalsRowDxfId="2083"/>
    <tableColumn id="14307" name="Columna14293" dataDxfId="18706" totalsRowDxfId="2082"/>
    <tableColumn id="14308" name="Columna14294" dataDxfId="18705" totalsRowDxfId="2081"/>
    <tableColumn id="14309" name="Columna14295" dataDxfId="18704" totalsRowDxfId="2080"/>
    <tableColumn id="14310" name="Columna14296" dataDxfId="18703" totalsRowDxfId="2079"/>
    <tableColumn id="14311" name="Columna14297" dataDxfId="18702" totalsRowDxfId="2078"/>
    <tableColumn id="14312" name="Columna14298" dataDxfId="18701" totalsRowDxfId="2077"/>
    <tableColumn id="14313" name="Columna14299" dataDxfId="18700" totalsRowDxfId="2076"/>
    <tableColumn id="14314" name="Columna14300" dataDxfId="18699" totalsRowDxfId="2075"/>
    <tableColumn id="14315" name="Columna14301" dataDxfId="18698" totalsRowDxfId="2074"/>
    <tableColumn id="14316" name="Columna14302" dataDxfId="18697" totalsRowDxfId="2073"/>
    <tableColumn id="14317" name="Columna14303" dataDxfId="18696" totalsRowDxfId="2072"/>
    <tableColumn id="14318" name="Columna14304" dataDxfId="18695" totalsRowDxfId="2071"/>
    <tableColumn id="14319" name="Columna14305" dataDxfId="18694" totalsRowDxfId="2070"/>
    <tableColumn id="14320" name="Columna14306" dataDxfId="18693" totalsRowDxfId="2069"/>
    <tableColumn id="14321" name="Columna14307" dataDxfId="18692" totalsRowDxfId="2068"/>
    <tableColumn id="14322" name="Columna14308" dataDxfId="18691" totalsRowDxfId="2067"/>
    <tableColumn id="14323" name="Columna14309" dataDxfId="18690" totalsRowDxfId="2066"/>
    <tableColumn id="14324" name="Columna14310" dataDxfId="18689" totalsRowDxfId="2065"/>
    <tableColumn id="14325" name="Columna14311" dataDxfId="18688" totalsRowDxfId="2064"/>
    <tableColumn id="14326" name="Columna14312" dataDxfId="18687" totalsRowDxfId="2063"/>
    <tableColumn id="14327" name="Columna14313" dataDxfId="18686" totalsRowDxfId="2062"/>
    <tableColumn id="14328" name="Columna14314" dataDxfId="18685" totalsRowDxfId="2061"/>
    <tableColumn id="14329" name="Columna14315" dataDxfId="18684" totalsRowDxfId="2060"/>
    <tableColumn id="14330" name="Columna14316" dataDxfId="18683" totalsRowDxfId="2059"/>
    <tableColumn id="14331" name="Columna14317" dataDxfId="18682" totalsRowDxfId="2058"/>
    <tableColumn id="14332" name="Columna14318" dataDxfId="18681" totalsRowDxfId="2057"/>
    <tableColumn id="14333" name="Columna14319" dataDxfId="18680" totalsRowDxfId="2056"/>
    <tableColumn id="14334" name="Columna14320" dataDxfId="18679" totalsRowDxfId="2055"/>
    <tableColumn id="14335" name="Columna14321" dataDxfId="18678" totalsRowDxfId="2054"/>
    <tableColumn id="14336" name="Columna14322" dataDxfId="18677" totalsRowDxfId="2053"/>
    <tableColumn id="14337" name="Columna14323" dataDxfId="18676" totalsRowDxfId="2052"/>
    <tableColumn id="14338" name="Columna14324" dataDxfId="18675" totalsRowDxfId="2051"/>
    <tableColumn id="14339" name="Columna14325" dataDxfId="18674" totalsRowDxfId="2050"/>
    <tableColumn id="14340" name="Columna14326" dataDxfId="18673" totalsRowDxfId="2049"/>
    <tableColumn id="14341" name="Columna14327" dataDxfId="18672" totalsRowDxfId="2048"/>
    <tableColumn id="14342" name="Columna14328" dataDxfId="18671" totalsRowDxfId="2047"/>
    <tableColumn id="14343" name="Columna14329" dataDxfId="18670" totalsRowDxfId="2046"/>
    <tableColumn id="14344" name="Columna14330" dataDxfId="18669" totalsRowDxfId="2045"/>
    <tableColumn id="14345" name="Columna14331" dataDxfId="18668" totalsRowDxfId="2044"/>
    <tableColumn id="14346" name="Columna14332" dataDxfId="18667" totalsRowDxfId="2043"/>
    <tableColumn id="14347" name="Columna14333" dataDxfId="18666" totalsRowDxfId="2042"/>
    <tableColumn id="14348" name="Columna14334" dataDxfId="18665" totalsRowDxfId="2041"/>
    <tableColumn id="14349" name="Columna14335" dataDxfId="18664" totalsRowDxfId="2040"/>
    <tableColumn id="14350" name="Columna14336" dataDxfId="18663" totalsRowDxfId="2039"/>
    <tableColumn id="14351" name="Columna14337" dataDxfId="18662" totalsRowDxfId="2038"/>
    <tableColumn id="14352" name="Columna14338" dataDxfId="18661" totalsRowDxfId="2037"/>
    <tableColumn id="14353" name="Columna14339" dataDxfId="18660" totalsRowDxfId="2036"/>
    <tableColumn id="14354" name="Columna14340" dataDxfId="18659" totalsRowDxfId="2035"/>
    <tableColumn id="14355" name="Columna14341" dataDxfId="18658" totalsRowDxfId="2034"/>
    <tableColumn id="14356" name="Columna14342" dataDxfId="18657" totalsRowDxfId="2033"/>
    <tableColumn id="14357" name="Columna14343" dataDxfId="18656" totalsRowDxfId="2032"/>
    <tableColumn id="14358" name="Columna14344" dataDxfId="18655" totalsRowDxfId="2031"/>
    <tableColumn id="14359" name="Columna14345" dataDxfId="18654" totalsRowDxfId="2030"/>
    <tableColumn id="14360" name="Columna14346" dataDxfId="18653" totalsRowDxfId="2029"/>
    <tableColumn id="14361" name="Columna14347" dataDxfId="18652" totalsRowDxfId="2028"/>
    <tableColumn id="14362" name="Columna14348" dataDxfId="18651" totalsRowDxfId="2027"/>
    <tableColumn id="14363" name="Columna14349" dataDxfId="18650" totalsRowDxfId="2026"/>
    <tableColumn id="14364" name="Columna14350" dataDxfId="18649" totalsRowDxfId="2025"/>
    <tableColumn id="14365" name="Columna14351" dataDxfId="18648" totalsRowDxfId="2024"/>
    <tableColumn id="14366" name="Columna14352" dataDxfId="18647" totalsRowDxfId="2023"/>
    <tableColumn id="14367" name="Columna14353" dataDxfId="18646" totalsRowDxfId="2022"/>
    <tableColumn id="14368" name="Columna14354" dataDxfId="18645" totalsRowDxfId="2021"/>
    <tableColumn id="14369" name="Columna14355" dataDxfId="18644" totalsRowDxfId="2020"/>
    <tableColumn id="14370" name="Columna14356" dataDxfId="18643" totalsRowDxfId="2019"/>
    <tableColumn id="14371" name="Columna14357" dataDxfId="18642" totalsRowDxfId="2018"/>
    <tableColumn id="14372" name="Columna14358" dataDxfId="18641" totalsRowDxfId="2017"/>
    <tableColumn id="14373" name="Columna14359" dataDxfId="18640" totalsRowDxfId="2016"/>
    <tableColumn id="14374" name="Columna14360" dataDxfId="18639" totalsRowDxfId="2015"/>
    <tableColumn id="14375" name="Columna14361" dataDxfId="18638" totalsRowDxfId="2014"/>
    <tableColumn id="14376" name="Columna14362" dataDxfId="18637" totalsRowDxfId="2013"/>
    <tableColumn id="14377" name="Columna14363" dataDxfId="18636" totalsRowDxfId="2012"/>
    <tableColumn id="14378" name="Columna14364" dataDxfId="18635" totalsRowDxfId="2011"/>
    <tableColumn id="14379" name="Columna14365" dataDxfId="18634" totalsRowDxfId="2010"/>
    <tableColumn id="14380" name="Columna14366" dataDxfId="18633" totalsRowDxfId="2009"/>
    <tableColumn id="14381" name="Columna14367" dataDxfId="18632" totalsRowDxfId="2008"/>
    <tableColumn id="14382" name="Columna14368" dataDxfId="18631" totalsRowDxfId="2007"/>
    <tableColumn id="14383" name="Columna14369" dataDxfId="18630" totalsRowDxfId="2006"/>
    <tableColumn id="14384" name="Columna14370" dataDxfId="18629" totalsRowDxfId="2005"/>
    <tableColumn id="14385" name="Columna14371" dataDxfId="18628" totalsRowDxfId="2004"/>
    <tableColumn id="14386" name="Columna14372" dataDxfId="18627" totalsRowDxfId="2003"/>
    <tableColumn id="14387" name="Columna14373" dataDxfId="18626" totalsRowDxfId="2002"/>
    <tableColumn id="14388" name="Columna14374" dataDxfId="18625" totalsRowDxfId="2001"/>
    <tableColumn id="14389" name="Columna14375" dataDxfId="18624" totalsRowDxfId="2000"/>
    <tableColumn id="14390" name="Columna14376" dataDxfId="18623" totalsRowDxfId="1999"/>
    <tableColumn id="14391" name="Columna14377" dataDxfId="18622" totalsRowDxfId="1998"/>
    <tableColumn id="14392" name="Columna14378" dataDxfId="18621" totalsRowDxfId="1997"/>
    <tableColumn id="14393" name="Columna14379" dataDxfId="18620" totalsRowDxfId="1996"/>
    <tableColumn id="14394" name="Columna14380" dataDxfId="18619" totalsRowDxfId="1995"/>
    <tableColumn id="14395" name="Columna14381" dataDxfId="18618" totalsRowDxfId="1994"/>
    <tableColumn id="14396" name="Columna14382" dataDxfId="18617" totalsRowDxfId="1993"/>
    <tableColumn id="14397" name="Columna14383" dataDxfId="18616" totalsRowDxfId="1992"/>
    <tableColumn id="14398" name="Columna14384" dataDxfId="18615" totalsRowDxfId="1991"/>
    <tableColumn id="14399" name="Columna14385" dataDxfId="18614" totalsRowDxfId="1990"/>
    <tableColumn id="14400" name="Columna14386" dataDxfId="18613" totalsRowDxfId="1989"/>
    <tableColumn id="14401" name="Columna14387" dataDxfId="18612" totalsRowDxfId="1988"/>
    <tableColumn id="14402" name="Columna14388" dataDxfId="18611" totalsRowDxfId="1987"/>
    <tableColumn id="14403" name="Columna14389" dataDxfId="18610" totalsRowDxfId="1986"/>
    <tableColumn id="14404" name="Columna14390" dataDxfId="18609" totalsRowDxfId="1985"/>
    <tableColumn id="14405" name="Columna14391" dataDxfId="18608" totalsRowDxfId="1984"/>
    <tableColumn id="14406" name="Columna14392" dataDxfId="18607" totalsRowDxfId="1983"/>
    <tableColumn id="14407" name="Columna14393" dataDxfId="18606" totalsRowDxfId="1982"/>
    <tableColumn id="14408" name="Columna14394" dataDxfId="18605" totalsRowDxfId="1981"/>
    <tableColumn id="14409" name="Columna14395" dataDxfId="18604" totalsRowDxfId="1980"/>
    <tableColumn id="14410" name="Columna14396" dataDxfId="18603" totalsRowDxfId="1979"/>
    <tableColumn id="14411" name="Columna14397" dataDxfId="18602" totalsRowDxfId="1978"/>
    <tableColumn id="14412" name="Columna14398" dataDxfId="18601" totalsRowDxfId="1977"/>
    <tableColumn id="14413" name="Columna14399" dataDxfId="18600" totalsRowDxfId="1976"/>
    <tableColumn id="14414" name="Columna14400" dataDxfId="18599" totalsRowDxfId="1975"/>
    <tableColumn id="14415" name="Columna14401" dataDxfId="18598" totalsRowDxfId="1974"/>
    <tableColumn id="14416" name="Columna14402" dataDxfId="18597" totalsRowDxfId="1973"/>
    <tableColumn id="14417" name="Columna14403" dataDxfId="18596" totalsRowDxfId="1972"/>
    <tableColumn id="14418" name="Columna14404" dataDxfId="18595" totalsRowDxfId="1971"/>
    <tableColumn id="14419" name="Columna14405" dataDxfId="18594" totalsRowDxfId="1970"/>
    <tableColumn id="14420" name="Columna14406" dataDxfId="18593" totalsRowDxfId="1969"/>
    <tableColumn id="14421" name="Columna14407" dataDxfId="18592" totalsRowDxfId="1968"/>
    <tableColumn id="14422" name="Columna14408" dataDxfId="18591" totalsRowDxfId="1967"/>
    <tableColumn id="14423" name="Columna14409" dataDxfId="18590" totalsRowDxfId="1966"/>
    <tableColumn id="14424" name="Columna14410" dataDxfId="18589" totalsRowDxfId="1965"/>
    <tableColumn id="14425" name="Columna14411" dataDxfId="18588" totalsRowDxfId="1964"/>
    <tableColumn id="14426" name="Columna14412" dataDxfId="18587" totalsRowDxfId="1963"/>
    <tableColumn id="14427" name="Columna14413" dataDxfId="18586" totalsRowDxfId="1962"/>
    <tableColumn id="14428" name="Columna14414" dataDxfId="18585" totalsRowDxfId="1961"/>
    <tableColumn id="14429" name="Columna14415" dataDxfId="18584" totalsRowDxfId="1960"/>
    <tableColumn id="14430" name="Columna14416" dataDxfId="18583" totalsRowDxfId="1959"/>
    <tableColumn id="14431" name="Columna14417" dataDxfId="18582" totalsRowDxfId="1958"/>
    <tableColumn id="14432" name="Columna14418" dataDxfId="18581" totalsRowDxfId="1957"/>
    <tableColumn id="14433" name="Columna14419" dataDxfId="18580" totalsRowDxfId="1956"/>
    <tableColumn id="14434" name="Columna14420" dataDxfId="18579" totalsRowDxfId="1955"/>
    <tableColumn id="14435" name="Columna14421" dataDxfId="18578" totalsRowDxfId="1954"/>
    <tableColumn id="14436" name="Columna14422" dataDxfId="18577" totalsRowDxfId="1953"/>
    <tableColumn id="14437" name="Columna14423" dataDxfId="18576" totalsRowDxfId="1952"/>
    <tableColumn id="14438" name="Columna14424" dataDxfId="18575" totalsRowDxfId="1951"/>
    <tableColumn id="14439" name="Columna14425" dataDxfId="18574" totalsRowDxfId="1950"/>
    <tableColumn id="14440" name="Columna14426" dataDxfId="18573" totalsRowDxfId="1949"/>
    <tableColumn id="14441" name="Columna14427" dataDxfId="18572" totalsRowDxfId="1948"/>
    <tableColumn id="14442" name="Columna14428" dataDxfId="18571" totalsRowDxfId="1947"/>
    <tableColumn id="14443" name="Columna14429" dataDxfId="18570" totalsRowDxfId="1946"/>
    <tableColumn id="14444" name="Columna14430" dataDxfId="18569" totalsRowDxfId="1945"/>
    <tableColumn id="14445" name="Columna14431" dataDxfId="18568" totalsRowDxfId="1944"/>
    <tableColumn id="14446" name="Columna14432" dataDxfId="18567" totalsRowDxfId="1943"/>
    <tableColumn id="14447" name="Columna14433" dataDxfId="18566" totalsRowDxfId="1942"/>
    <tableColumn id="14448" name="Columna14434" dataDxfId="18565" totalsRowDxfId="1941"/>
    <tableColumn id="14449" name="Columna14435" dataDxfId="18564" totalsRowDxfId="1940"/>
    <tableColumn id="14450" name="Columna14436" dataDxfId="18563" totalsRowDxfId="1939"/>
    <tableColumn id="14451" name="Columna14437" dataDxfId="18562" totalsRowDxfId="1938"/>
    <tableColumn id="14452" name="Columna14438" dataDxfId="18561" totalsRowDxfId="1937"/>
    <tableColumn id="14453" name="Columna14439" dataDxfId="18560" totalsRowDxfId="1936"/>
    <tableColumn id="14454" name="Columna14440" dataDxfId="18559" totalsRowDxfId="1935"/>
    <tableColumn id="14455" name="Columna14441" dataDxfId="18558" totalsRowDxfId="1934"/>
    <tableColumn id="14456" name="Columna14442" dataDxfId="18557" totalsRowDxfId="1933"/>
    <tableColumn id="14457" name="Columna14443" dataDxfId="18556" totalsRowDxfId="1932"/>
    <tableColumn id="14458" name="Columna14444" dataDxfId="18555" totalsRowDxfId="1931"/>
    <tableColumn id="14459" name="Columna14445" dataDxfId="18554" totalsRowDxfId="1930"/>
    <tableColumn id="14460" name="Columna14446" dataDxfId="18553" totalsRowDxfId="1929"/>
    <tableColumn id="14461" name="Columna14447" dataDxfId="18552" totalsRowDxfId="1928"/>
    <tableColumn id="14462" name="Columna14448" dataDxfId="18551" totalsRowDxfId="1927"/>
    <tableColumn id="14463" name="Columna14449" dataDxfId="18550" totalsRowDxfId="1926"/>
    <tableColumn id="14464" name="Columna14450" dataDxfId="18549" totalsRowDxfId="1925"/>
    <tableColumn id="14465" name="Columna14451" dataDxfId="18548" totalsRowDxfId="1924"/>
    <tableColumn id="14466" name="Columna14452" dataDxfId="18547" totalsRowDxfId="1923"/>
    <tableColumn id="14467" name="Columna14453" dataDxfId="18546" totalsRowDxfId="1922"/>
    <tableColumn id="14468" name="Columna14454" dataDxfId="18545" totalsRowDxfId="1921"/>
    <tableColumn id="14469" name="Columna14455" dataDxfId="18544" totalsRowDxfId="1920"/>
    <tableColumn id="14470" name="Columna14456" dataDxfId="18543" totalsRowDxfId="1919"/>
    <tableColumn id="14471" name="Columna14457" dataDxfId="18542" totalsRowDxfId="1918"/>
    <tableColumn id="14472" name="Columna14458" dataDxfId="18541" totalsRowDxfId="1917"/>
    <tableColumn id="14473" name="Columna14459" dataDxfId="18540" totalsRowDxfId="1916"/>
    <tableColumn id="14474" name="Columna14460" dataDxfId="18539" totalsRowDxfId="1915"/>
    <tableColumn id="14475" name="Columna14461" dataDxfId="18538" totalsRowDxfId="1914"/>
    <tableColumn id="14476" name="Columna14462" dataDxfId="18537" totalsRowDxfId="1913"/>
    <tableColumn id="14477" name="Columna14463" dataDxfId="18536" totalsRowDxfId="1912"/>
    <tableColumn id="14478" name="Columna14464" dataDxfId="18535" totalsRowDxfId="1911"/>
    <tableColumn id="14479" name="Columna14465" dataDxfId="18534" totalsRowDxfId="1910"/>
    <tableColumn id="14480" name="Columna14466" dataDxfId="18533" totalsRowDxfId="1909"/>
    <tableColumn id="14481" name="Columna14467" dataDxfId="18532" totalsRowDxfId="1908"/>
    <tableColumn id="14482" name="Columna14468" dataDxfId="18531" totalsRowDxfId="1907"/>
    <tableColumn id="14483" name="Columna14469" dataDxfId="18530" totalsRowDxfId="1906"/>
    <tableColumn id="14484" name="Columna14470" dataDxfId="18529" totalsRowDxfId="1905"/>
    <tableColumn id="14485" name="Columna14471" dataDxfId="18528" totalsRowDxfId="1904"/>
    <tableColumn id="14486" name="Columna14472" dataDxfId="18527" totalsRowDxfId="1903"/>
    <tableColumn id="14487" name="Columna14473" dataDxfId="18526" totalsRowDxfId="1902"/>
    <tableColumn id="14488" name="Columna14474" dataDxfId="18525" totalsRowDxfId="1901"/>
    <tableColumn id="14489" name="Columna14475" dataDxfId="18524" totalsRowDxfId="1900"/>
    <tableColumn id="14490" name="Columna14476" dataDxfId="18523" totalsRowDxfId="1899"/>
    <tableColumn id="14491" name="Columna14477" dataDxfId="18522" totalsRowDxfId="1898"/>
    <tableColumn id="14492" name="Columna14478" dataDxfId="18521" totalsRowDxfId="1897"/>
    <tableColumn id="14493" name="Columna14479" dataDxfId="18520" totalsRowDxfId="1896"/>
    <tableColumn id="14494" name="Columna14480" dataDxfId="18519" totalsRowDxfId="1895"/>
    <tableColumn id="14495" name="Columna14481" dataDxfId="18518" totalsRowDxfId="1894"/>
    <tableColumn id="14496" name="Columna14482" dataDxfId="18517" totalsRowDxfId="1893"/>
    <tableColumn id="14497" name="Columna14483" dataDxfId="18516" totalsRowDxfId="1892"/>
    <tableColumn id="14498" name="Columna14484" dataDxfId="18515" totalsRowDxfId="1891"/>
    <tableColumn id="14499" name="Columna14485" dataDxfId="18514" totalsRowDxfId="1890"/>
    <tableColumn id="14500" name="Columna14486" dataDxfId="18513" totalsRowDxfId="1889"/>
    <tableColumn id="14501" name="Columna14487" dataDxfId="18512" totalsRowDxfId="1888"/>
    <tableColumn id="14502" name="Columna14488" dataDxfId="18511" totalsRowDxfId="1887"/>
    <tableColumn id="14503" name="Columna14489" dataDxfId="18510" totalsRowDxfId="1886"/>
    <tableColumn id="14504" name="Columna14490" dataDxfId="18509" totalsRowDxfId="1885"/>
    <tableColumn id="14505" name="Columna14491" dataDxfId="18508" totalsRowDxfId="1884"/>
    <tableColumn id="14506" name="Columna14492" dataDxfId="18507" totalsRowDxfId="1883"/>
    <tableColumn id="14507" name="Columna14493" dataDxfId="18506" totalsRowDxfId="1882"/>
    <tableColumn id="14508" name="Columna14494" dataDxfId="18505" totalsRowDxfId="1881"/>
    <tableColumn id="14509" name="Columna14495" dataDxfId="18504" totalsRowDxfId="1880"/>
    <tableColumn id="14510" name="Columna14496" dataDxfId="18503" totalsRowDxfId="1879"/>
    <tableColumn id="14511" name="Columna14497" dataDxfId="18502" totalsRowDxfId="1878"/>
    <tableColumn id="14512" name="Columna14498" dataDxfId="18501" totalsRowDxfId="1877"/>
    <tableColumn id="14513" name="Columna14499" dataDxfId="18500" totalsRowDxfId="1876"/>
    <tableColumn id="14514" name="Columna14500" dataDxfId="18499" totalsRowDxfId="1875"/>
    <tableColumn id="14515" name="Columna14501" dataDxfId="18498" totalsRowDxfId="1874"/>
    <tableColumn id="14516" name="Columna14502" dataDxfId="18497" totalsRowDxfId="1873"/>
    <tableColumn id="14517" name="Columna14503" dataDxfId="18496" totalsRowDxfId="1872"/>
    <tableColumn id="14518" name="Columna14504" dataDxfId="18495" totalsRowDxfId="1871"/>
    <tableColumn id="14519" name="Columna14505" dataDxfId="18494" totalsRowDxfId="1870"/>
    <tableColumn id="14520" name="Columna14506" dataDxfId="18493" totalsRowDxfId="1869"/>
    <tableColumn id="14521" name="Columna14507" dataDxfId="18492" totalsRowDxfId="1868"/>
    <tableColumn id="14522" name="Columna14508" dataDxfId="18491" totalsRowDxfId="1867"/>
    <tableColumn id="14523" name="Columna14509" dataDxfId="18490" totalsRowDxfId="1866"/>
    <tableColumn id="14524" name="Columna14510" dataDxfId="18489" totalsRowDxfId="1865"/>
    <tableColumn id="14525" name="Columna14511" dataDxfId="18488" totalsRowDxfId="1864"/>
    <tableColumn id="14526" name="Columna14512" dataDxfId="18487" totalsRowDxfId="1863"/>
    <tableColumn id="14527" name="Columna14513" dataDxfId="18486" totalsRowDxfId="1862"/>
    <tableColumn id="14528" name="Columna14514" dataDxfId="18485" totalsRowDxfId="1861"/>
    <tableColumn id="14529" name="Columna14515" dataDxfId="18484" totalsRowDxfId="1860"/>
    <tableColumn id="14530" name="Columna14516" dataDxfId="18483" totalsRowDxfId="1859"/>
    <tableColumn id="14531" name="Columna14517" dataDxfId="18482" totalsRowDxfId="1858"/>
    <tableColumn id="14532" name="Columna14518" dataDxfId="18481" totalsRowDxfId="1857"/>
    <tableColumn id="14533" name="Columna14519" dataDxfId="18480" totalsRowDxfId="1856"/>
    <tableColumn id="14534" name="Columna14520" dataDxfId="18479" totalsRowDxfId="1855"/>
    <tableColumn id="14535" name="Columna14521" dataDxfId="18478" totalsRowDxfId="1854"/>
    <tableColumn id="14536" name="Columna14522" dataDxfId="18477" totalsRowDxfId="1853"/>
    <tableColumn id="14537" name="Columna14523" dataDxfId="18476" totalsRowDxfId="1852"/>
    <tableColumn id="14538" name="Columna14524" dataDxfId="18475" totalsRowDxfId="1851"/>
    <tableColumn id="14539" name="Columna14525" dataDxfId="18474" totalsRowDxfId="1850"/>
    <tableColumn id="14540" name="Columna14526" dataDxfId="18473" totalsRowDxfId="1849"/>
    <tableColumn id="14541" name="Columna14527" dataDxfId="18472" totalsRowDxfId="1848"/>
    <tableColumn id="14542" name="Columna14528" dataDxfId="18471" totalsRowDxfId="1847"/>
    <tableColumn id="14543" name="Columna14529" dataDxfId="18470" totalsRowDxfId="1846"/>
    <tableColumn id="14544" name="Columna14530" dataDxfId="18469" totalsRowDxfId="1845"/>
    <tableColumn id="14545" name="Columna14531" dataDxfId="18468" totalsRowDxfId="1844"/>
    <tableColumn id="14546" name="Columna14532" dataDxfId="18467" totalsRowDxfId="1843"/>
    <tableColumn id="14547" name="Columna14533" dataDxfId="18466" totalsRowDxfId="1842"/>
    <tableColumn id="14548" name="Columna14534" dataDxfId="18465" totalsRowDxfId="1841"/>
    <tableColumn id="14549" name="Columna14535" dataDxfId="18464" totalsRowDxfId="1840"/>
    <tableColumn id="14550" name="Columna14536" dataDxfId="18463" totalsRowDxfId="1839"/>
    <tableColumn id="14551" name="Columna14537" dataDxfId="18462" totalsRowDxfId="1838"/>
    <tableColumn id="14552" name="Columna14538" dataDxfId="18461" totalsRowDxfId="1837"/>
    <tableColumn id="14553" name="Columna14539" dataDxfId="18460" totalsRowDxfId="1836"/>
    <tableColumn id="14554" name="Columna14540" dataDxfId="18459" totalsRowDxfId="1835"/>
    <tableColumn id="14555" name="Columna14541" dataDxfId="18458" totalsRowDxfId="1834"/>
    <tableColumn id="14556" name="Columna14542" dataDxfId="18457" totalsRowDxfId="1833"/>
    <tableColumn id="14557" name="Columna14543" dataDxfId="18456" totalsRowDxfId="1832"/>
    <tableColumn id="14558" name="Columna14544" dataDxfId="18455" totalsRowDxfId="1831"/>
    <tableColumn id="14559" name="Columna14545" dataDxfId="18454" totalsRowDxfId="1830"/>
    <tableColumn id="14560" name="Columna14546" dataDxfId="18453" totalsRowDxfId="1829"/>
    <tableColumn id="14561" name="Columna14547" dataDxfId="18452" totalsRowDxfId="1828"/>
    <tableColumn id="14562" name="Columna14548" dataDxfId="18451" totalsRowDxfId="1827"/>
    <tableColumn id="14563" name="Columna14549" dataDxfId="18450" totalsRowDxfId="1826"/>
    <tableColumn id="14564" name="Columna14550" dataDxfId="18449" totalsRowDxfId="1825"/>
    <tableColumn id="14565" name="Columna14551" dataDxfId="18448" totalsRowDxfId="1824"/>
    <tableColumn id="14566" name="Columna14552" dataDxfId="18447" totalsRowDxfId="1823"/>
    <tableColumn id="14567" name="Columna14553" dataDxfId="18446" totalsRowDxfId="1822"/>
    <tableColumn id="14568" name="Columna14554" dataDxfId="18445" totalsRowDxfId="1821"/>
    <tableColumn id="14569" name="Columna14555" dataDxfId="18444" totalsRowDxfId="1820"/>
    <tableColumn id="14570" name="Columna14556" dataDxfId="18443" totalsRowDxfId="1819"/>
    <tableColumn id="14571" name="Columna14557" dataDxfId="18442" totalsRowDxfId="1818"/>
    <tableColumn id="14572" name="Columna14558" dataDxfId="18441" totalsRowDxfId="1817"/>
    <tableColumn id="14573" name="Columna14559" dataDxfId="18440" totalsRowDxfId="1816"/>
    <tableColumn id="14574" name="Columna14560" dataDxfId="18439" totalsRowDxfId="1815"/>
    <tableColumn id="14575" name="Columna14561" dataDxfId="18438" totalsRowDxfId="1814"/>
    <tableColumn id="14576" name="Columna14562" dataDxfId="18437" totalsRowDxfId="1813"/>
    <tableColumn id="14577" name="Columna14563" dataDxfId="18436" totalsRowDxfId="1812"/>
    <tableColumn id="14578" name="Columna14564" dataDxfId="18435" totalsRowDxfId="1811"/>
    <tableColumn id="14579" name="Columna14565" dataDxfId="18434" totalsRowDxfId="1810"/>
    <tableColumn id="14580" name="Columna14566" dataDxfId="18433" totalsRowDxfId="1809"/>
    <tableColumn id="14581" name="Columna14567" dataDxfId="18432" totalsRowDxfId="1808"/>
    <tableColumn id="14582" name="Columna14568" dataDxfId="18431" totalsRowDxfId="1807"/>
    <tableColumn id="14583" name="Columna14569" dataDxfId="18430" totalsRowDxfId="1806"/>
    <tableColumn id="14584" name="Columna14570" dataDxfId="18429" totalsRowDxfId="1805"/>
    <tableColumn id="14585" name="Columna14571" dataDxfId="18428" totalsRowDxfId="1804"/>
    <tableColumn id="14586" name="Columna14572" dataDxfId="18427" totalsRowDxfId="1803"/>
    <tableColumn id="14587" name="Columna14573" dataDxfId="18426" totalsRowDxfId="1802"/>
    <tableColumn id="14588" name="Columna14574" dataDxfId="18425" totalsRowDxfId="1801"/>
    <tableColumn id="14589" name="Columna14575" dataDxfId="18424" totalsRowDxfId="1800"/>
    <tableColumn id="14590" name="Columna14576" dataDxfId="18423" totalsRowDxfId="1799"/>
    <tableColumn id="14591" name="Columna14577" dataDxfId="18422" totalsRowDxfId="1798"/>
    <tableColumn id="14592" name="Columna14578" dataDxfId="18421" totalsRowDxfId="1797"/>
    <tableColumn id="14593" name="Columna14579" dataDxfId="18420" totalsRowDxfId="1796"/>
    <tableColumn id="14594" name="Columna14580" dataDxfId="18419" totalsRowDxfId="1795"/>
    <tableColumn id="14595" name="Columna14581" dataDxfId="18418" totalsRowDxfId="1794"/>
    <tableColumn id="14596" name="Columna14582" dataDxfId="18417" totalsRowDxfId="1793"/>
    <tableColumn id="14597" name="Columna14583" dataDxfId="18416" totalsRowDxfId="1792"/>
    <tableColumn id="14598" name="Columna14584" dataDxfId="18415" totalsRowDxfId="1791"/>
    <tableColumn id="14599" name="Columna14585" dataDxfId="18414" totalsRowDxfId="1790"/>
    <tableColumn id="14600" name="Columna14586" dataDxfId="18413" totalsRowDxfId="1789"/>
    <tableColumn id="14601" name="Columna14587" dataDxfId="18412" totalsRowDxfId="1788"/>
    <tableColumn id="14602" name="Columna14588" dataDxfId="18411" totalsRowDxfId="1787"/>
    <tableColumn id="14603" name="Columna14589" dataDxfId="18410" totalsRowDxfId="1786"/>
    <tableColumn id="14604" name="Columna14590" dataDxfId="18409" totalsRowDxfId="1785"/>
    <tableColumn id="14605" name="Columna14591" dataDxfId="18408" totalsRowDxfId="1784"/>
    <tableColumn id="14606" name="Columna14592" dataDxfId="18407" totalsRowDxfId="1783"/>
    <tableColumn id="14607" name="Columna14593" dataDxfId="18406" totalsRowDxfId="1782"/>
    <tableColumn id="14608" name="Columna14594" dataDxfId="18405" totalsRowDxfId="1781"/>
    <tableColumn id="14609" name="Columna14595" dataDxfId="18404" totalsRowDxfId="1780"/>
    <tableColumn id="14610" name="Columna14596" dataDxfId="18403" totalsRowDxfId="1779"/>
    <tableColumn id="14611" name="Columna14597" dataDxfId="18402" totalsRowDxfId="1778"/>
    <tableColumn id="14612" name="Columna14598" dataDxfId="18401" totalsRowDxfId="1777"/>
    <tableColumn id="14613" name="Columna14599" dataDxfId="18400" totalsRowDxfId="1776"/>
    <tableColumn id="14614" name="Columna14600" dataDxfId="18399" totalsRowDxfId="1775"/>
    <tableColumn id="14615" name="Columna14601" dataDxfId="18398" totalsRowDxfId="1774"/>
    <tableColumn id="14616" name="Columna14602" dataDxfId="18397" totalsRowDxfId="1773"/>
    <tableColumn id="14617" name="Columna14603" dataDxfId="18396" totalsRowDxfId="1772"/>
    <tableColumn id="14618" name="Columna14604" dataDxfId="18395" totalsRowDxfId="1771"/>
    <tableColumn id="14619" name="Columna14605" dataDxfId="18394" totalsRowDxfId="1770"/>
    <tableColumn id="14620" name="Columna14606" dataDxfId="18393" totalsRowDxfId="1769"/>
    <tableColumn id="14621" name="Columna14607" dataDxfId="18392" totalsRowDxfId="1768"/>
    <tableColumn id="14622" name="Columna14608" dataDxfId="18391" totalsRowDxfId="1767"/>
    <tableColumn id="14623" name="Columna14609" dataDxfId="18390" totalsRowDxfId="1766"/>
    <tableColumn id="14624" name="Columna14610" dataDxfId="18389" totalsRowDxfId="1765"/>
    <tableColumn id="14625" name="Columna14611" dataDxfId="18388" totalsRowDxfId="1764"/>
    <tableColumn id="14626" name="Columna14612" dataDxfId="18387" totalsRowDxfId="1763"/>
    <tableColumn id="14627" name="Columna14613" dataDxfId="18386" totalsRowDxfId="1762"/>
    <tableColumn id="14628" name="Columna14614" dataDxfId="18385" totalsRowDxfId="1761"/>
    <tableColumn id="14629" name="Columna14615" dataDxfId="18384" totalsRowDxfId="1760"/>
    <tableColumn id="14630" name="Columna14616" dataDxfId="18383" totalsRowDxfId="1759"/>
    <tableColumn id="14631" name="Columna14617" dataDxfId="18382" totalsRowDxfId="1758"/>
    <tableColumn id="14632" name="Columna14618" dataDxfId="18381" totalsRowDxfId="1757"/>
    <tableColumn id="14633" name="Columna14619" dataDxfId="18380" totalsRowDxfId="1756"/>
    <tableColumn id="14634" name="Columna14620" dataDxfId="18379" totalsRowDxfId="1755"/>
    <tableColumn id="14635" name="Columna14621" dataDxfId="18378" totalsRowDxfId="1754"/>
    <tableColumn id="14636" name="Columna14622" dataDxfId="18377" totalsRowDxfId="1753"/>
    <tableColumn id="14637" name="Columna14623" dataDxfId="18376" totalsRowDxfId="1752"/>
    <tableColumn id="14638" name="Columna14624" dataDxfId="18375" totalsRowDxfId="1751"/>
    <tableColumn id="14639" name="Columna14625" dataDxfId="18374" totalsRowDxfId="1750"/>
    <tableColumn id="14640" name="Columna14626" dataDxfId="18373" totalsRowDxfId="1749"/>
    <tableColumn id="14641" name="Columna14627" dataDxfId="18372" totalsRowDxfId="1748"/>
    <tableColumn id="14642" name="Columna14628" dataDxfId="18371" totalsRowDxfId="1747"/>
    <tableColumn id="14643" name="Columna14629" dataDxfId="18370" totalsRowDxfId="1746"/>
    <tableColumn id="14644" name="Columna14630" dataDxfId="18369" totalsRowDxfId="1745"/>
    <tableColumn id="14645" name="Columna14631" dataDxfId="18368" totalsRowDxfId="1744"/>
    <tableColumn id="14646" name="Columna14632" dataDxfId="18367" totalsRowDxfId="1743"/>
    <tableColumn id="14647" name="Columna14633" dataDxfId="18366" totalsRowDxfId="1742"/>
    <tableColumn id="14648" name="Columna14634" dataDxfId="18365" totalsRowDxfId="1741"/>
    <tableColumn id="14649" name="Columna14635" dataDxfId="18364" totalsRowDxfId="1740"/>
    <tableColumn id="14650" name="Columna14636" dataDxfId="18363" totalsRowDxfId="1739"/>
    <tableColumn id="14651" name="Columna14637" dataDxfId="18362" totalsRowDxfId="1738"/>
    <tableColumn id="14652" name="Columna14638" dataDxfId="18361" totalsRowDxfId="1737"/>
    <tableColumn id="14653" name="Columna14639" dataDxfId="18360" totalsRowDxfId="1736"/>
    <tableColumn id="14654" name="Columna14640" dataDxfId="18359" totalsRowDxfId="1735"/>
    <tableColumn id="14655" name="Columna14641" dataDxfId="18358" totalsRowDxfId="1734"/>
    <tableColumn id="14656" name="Columna14642" dataDxfId="18357" totalsRowDxfId="1733"/>
    <tableColumn id="14657" name="Columna14643" dataDxfId="18356" totalsRowDxfId="1732"/>
    <tableColumn id="14658" name="Columna14644" dataDxfId="18355" totalsRowDxfId="1731"/>
    <tableColumn id="14659" name="Columna14645" dataDxfId="18354" totalsRowDxfId="1730"/>
    <tableColumn id="14660" name="Columna14646" dataDxfId="18353" totalsRowDxfId="1729"/>
    <tableColumn id="14661" name="Columna14647" dataDxfId="18352" totalsRowDxfId="1728"/>
    <tableColumn id="14662" name="Columna14648" dataDxfId="18351" totalsRowDxfId="1727"/>
    <tableColumn id="14663" name="Columna14649" dataDxfId="18350" totalsRowDxfId="1726"/>
    <tableColumn id="14664" name="Columna14650" dataDxfId="18349" totalsRowDxfId="1725"/>
    <tableColumn id="14665" name="Columna14651" dataDxfId="18348" totalsRowDxfId="1724"/>
    <tableColumn id="14666" name="Columna14652" dataDxfId="18347" totalsRowDxfId="1723"/>
    <tableColumn id="14667" name="Columna14653" dataDxfId="18346" totalsRowDxfId="1722"/>
    <tableColumn id="14668" name="Columna14654" dataDxfId="18345" totalsRowDxfId="1721"/>
    <tableColumn id="14669" name="Columna14655" dataDxfId="18344" totalsRowDxfId="1720"/>
    <tableColumn id="14670" name="Columna14656" dataDxfId="18343" totalsRowDxfId="1719"/>
    <tableColumn id="14671" name="Columna14657" dataDxfId="18342" totalsRowDxfId="1718"/>
    <tableColumn id="14672" name="Columna14658" dataDxfId="18341" totalsRowDxfId="1717"/>
    <tableColumn id="14673" name="Columna14659" dataDxfId="18340" totalsRowDxfId="1716"/>
    <tableColumn id="14674" name="Columna14660" dataDxfId="18339" totalsRowDxfId="1715"/>
    <tableColumn id="14675" name="Columna14661" dataDxfId="18338" totalsRowDxfId="1714"/>
    <tableColumn id="14676" name="Columna14662" dataDxfId="18337" totalsRowDxfId="1713"/>
    <tableColumn id="14677" name="Columna14663" dataDxfId="18336" totalsRowDxfId="1712"/>
    <tableColumn id="14678" name="Columna14664" dataDxfId="18335" totalsRowDxfId="1711"/>
    <tableColumn id="14679" name="Columna14665" dataDxfId="18334" totalsRowDxfId="1710"/>
    <tableColumn id="14680" name="Columna14666" dataDxfId="18333" totalsRowDxfId="1709"/>
    <tableColumn id="14681" name="Columna14667" dataDxfId="18332" totalsRowDxfId="1708"/>
    <tableColumn id="14682" name="Columna14668" dataDxfId="18331" totalsRowDxfId="1707"/>
    <tableColumn id="14683" name="Columna14669" dataDxfId="18330" totalsRowDxfId="1706"/>
    <tableColumn id="14684" name="Columna14670" dataDxfId="18329" totalsRowDxfId="1705"/>
    <tableColumn id="14685" name="Columna14671" dataDxfId="18328" totalsRowDxfId="1704"/>
    <tableColumn id="14686" name="Columna14672" dataDxfId="18327" totalsRowDxfId="1703"/>
    <tableColumn id="14687" name="Columna14673" dataDxfId="18326" totalsRowDxfId="1702"/>
    <tableColumn id="14688" name="Columna14674" dataDxfId="18325" totalsRowDxfId="1701"/>
    <tableColumn id="14689" name="Columna14675" dataDxfId="18324" totalsRowDxfId="1700"/>
    <tableColumn id="14690" name="Columna14676" dataDxfId="18323" totalsRowDxfId="1699"/>
    <tableColumn id="14691" name="Columna14677" dataDxfId="18322" totalsRowDxfId="1698"/>
    <tableColumn id="14692" name="Columna14678" dataDxfId="18321" totalsRowDxfId="1697"/>
    <tableColumn id="14693" name="Columna14679" dataDxfId="18320" totalsRowDxfId="1696"/>
    <tableColumn id="14694" name="Columna14680" dataDxfId="18319" totalsRowDxfId="1695"/>
    <tableColumn id="14695" name="Columna14681" dataDxfId="18318" totalsRowDxfId="1694"/>
    <tableColumn id="14696" name="Columna14682" dataDxfId="18317" totalsRowDxfId="1693"/>
    <tableColumn id="14697" name="Columna14683" dataDxfId="18316" totalsRowDxfId="1692"/>
    <tableColumn id="14698" name="Columna14684" dataDxfId="18315" totalsRowDxfId="1691"/>
    <tableColumn id="14699" name="Columna14685" dataDxfId="18314" totalsRowDxfId="1690"/>
    <tableColumn id="14700" name="Columna14686" dataDxfId="18313" totalsRowDxfId="1689"/>
    <tableColumn id="14701" name="Columna14687" dataDxfId="18312" totalsRowDxfId="1688"/>
    <tableColumn id="14702" name="Columna14688" dataDxfId="18311" totalsRowDxfId="1687"/>
    <tableColumn id="14703" name="Columna14689" dataDxfId="18310" totalsRowDxfId="1686"/>
    <tableColumn id="14704" name="Columna14690" dataDxfId="18309" totalsRowDxfId="1685"/>
    <tableColumn id="14705" name="Columna14691" dataDxfId="18308" totalsRowDxfId="1684"/>
    <tableColumn id="14706" name="Columna14692" dataDxfId="18307" totalsRowDxfId="1683"/>
    <tableColumn id="14707" name="Columna14693" dataDxfId="18306" totalsRowDxfId="1682"/>
    <tableColumn id="14708" name="Columna14694" dataDxfId="18305" totalsRowDxfId="1681"/>
    <tableColumn id="14709" name="Columna14695" dataDxfId="18304" totalsRowDxfId="1680"/>
    <tableColumn id="14710" name="Columna14696" dataDxfId="18303" totalsRowDxfId="1679"/>
    <tableColumn id="14711" name="Columna14697" dataDxfId="18302" totalsRowDxfId="1678"/>
    <tableColumn id="14712" name="Columna14698" dataDxfId="18301" totalsRowDxfId="1677"/>
    <tableColumn id="14713" name="Columna14699" dataDxfId="18300" totalsRowDxfId="1676"/>
    <tableColumn id="14714" name="Columna14700" dataDxfId="18299" totalsRowDxfId="1675"/>
    <tableColumn id="14715" name="Columna14701" dataDxfId="18298" totalsRowDxfId="1674"/>
    <tableColumn id="14716" name="Columna14702" dataDxfId="18297" totalsRowDxfId="1673"/>
    <tableColumn id="14717" name="Columna14703" dataDxfId="18296" totalsRowDxfId="1672"/>
    <tableColumn id="14718" name="Columna14704" dataDxfId="18295" totalsRowDxfId="1671"/>
    <tableColumn id="14719" name="Columna14705" dataDxfId="18294" totalsRowDxfId="1670"/>
    <tableColumn id="14720" name="Columna14706" dataDxfId="18293" totalsRowDxfId="1669"/>
    <tableColumn id="14721" name="Columna14707" dataDxfId="18292" totalsRowDxfId="1668"/>
    <tableColumn id="14722" name="Columna14708" dataDxfId="18291" totalsRowDxfId="1667"/>
    <tableColumn id="14723" name="Columna14709" dataDxfId="18290" totalsRowDxfId="1666"/>
    <tableColumn id="14724" name="Columna14710" dataDxfId="18289" totalsRowDxfId="1665"/>
    <tableColumn id="14725" name="Columna14711" dataDxfId="18288" totalsRowDxfId="1664"/>
    <tableColumn id="14726" name="Columna14712" dataDxfId="18287" totalsRowDxfId="1663"/>
    <tableColumn id="14727" name="Columna14713" dataDxfId="18286" totalsRowDxfId="1662"/>
    <tableColumn id="14728" name="Columna14714" dataDxfId="18285" totalsRowDxfId="1661"/>
    <tableColumn id="14729" name="Columna14715" dataDxfId="18284" totalsRowDxfId="1660"/>
    <tableColumn id="14730" name="Columna14716" dataDxfId="18283" totalsRowDxfId="1659"/>
    <tableColumn id="14731" name="Columna14717" dataDxfId="18282" totalsRowDxfId="1658"/>
    <tableColumn id="14732" name="Columna14718" dataDxfId="18281" totalsRowDxfId="1657"/>
    <tableColumn id="14733" name="Columna14719" dataDxfId="18280" totalsRowDxfId="1656"/>
    <tableColumn id="14734" name="Columna14720" dataDxfId="18279" totalsRowDxfId="1655"/>
    <tableColumn id="14735" name="Columna14721" dataDxfId="18278" totalsRowDxfId="1654"/>
    <tableColumn id="14736" name="Columna14722" dataDxfId="18277" totalsRowDxfId="1653"/>
    <tableColumn id="14737" name="Columna14723" dataDxfId="18276" totalsRowDxfId="1652"/>
    <tableColumn id="14738" name="Columna14724" dataDxfId="18275" totalsRowDxfId="1651"/>
    <tableColumn id="14739" name="Columna14725" dataDxfId="18274" totalsRowDxfId="1650"/>
    <tableColumn id="14740" name="Columna14726" dataDxfId="18273" totalsRowDxfId="1649"/>
    <tableColumn id="14741" name="Columna14727" dataDxfId="18272" totalsRowDxfId="1648"/>
    <tableColumn id="14742" name="Columna14728" dataDxfId="18271" totalsRowDxfId="1647"/>
    <tableColumn id="14743" name="Columna14729" dataDxfId="18270" totalsRowDxfId="1646"/>
    <tableColumn id="14744" name="Columna14730" dataDxfId="18269" totalsRowDxfId="1645"/>
    <tableColumn id="14745" name="Columna14731" dataDxfId="18268" totalsRowDxfId="1644"/>
    <tableColumn id="14746" name="Columna14732" dataDxfId="18267" totalsRowDxfId="1643"/>
    <tableColumn id="14747" name="Columna14733" dataDxfId="18266" totalsRowDxfId="1642"/>
    <tableColumn id="14748" name="Columna14734" dataDxfId="18265" totalsRowDxfId="1641"/>
    <tableColumn id="14749" name="Columna14735" dataDxfId="18264" totalsRowDxfId="1640"/>
    <tableColumn id="14750" name="Columna14736" dataDxfId="18263" totalsRowDxfId="1639"/>
    <tableColumn id="14751" name="Columna14737" dataDxfId="18262" totalsRowDxfId="1638"/>
    <tableColumn id="14752" name="Columna14738" dataDxfId="18261" totalsRowDxfId="1637"/>
    <tableColumn id="14753" name="Columna14739" dataDxfId="18260" totalsRowDxfId="1636"/>
    <tableColumn id="14754" name="Columna14740" dataDxfId="18259" totalsRowDxfId="1635"/>
    <tableColumn id="14755" name="Columna14741" dataDxfId="18258" totalsRowDxfId="1634"/>
    <tableColumn id="14756" name="Columna14742" dataDxfId="18257" totalsRowDxfId="1633"/>
    <tableColumn id="14757" name="Columna14743" dataDxfId="18256" totalsRowDxfId="1632"/>
    <tableColumn id="14758" name="Columna14744" dataDxfId="18255" totalsRowDxfId="1631"/>
    <tableColumn id="14759" name="Columna14745" dataDxfId="18254" totalsRowDxfId="1630"/>
    <tableColumn id="14760" name="Columna14746" dataDxfId="18253" totalsRowDxfId="1629"/>
    <tableColumn id="14761" name="Columna14747" dataDxfId="18252" totalsRowDxfId="1628"/>
    <tableColumn id="14762" name="Columna14748" dataDxfId="18251" totalsRowDxfId="1627"/>
    <tableColumn id="14763" name="Columna14749" dataDxfId="18250" totalsRowDxfId="1626"/>
    <tableColumn id="14764" name="Columna14750" dataDxfId="18249" totalsRowDxfId="1625"/>
    <tableColumn id="14765" name="Columna14751" dataDxfId="18248" totalsRowDxfId="1624"/>
    <tableColumn id="14766" name="Columna14752" dataDxfId="18247" totalsRowDxfId="1623"/>
    <tableColumn id="14767" name="Columna14753" dataDxfId="18246" totalsRowDxfId="1622"/>
    <tableColumn id="14768" name="Columna14754" dataDxfId="18245" totalsRowDxfId="1621"/>
    <tableColumn id="14769" name="Columna14755" dataDxfId="18244" totalsRowDxfId="1620"/>
    <tableColumn id="14770" name="Columna14756" dataDxfId="18243" totalsRowDxfId="1619"/>
    <tableColumn id="14771" name="Columna14757" dataDxfId="18242" totalsRowDxfId="1618"/>
    <tableColumn id="14772" name="Columna14758" dataDxfId="18241" totalsRowDxfId="1617"/>
    <tableColumn id="14773" name="Columna14759" dataDxfId="18240" totalsRowDxfId="1616"/>
    <tableColumn id="14774" name="Columna14760" dataDxfId="18239" totalsRowDxfId="1615"/>
    <tableColumn id="14775" name="Columna14761" dataDxfId="18238" totalsRowDxfId="1614"/>
    <tableColumn id="14776" name="Columna14762" dataDxfId="18237" totalsRowDxfId="1613"/>
    <tableColumn id="14777" name="Columna14763" dataDxfId="18236" totalsRowDxfId="1612"/>
    <tableColumn id="14778" name="Columna14764" dataDxfId="18235" totalsRowDxfId="1611"/>
    <tableColumn id="14779" name="Columna14765" dataDxfId="18234" totalsRowDxfId="1610"/>
    <tableColumn id="14780" name="Columna14766" dataDxfId="18233" totalsRowDxfId="1609"/>
    <tableColumn id="14781" name="Columna14767" dataDxfId="18232" totalsRowDxfId="1608"/>
    <tableColumn id="14782" name="Columna14768" dataDxfId="18231" totalsRowDxfId="1607"/>
    <tableColumn id="14783" name="Columna14769" dataDxfId="18230" totalsRowDxfId="1606"/>
    <tableColumn id="14784" name="Columna14770" dataDxfId="18229" totalsRowDxfId="1605"/>
    <tableColumn id="14785" name="Columna14771" dataDxfId="18228" totalsRowDxfId="1604"/>
    <tableColumn id="14786" name="Columna14772" dataDxfId="18227" totalsRowDxfId="1603"/>
    <tableColumn id="14787" name="Columna14773" dataDxfId="18226" totalsRowDxfId="1602"/>
    <tableColumn id="14788" name="Columna14774" dataDxfId="18225" totalsRowDxfId="1601"/>
    <tableColumn id="14789" name="Columna14775" dataDxfId="18224" totalsRowDxfId="1600"/>
    <tableColumn id="14790" name="Columna14776" dataDxfId="18223" totalsRowDxfId="1599"/>
    <tableColumn id="14791" name="Columna14777" dataDxfId="18222" totalsRowDxfId="1598"/>
    <tableColumn id="14792" name="Columna14778" dataDxfId="18221" totalsRowDxfId="1597"/>
    <tableColumn id="14793" name="Columna14779" dataDxfId="18220" totalsRowDxfId="1596"/>
    <tableColumn id="14794" name="Columna14780" dataDxfId="18219" totalsRowDxfId="1595"/>
    <tableColumn id="14795" name="Columna14781" dataDxfId="18218" totalsRowDxfId="1594"/>
    <tableColumn id="14796" name="Columna14782" dataDxfId="18217" totalsRowDxfId="1593"/>
    <tableColumn id="14797" name="Columna14783" dataDxfId="18216" totalsRowDxfId="1592"/>
    <tableColumn id="14798" name="Columna14784" dataDxfId="18215" totalsRowDxfId="1591"/>
    <tableColumn id="14799" name="Columna14785" dataDxfId="18214" totalsRowDxfId="1590"/>
    <tableColumn id="14800" name="Columna14786" dataDxfId="18213" totalsRowDxfId="1589"/>
    <tableColumn id="14801" name="Columna14787" dataDxfId="18212" totalsRowDxfId="1588"/>
    <tableColumn id="14802" name="Columna14788" dataDxfId="18211" totalsRowDxfId="1587"/>
    <tableColumn id="14803" name="Columna14789" dataDxfId="18210" totalsRowDxfId="1586"/>
    <tableColumn id="14804" name="Columna14790" dataDxfId="18209" totalsRowDxfId="1585"/>
    <tableColumn id="14805" name="Columna14791" dataDxfId="18208" totalsRowDxfId="1584"/>
    <tableColumn id="14806" name="Columna14792" dataDxfId="18207" totalsRowDxfId="1583"/>
    <tableColumn id="14807" name="Columna14793" dataDxfId="18206" totalsRowDxfId="1582"/>
    <tableColumn id="14808" name="Columna14794" dataDxfId="18205" totalsRowDxfId="1581"/>
    <tableColumn id="14809" name="Columna14795" dataDxfId="18204" totalsRowDxfId="1580"/>
    <tableColumn id="14810" name="Columna14796" dataDxfId="18203" totalsRowDxfId="1579"/>
    <tableColumn id="14811" name="Columna14797" dataDxfId="18202" totalsRowDxfId="1578"/>
    <tableColumn id="14812" name="Columna14798" dataDxfId="18201" totalsRowDxfId="1577"/>
    <tableColumn id="14813" name="Columna14799" dataDxfId="18200" totalsRowDxfId="1576"/>
    <tableColumn id="14814" name="Columna14800" dataDxfId="18199" totalsRowDxfId="1575"/>
    <tableColumn id="14815" name="Columna14801" dataDxfId="18198" totalsRowDxfId="1574"/>
    <tableColumn id="14816" name="Columna14802" dataDxfId="18197" totalsRowDxfId="1573"/>
    <tableColumn id="14817" name="Columna14803" dataDxfId="18196" totalsRowDxfId="1572"/>
    <tableColumn id="14818" name="Columna14804" dataDxfId="18195" totalsRowDxfId="1571"/>
    <tableColumn id="14819" name="Columna14805" dataDxfId="18194" totalsRowDxfId="1570"/>
    <tableColumn id="14820" name="Columna14806" dataDxfId="18193" totalsRowDxfId="1569"/>
    <tableColumn id="14821" name="Columna14807" dataDxfId="18192" totalsRowDxfId="1568"/>
    <tableColumn id="14822" name="Columna14808" dataDxfId="18191" totalsRowDxfId="1567"/>
    <tableColumn id="14823" name="Columna14809" dataDxfId="18190" totalsRowDxfId="1566"/>
    <tableColumn id="14824" name="Columna14810" dataDxfId="18189" totalsRowDxfId="1565"/>
    <tableColumn id="14825" name="Columna14811" dataDxfId="18188" totalsRowDxfId="1564"/>
    <tableColumn id="14826" name="Columna14812" dataDxfId="18187" totalsRowDxfId="1563"/>
    <tableColumn id="14827" name="Columna14813" dataDxfId="18186" totalsRowDxfId="1562"/>
    <tableColumn id="14828" name="Columna14814" dataDxfId="18185" totalsRowDxfId="1561"/>
    <tableColumn id="14829" name="Columna14815" dataDxfId="18184" totalsRowDxfId="1560"/>
    <tableColumn id="14830" name="Columna14816" dataDxfId="18183" totalsRowDxfId="1559"/>
    <tableColumn id="14831" name="Columna14817" dataDxfId="18182" totalsRowDxfId="1558"/>
    <tableColumn id="14832" name="Columna14818" dataDxfId="18181" totalsRowDxfId="1557"/>
    <tableColumn id="14833" name="Columna14819" dataDxfId="18180" totalsRowDxfId="1556"/>
    <tableColumn id="14834" name="Columna14820" dataDxfId="18179" totalsRowDxfId="1555"/>
    <tableColumn id="14835" name="Columna14821" dataDxfId="18178" totalsRowDxfId="1554"/>
    <tableColumn id="14836" name="Columna14822" dataDxfId="18177" totalsRowDxfId="1553"/>
    <tableColumn id="14837" name="Columna14823" dataDxfId="18176" totalsRowDxfId="1552"/>
    <tableColumn id="14838" name="Columna14824" dataDxfId="18175" totalsRowDxfId="1551"/>
    <tableColumn id="14839" name="Columna14825" dataDxfId="18174" totalsRowDxfId="1550"/>
    <tableColumn id="14840" name="Columna14826" dataDxfId="18173" totalsRowDxfId="1549"/>
    <tableColumn id="14841" name="Columna14827" dataDxfId="18172" totalsRowDxfId="1548"/>
    <tableColumn id="14842" name="Columna14828" dataDxfId="18171" totalsRowDxfId="1547"/>
    <tableColumn id="14843" name="Columna14829" dataDxfId="18170" totalsRowDxfId="1546"/>
    <tableColumn id="14844" name="Columna14830" dataDxfId="18169" totalsRowDxfId="1545"/>
    <tableColumn id="14845" name="Columna14831" dataDxfId="18168" totalsRowDxfId="1544"/>
    <tableColumn id="14846" name="Columna14832" dataDxfId="18167" totalsRowDxfId="1543"/>
    <tableColumn id="14847" name="Columna14833" dataDxfId="18166" totalsRowDxfId="1542"/>
    <tableColumn id="14848" name="Columna14834" dataDxfId="18165" totalsRowDxfId="1541"/>
    <tableColumn id="14849" name="Columna14835" dataDxfId="18164" totalsRowDxfId="1540"/>
    <tableColumn id="14850" name="Columna14836" dataDxfId="18163" totalsRowDxfId="1539"/>
    <tableColumn id="14851" name="Columna14837" dataDxfId="18162" totalsRowDxfId="1538"/>
    <tableColumn id="14852" name="Columna14838" dataDxfId="18161" totalsRowDxfId="1537"/>
    <tableColumn id="14853" name="Columna14839" dataDxfId="18160" totalsRowDxfId="1536"/>
    <tableColumn id="14854" name="Columna14840" dataDxfId="18159" totalsRowDxfId="1535"/>
    <tableColumn id="14855" name="Columna14841" dataDxfId="18158" totalsRowDxfId="1534"/>
    <tableColumn id="14856" name="Columna14842" dataDxfId="18157" totalsRowDxfId="1533"/>
    <tableColumn id="14857" name="Columna14843" dataDxfId="18156" totalsRowDxfId="1532"/>
    <tableColumn id="14858" name="Columna14844" dataDxfId="18155" totalsRowDxfId="1531"/>
    <tableColumn id="14859" name="Columna14845" dataDxfId="18154" totalsRowDxfId="1530"/>
    <tableColumn id="14860" name="Columna14846" dataDxfId="18153" totalsRowDxfId="1529"/>
    <tableColumn id="14861" name="Columna14847" dataDxfId="18152" totalsRowDxfId="1528"/>
    <tableColumn id="14862" name="Columna14848" dataDxfId="18151" totalsRowDxfId="1527"/>
    <tableColumn id="14863" name="Columna14849" dataDxfId="18150" totalsRowDxfId="1526"/>
    <tableColumn id="14864" name="Columna14850" dataDxfId="18149" totalsRowDxfId="1525"/>
    <tableColumn id="14865" name="Columna14851" dataDxfId="18148" totalsRowDxfId="1524"/>
    <tableColumn id="14866" name="Columna14852" dataDxfId="18147" totalsRowDxfId="1523"/>
    <tableColumn id="14867" name="Columna14853" dataDxfId="18146" totalsRowDxfId="1522"/>
    <tableColumn id="14868" name="Columna14854" dataDxfId="18145" totalsRowDxfId="1521"/>
    <tableColumn id="14869" name="Columna14855" dataDxfId="18144" totalsRowDxfId="1520"/>
    <tableColumn id="14870" name="Columna14856" dataDxfId="18143" totalsRowDxfId="1519"/>
    <tableColumn id="14871" name="Columna14857" dataDxfId="18142" totalsRowDxfId="1518"/>
    <tableColumn id="14872" name="Columna14858" dataDxfId="18141" totalsRowDxfId="1517"/>
    <tableColumn id="14873" name="Columna14859" dataDxfId="18140" totalsRowDxfId="1516"/>
    <tableColumn id="14874" name="Columna14860" dataDxfId="18139" totalsRowDxfId="1515"/>
    <tableColumn id="14875" name="Columna14861" dataDxfId="18138" totalsRowDxfId="1514"/>
    <tableColumn id="14876" name="Columna14862" dataDxfId="18137" totalsRowDxfId="1513"/>
    <tableColumn id="14877" name="Columna14863" dataDxfId="18136" totalsRowDxfId="1512"/>
    <tableColumn id="14878" name="Columna14864" dataDxfId="18135" totalsRowDxfId="1511"/>
    <tableColumn id="14879" name="Columna14865" dataDxfId="18134" totalsRowDxfId="1510"/>
    <tableColumn id="14880" name="Columna14866" dataDxfId="18133" totalsRowDxfId="1509"/>
    <tableColumn id="14881" name="Columna14867" dataDxfId="18132" totalsRowDxfId="1508"/>
    <tableColumn id="14882" name="Columna14868" dataDxfId="18131" totalsRowDxfId="1507"/>
    <tableColumn id="14883" name="Columna14869" dataDxfId="18130" totalsRowDxfId="1506"/>
    <tableColumn id="14884" name="Columna14870" dataDxfId="18129" totalsRowDxfId="1505"/>
    <tableColumn id="14885" name="Columna14871" dataDxfId="18128" totalsRowDxfId="1504"/>
    <tableColumn id="14886" name="Columna14872" dataDxfId="18127" totalsRowDxfId="1503"/>
    <tableColumn id="14887" name="Columna14873" dataDxfId="18126" totalsRowDxfId="1502"/>
    <tableColumn id="14888" name="Columna14874" dataDxfId="18125" totalsRowDxfId="1501"/>
    <tableColumn id="14889" name="Columna14875" dataDxfId="18124" totalsRowDxfId="1500"/>
    <tableColumn id="14890" name="Columna14876" dataDxfId="18123" totalsRowDxfId="1499"/>
    <tableColumn id="14891" name="Columna14877" dataDxfId="18122" totalsRowDxfId="1498"/>
    <tableColumn id="14892" name="Columna14878" dataDxfId="18121" totalsRowDxfId="1497"/>
    <tableColumn id="14893" name="Columna14879" dataDxfId="18120" totalsRowDxfId="1496"/>
    <tableColumn id="14894" name="Columna14880" dataDxfId="18119" totalsRowDxfId="1495"/>
    <tableColumn id="14895" name="Columna14881" dataDxfId="18118" totalsRowDxfId="1494"/>
    <tableColumn id="14896" name="Columna14882" dataDxfId="18117" totalsRowDxfId="1493"/>
    <tableColumn id="14897" name="Columna14883" dataDxfId="18116" totalsRowDxfId="1492"/>
    <tableColumn id="14898" name="Columna14884" dataDxfId="18115" totalsRowDxfId="1491"/>
    <tableColumn id="14899" name="Columna14885" dataDxfId="18114" totalsRowDxfId="1490"/>
    <tableColumn id="14900" name="Columna14886" dataDxfId="18113" totalsRowDxfId="1489"/>
    <tableColumn id="14901" name="Columna14887" dataDxfId="18112" totalsRowDxfId="1488"/>
    <tableColumn id="14902" name="Columna14888" dataDxfId="18111" totalsRowDxfId="1487"/>
    <tableColumn id="14903" name="Columna14889" dataDxfId="18110" totalsRowDxfId="1486"/>
    <tableColumn id="14904" name="Columna14890" dataDxfId="18109" totalsRowDxfId="1485"/>
    <tableColumn id="14905" name="Columna14891" dataDxfId="18108" totalsRowDxfId="1484"/>
    <tableColumn id="14906" name="Columna14892" dataDxfId="18107" totalsRowDxfId="1483"/>
    <tableColumn id="14907" name="Columna14893" dataDxfId="18106" totalsRowDxfId="1482"/>
    <tableColumn id="14908" name="Columna14894" dataDxfId="18105" totalsRowDxfId="1481"/>
    <tableColumn id="14909" name="Columna14895" dataDxfId="18104" totalsRowDxfId="1480"/>
    <tableColumn id="14910" name="Columna14896" dataDxfId="18103" totalsRowDxfId="1479"/>
    <tableColumn id="14911" name="Columna14897" dataDxfId="18102" totalsRowDxfId="1478"/>
    <tableColumn id="14912" name="Columna14898" dataDxfId="18101" totalsRowDxfId="1477"/>
    <tableColumn id="14913" name="Columna14899" dataDxfId="18100" totalsRowDxfId="1476"/>
    <tableColumn id="14914" name="Columna14900" dataDxfId="18099" totalsRowDxfId="1475"/>
    <tableColumn id="14915" name="Columna14901" dataDxfId="18098" totalsRowDxfId="1474"/>
    <tableColumn id="14916" name="Columna14902" dataDxfId="18097" totalsRowDxfId="1473"/>
    <tableColumn id="14917" name="Columna14903" dataDxfId="18096" totalsRowDxfId="1472"/>
    <tableColumn id="14918" name="Columna14904" dataDxfId="18095" totalsRowDxfId="1471"/>
    <tableColumn id="14919" name="Columna14905" dataDxfId="18094" totalsRowDxfId="1470"/>
    <tableColumn id="14920" name="Columna14906" dataDxfId="18093" totalsRowDxfId="1469"/>
    <tableColumn id="14921" name="Columna14907" dataDxfId="18092" totalsRowDxfId="1468"/>
    <tableColumn id="14922" name="Columna14908" dataDxfId="18091" totalsRowDxfId="1467"/>
    <tableColumn id="14923" name="Columna14909" dataDxfId="18090" totalsRowDxfId="1466"/>
    <tableColumn id="14924" name="Columna14910" dataDxfId="18089" totalsRowDxfId="1465"/>
    <tableColumn id="14925" name="Columna14911" dataDxfId="18088" totalsRowDxfId="1464"/>
    <tableColumn id="14926" name="Columna14912" dataDxfId="18087" totalsRowDxfId="1463"/>
    <tableColumn id="14927" name="Columna14913" dataDxfId="18086" totalsRowDxfId="1462"/>
    <tableColumn id="14928" name="Columna14914" dataDxfId="18085" totalsRowDxfId="1461"/>
    <tableColumn id="14929" name="Columna14915" dataDxfId="18084" totalsRowDxfId="1460"/>
    <tableColumn id="14930" name="Columna14916" dataDxfId="18083" totalsRowDxfId="1459"/>
    <tableColumn id="14931" name="Columna14917" dataDxfId="18082" totalsRowDxfId="1458"/>
    <tableColumn id="14932" name="Columna14918" dataDxfId="18081" totalsRowDxfId="1457"/>
    <tableColumn id="14933" name="Columna14919" dataDxfId="18080" totalsRowDxfId="1456"/>
    <tableColumn id="14934" name="Columna14920" dataDxfId="18079" totalsRowDxfId="1455"/>
    <tableColumn id="14935" name="Columna14921" dataDxfId="18078" totalsRowDxfId="1454"/>
    <tableColumn id="14936" name="Columna14922" dataDxfId="18077" totalsRowDxfId="1453"/>
    <tableColumn id="14937" name="Columna14923" dataDxfId="18076" totalsRowDxfId="1452"/>
    <tableColumn id="14938" name="Columna14924" dataDxfId="18075" totalsRowDxfId="1451"/>
    <tableColumn id="14939" name="Columna14925" dataDxfId="18074" totalsRowDxfId="1450"/>
    <tableColumn id="14940" name="Columna14926" dataDxfId="18073" totalsRowDxfId="1449"/>
    <tableColumn id="14941" name="Columna14927" dataDxfId="18072" totalsRowDxfId="1448"/>
    <tableColumn id="14942" name="Columna14928" dataDxfId="18071" totalsRowDxfId="1447"/>
    <tableColumn id="14943" name="Columna14929" dataDxfId="18070" totalsRowDxfId="1446"/>
    <tableColumn id="14944" name="Columna14930" dataDxfId="18069" totalsRowDxfId="1445"/>
    <tableColumn id="14945" name="Columna14931" dataDxfId="18068" totalsRowDxfId="1444"/>
    <tableColumn id="14946" name="Columna14932" dataDxfId="18067" totalsRowDxfId="1443"/>
    <tableColumn id="14947" name="Columna14933" dataDxfId="18066" totalsRowDxfId="1442"/>
    <tableColumn id="14948" name="Columna14934" dataDxfId="18065" totalsRowDxfId="1441"/>
    <tableColumn id="14949" name="Columna14935" dataDxfId="18064" totalsRowDxfId="1440"/>
    <tableColumn id="14950" name="Columna14936" dataDxfId="18063" totalsRowDxfId="1439"/>
    <tableColumn id="14951" name="Columna14937" dataDxfId="18062" totalsRowDxfId="1438"/>
    <tableColumn id="14952" name="Columna14938" dataDxfId="18061" totalsRowDxfId="1437"/>
    <tableColumn id="14953" name="Columna14939" dataDxfId="18060" totalsRowDxfId="1436"/>
    <tableColumn id="14954" name="Columna14940" dataDxfId="18059" totalsRowDxfId="1435"/>
    <tableColumn id="14955" name="Columna14941" dataDxfId="18058" totalsRowDxfId="1434"/>
    <tableColumn id="14956" name="Columna14942" dataDxfId="18057" totalsRowDxfId="1433"/>
    <tableColumn id="14957" name="Columna14943" dataDxfId="18056" totalsRowDxfId="1432"/>
    <tableColumn id="14958" name="Columna14944" dataDxfId="18055" totalsRowDxfId="1431"/>
    <tableColumn id="14959" name="Columna14945" dataDxfId="18054" totalsRowDxfId="1430"/>
    <tableColumn id="14960" name="Columna14946" dataDxfId="18053" totalsRowDxfId="1429"/>
    <tableColumn id="14961" name="Columna14947" dataDxfId="18052" totalsRowDxfId="1428"/>
    <tableColumn id="14962" name="Columna14948" dataDxfId="18051" totalsRowDxfId="1427"/>
    <tableColumn id="14963" name="Columna14949" dataDxfId="18050" totalsRowDxfId="1426"/>
    <tableColumn id="14964" name="Columna14950" dataDxfId="18049" totalsRowDxfId="1425"/>
    <tableColumn id="14965" name="Columna14951" dataDxfId="18048" totalsRowDxfId="1424"/>
    <tableColumn id="14966" name="Columna14952" dataDxfId="18047" totalsRowDxfId="1423"/>
    <tableColumn id="14967" name="Columna14953" dataDxfId="18046" totalsRowDxfId="1422"/>
    <tableColumn id="14968" name="Columna14954" dataDxfId="18045" totalsRowDxfId="1421"/>
    <tableColumn id="14969" name="Columna14955" dataDxfId="18044" totalsRowDxfId="1420"/>
    <tableColumn id="14970" name="Columna14956" dataDxfId="18043" totalsRowDxfId="1419"/>
    <tableColumn id="14971" name="Columna14957" dataDxfId="18042" totalsRowDxfId="1418"/>
    <tableColumn id="14972" name="Columna14958" dataDxfId="18041" totalsRowDxfId="1417"/>
    <tableColumn id="14973" name="Columna14959" dataDxfId="18040" totalsRowDxfId="1416"/>
    <tableColumn id="14974" name="Columna14960" dataDxfId="18039" totalsRowDxfId="1415"/>
    <tableColumn id="14975" name="Columna14961" dataDxfId="18038" totalsRowDxfId="1414"/>
    <tableColumn id="14976" name="Columna14962" dataDxfId="18037" totalsRowDxfId="1413"/>
    <tableColumn id="14977" name="Columna14963" dataDxfId="18036" totalsRowDxfId="1412"/>
    <tableColumn id="14978" name="Columna14964" dataDxfId="18035" totalsRowDxfId="1411"/>
    <tableColumn id="14979" name="Columna14965" dataDxfId="18034" totalsRowDxfId="1410"/>
    <tableColumn id="14980" name="Columna14966" dataDxfId="18033" totalsRowDxfId="1409"/>
    <tableColumn id="14981" name="Columna14967" dataDxfId="18032" totalsRowDxfId="1408"/>
    <tableColumn id="14982" name="Columna14968" dataDxfId="18031" totalsRowDxfId="1407"/>
    <tableColumn id="14983" name="Columna14969" dataDxfId="18030" totalsRowDxfId="1406"/>
    <tableColumn id="14984" name="Columna14970" dataDxfId="18029" totalsRowDxfId="1405"/>
    <tableColumn id="14985" name="Columna14971" dataDxfId="18028" totalsRowDxfId="1404"/>
    <tableColumn id="14986" name="Columna14972" dataDxfId="18027" totalsRowDxfId="1403"/>
    <tableColumn id="14987" name="Columna14973" dataDxfId="18026" totalsRowDxfId="1402"/>
    <tableColumn id="14988" name="Columna14974" dataDxfId="18025" totalsRowDxfId="1401"/>
    <tableColumn id="14989" name="Columna14975" dataDxfId="18024" totalsRowDxfId="1400"/>
    <tableColumn id="14990" name="Columna14976" dataDxfId="18023" totalsRowDxfId="1399"/>
    <tableColumn id="14991" name="Columna14977" dataDxfId="18022" totalsRowDxfId="1398"/>
    <tableColumn id="14992" name="Columna14978" dataDxfId="18021" totalsRowDxfId="1397"/>
    <tableColumn id="14993" name="Columna14979" dataDxfId="18020" totalsRowDxfId="1396"/>
    <tableColumn id="14994" name="Columna14980" dataDxfId="18019" totalsRowDxfId="1395"/>
    <tableColumn id="14995" name="Columna14981" dataDxfId="18018" totalsRowDxfId="1394"/>
    <tableColumn id="14996" name="Columna14982" dataDxfId="18017" totalsRowDxfId="1393"/>
    <tableColumn id="14997" name="Columna14983" dataDxfId="18016" totalsRowDxfId="1392"/>
    <tableColumn id="14998" name="Columna14984" dataDxfId="18015" totalsRowDxfId="1391"/>
    <tableColumn id="14999" name="Columna14985" dataDxfId="18014" totalsRowDxfId="1390"/>
    <tableColumn id="15000" name="Columna14986" dataDxfId="18013" totalsRowDxfId="1389"/>
    <tableColumn id="15001" name="Columna14987" dataDxfId="18012" totalsRowDxfId="1388"/>
    <tableColumn id="15002" name="Columna14988" dataDxfId="18011" totalsRowDxfId="1387"/>
    <tableColumn id="15003" name="Columna14989" dataDxfId="18010" totalsRowDxfId="1386"/>
    <tableColumn id="15004" name="Columna14990" dataDxfId="18009" totalsRowDxfId="1385"/>
    <tableColumn id="15005" name="Columna14991" dataDxfId="18008" totalsRowDxfId="1384"/>
    <tableColumn id="15006" name="Columna14992" dataDxfId="18007" totalsRowDxfId="1383"/>
    <tableColumn id="15007" name="Columna14993" dataDxfId="18006" totalsRowDxfId="1382"/>
    <tableColumn id="15008" name="Columna14994" dataDxfId="18005" totalsRowDxfId="1381"/>
    <tableColumn id="15009" name="Columna14995" dataDxfId="18004" totalsRowDxfId="1380"/>
    <tableColumn id="15010" name="Columna14996" dataDxfId="18003" totalsRowDxfId="1379"/>
    <tableColumn id="15011" name="Columna14997" dataDxfId="18002" totalsRowDxfId="1378"/>
    <tableColumn id="15012" name="Columna14998" dataDxfId="18001" totalsRowDxfId="1377"/>
    <tableColumn id="15013" name="Columna14999" dataDxfId="18000" totalsRowDxfId="1376"/>
    <tableColumn id="15014" name="Columna15000" dataDxfId="17999" totalsRowDxfId="1375"/>
    <tableColumn id="15015" name="Columna15001" dataDxfId="17998" totalsRowDxfId="1374"/>
    <tableColumn id="15016" name="Columna15002" dataDxfId="17997" totalsRowDxfId="1373"/>
    <tableColumn id="15017" name="Columna15003" dataDxfId="17996" totalsRowDxfId="1372"/>
    <tableColumn id="15018" name="Columna15004" dataDxfId="17995" totalsRowDxfId="1371"/>
    <tableColumn id="15019" name="Columna15005" dataDxfId="17994" totalsRowDxfId="1370"/>
    <tableColumn id="15020" name="Columna15006" dataDxfId="17993" totalsRowDxfId="1369"/>
    <tableColumn id="15021" name="Columna15007" dataDxfId="17992" totalsRowDxfId="1368"/>
    <tableColumn id="15022" name="Columna15008" dataDxfId="17991" totalsRowDxfId="1367"/>
    <tableColumn id="15023" name="Columna15009" dataDxfId="17990" totalsRowDxfId="1366"/>
    <tableColumn id="15024" name="Columna15010" dataDxfId="17989" totalsRowDxfId="1365"/>
    <tableColumn id="15025" name="Columna15011" dataDxfId="17988" totalsRowDxfId="1364"/>
    <tableColumn id="15026" name="Columna15012" dataDxfId="17987" totalsRowDxfId="1363"/>
    <tableColumn id="15027" name="Columna15013" dataDxfId="17986" totalsRowDxfId="1362"/>
    <tableColumn id="15028" name="Columna15014" dataDxfId="17985" totalsRowDxfId="1361"/>
    <tableColumn id="15029" name="Columna15015" dataDxfId="17984" totalsRowDxfId="1360"/>
    <tableColumn id="15030" name="Columna15016" dataDxfId="17983" totalsRowDxfId="1359"/>
    <tableColumn id="15031" name="Columna15017" dataDxfId="17982" totalsRowDxfId="1358"/>
    <tableColumn id="15032" name="Columna15018" dataDxfId="17981" totalsRowDxfId="1357"/>
    <tableColumn id="15033" name="Columna15019" dataDxfId="17980" totalsRowDxfId="1356"/>
    <tableColumn id="15034" name="Columna15020" dataDxfId="17979" totalsRowDxfId="1355"/>
    <tableColumn id="15035" name="Columna15021" dataDxfId="17978" totalsRowDxfId="1354"/>
    <tableColumn id="15036" name="Columna15022" dataDxfId="17977" totalsRowDxfId="1353"/>
    <tableColumn id="15037" name="Columna15023" dataDxfId="17976" totalsRowDxfId="1352"/>
    <tableColumn id="15038" name="Columna15024" dataDxfId="17975" totalsRowDxfId="1351"/>
    <tableColumn id="15039" name="Columna15025" dataDxfId="17974" totalsRowDxfId="1350"/>
    <tableColumn id="15040" name="Columna15026" dataDxfId="17973" totalsRowDxfId="1349"/>
    <tableColumn id="15041" name="Columna15027" dataDxfId="17972" totalsRowDxfId="1348"/>
    <tableColumn id="15042" name="Columna15028" dataDxfId="17971" totalsRowDxfId="1347"/>
    <tableColumn id="15043" name="Columna15029" dataDxfId="17970" totalsRowDxfId="1346"/>
    <tableColumn id="15044" name="Columna15030" dataDxfId="17969" totalsRowDxfId="1345"/>
    <tableColumn id="15045" name="Columna15031" dataDxfId="17968" totalsRowDxfId="1344"/>
    <tableColumn id="15046" name="Columna15032" dataDxfId="17967" totalsRowDxfId="1343"/>
    <tableColumn id="15047" name="Columna15033" dataDxfId="17966" totalsRowDxfId="1342"/>
    <tableColumn id="15048" name="Columna15034" dataDxfId="17965" totalsRowDxfId="1341"/>
    <tableColumn id="15049" name="Columna15035" dataDxfId="17964" totalsRowDxfId="1340"/>
    <tableColumn id="15050" name="Columna15036" dataDxfId="17963" totalsRowDxfId="1339"/>
    <tableColumn id="15051" name="Columna15037" dataDxfId="17962" totalsRowDxfId="1338"/>
    <tableColumn id="15052" name="Columna15038" dataDxfId="17961" totalsRowDxfId="1337"/>
    <tableColumn id="15053" name="Columna15039" dataDxfId="17960" totalsRowDxfId="1336"/>
    <tableColumn id="15054" name="Columna15040" dataDxfId="17959" totalsRowDxfId="1335"/>
    <tableColumn id="15055" name="Columna15041" dataDxfId="17958" totalsRowDxfId="1334"/>
    <tableColumn id="15056" name="Columna15042" dataDxfId="17957" totalsRowDxfId="1333"/>
    <tableColumn id="15057" name="Columna15043" dataDxfId="17956" totalsRowDxfId="1332"/>
    <tableColumn id="15058" name="Columna15044" dataDxfId="17955" totalsRowDxfId="1331"/>
    <tableColumn id="15059" name="Columna15045" dataDxfId="17954" totalsRowDxfId="1330"/>
    <tableColumn id="15060" name="Columna15046" dataDxfId="17953" totalsRowDxfId="1329"/>
    <tableColumn id="15061" name="Columna15047" dataDxfId="17952" totalsRowDxfId="1328"/>
    <tableColumn id="15062" name="Columna15048" dataDxfId="17951" totalsRowDxfId="1327"/>
    <tableColumn id="15063" name="Columna15049" dataDxfId="17950" totalsRowDxfId="1326"/>
    <tableColumn id="15064" name="Columna15050" dataDxfId="17949" totalsRowDxfId="1325"/>
    <tableColumn id="15065" name="Columna15051" dataDxfId="17948" totalsRowDxfId="1324"/>
    <tableColumn id="15066" name="Columna15052" dataDxfId="17947" totalsRowDxfId="1323"/>
    <tableColumn id="15067" name="Columna15053" dataDxfId="17946" totalsRowDxfId="1322"/>
    <tableColumn id="15068" name="Columna15054" dataDxfId="17945" totalsRowDxfId="1321"/>
    <tableColumn id="15069" name="Columna15055" dataDxfId="17944" totalsRowDxfId="1320"/>
    <tableColumn id="15070" name="Columna15056" dataDxfId="17943" totalsRowDxfId="1319"/>
    <tableColumn id="15071" name="Columna15057" dataDxfId="17942" totalsRowDxfId="1318"/>
    <tableColumn id="15072" name="Columna15058" dataDxfId="17941" totalsRowDxfId="1317"/>
    <tableColumn id="15073" name="Columna15059" dataDxfId="17940" totalsRowDxfId="1316"/>
    <tableColumn id="15074" name="Columna15060" dataDxfId="17939" totalsRowDxfId="1315"/>
    <tableColumn id="15075" name="Columna15061" dataDxfId="17938" totalsRowDxfId="1314"/>
    <tableColumn id="15076" name="Columna15062" dataDxfId="17937" totalsRowDxfId="1313"/>
    <tableColumn id="15077" name="Columna15063" dataDxfId="17936" totalsRowDxfId="1312"/>
    <tableColumn id="15078" name="Columna15064" dataDxfId="17935" totalsRowDxfId="1311"/>
    <tableColumn id="15079" name="Columna15065" dataDxfId="17934" totalsRowDxfId="1310"/>
    <tableColumn id="15080" name="Columna15066" dataDxfId="17933" totalsRowDxfId="1309"/>
    <tableColumn id="15081" name="Columna15067" dataDxfId="17932" totalsRowDxfId="1308"/>
    <tableColumn id="15082" name="Columna15068" dataDxfId="17931" totalsRowDxfId="1307"/>
    <tableColumn id="15083" name="Columna15069" dataDxfId="17930" totalsRowDxfId="1306"/>
    <tableColumn id="15084" name="Columna15070" dataDxfId="17929" totalsRowDxfId="1305"/>
    <tableColumn id="15085" name="Columna15071" dataDxfId="17928" totalsRowDxfId="1304"/>
    <tableColumn id="15086" name="Columna15072" dataDxfId="17927" totalsRowDxfId="1303"/>
    <tableColumn id="15087" name="Columna15073" dataDxfId="17926" totalsRowDxfId="1302"/>
    <tableColumn id="15088" name="Columna15074" dataDxfId="17925" totalsRowDxfId="1301"/>
    <tableColumn id="15089" name="Columna15075" dataDxfId="17924" totalsRowDxfId="1300"/>
    <tableColumn id="15090" name="Columna15076" dataDxfId="17923" totalsRowDxfId="1299"/>
    <tableColumn id="15091" name="Columna15077" dataDxfId="17922" totalsRowDxfId="1298"/>
    <tableColumn id="15092" name="Columna15078" dataDxfId="17921" totalsRowDxfId="1297"/>
    <tableColumn id="15093" name="Columna15079" dataDxfId="17920" totalsRowDxfId="1296"/>
    <tableColumn id="15094" name="Columna15080" dataDxfId="17919" totalsRowDxfId="1295"/>
    <tableColumn id="15095" name="Columna15081" dataDxfId="17918" totalsRowDxfId="1294"/>
    <tableColumn id="15096" name="Columna15082" dataDxfId="17917" totalsRowDxfId="1293"/>
    <tableColumn id="15097" name="Columna15083" dataDxfId="17916" totalsRowDxfId="1292"/>
    <tableColumn id="15098" name="Columna15084" dataDxfId="17915" totalsRowDxfId="1291"/>
    <tableColumn id="15099" name="Columna15085" dataDxfId="17914" totalsRowDxfId="1290"/>
    <tableColumn id="15100" name="Columna15086" dataDxfId="17913" totalsRowDxfId="1289"/>
    <tableColumn id="15101" name="Columna15087" dataDxfId="17912" totalsRowDxfId="1288"/>
    <tableColumn id="15102" name="Columna15088" dataDxfId="17911" totalsRowDxfId="1287"/>
    <tableColumn id="15103" name="Columna15089" dataDxfId="17910" totalsRowDxfId="1286"/>
    <tableColumn id="15104" name="Columna15090" dataDxfId="17909" totalsRowDxfId="1285"/>
    <tableColumn id="15105" name="Columna15091" dataDxfId="17908" totalsRowDxfId="1284"/>
    <tableColumn id="15106" name="Columna15092" dataDxfId="17907" totalsRowDxfId="1283"/>
    <tableColumn id="15107" name="Columna15093" dataDxfId="17906" totalsRowDxfId="1282"/>
    <tableColumn id="15108" name="Columna15094" dataDxfId="17905" totalsRowDxfId="1281"/>
    <tableColumn id="15109" name="Columna15095" dataDxfId="17904" totalsRowDxfId="1280"/>
    <tableColumn id="15110" name="Columna15096" dataDxfId="17903" totalsRowDxfId="1279"/>
    <tableColumn id="15111" name="Columna15097" dataDxfId="17902" totalsRowDxfId="1278"/>
    <tableColumn id="15112" name="Columna15098" dataDxfId="17901" totalsRowDxfId="1277"/>
    <tableColumn id="15113" name="Columna15099" dataDxfId="17900" totalsRowDxfId="1276"/>
    <tableColumn id="15114" name="Columna15100" dataDxfId="17899" totalsRowDxfId="1275"/>
    <tableColumn id="15115" name="Columna15101" dataDxfId="17898" totalsRowDxfId="1274"/>
    <tableColumn id="15116" name="Columna15102" dataDxfId="17897" totalsRowDxfId="1273"/>
    <tableColumn id="15117" name="Columna15103" dataDxfId="17896" totalsRowDxfId="1272"/>
    <tableColumn id="15118" name="Columna15104" dataDxfId="17895" totalsRowDxfId="1271"/>
    <tableColumn id="15119" name="Columna15105" dataDxfId="17894" totalsRowDxfId="1270"/>
    <tableColumn id="15120" name="Columna15106" dataDxfId="17893" totalsRowDxfId="1269"/>
    <tableColumn id="15121" name="Columna15107" dataDxfId="17892" totalsRowDxfId="1268"/>
    <tableColumn id="15122" name="Columna15108" dataDxfId="17891" totalsRowDxfId="1267"/>
    <tableColumn id="15123" name="Columna15109" dataDxfId="17890" totalsRowDxfId="1266"/>
    <tableColumn id="15124" name="Columna15110" dataDxfId="17889" totalsRowDxfId="1265"/>
    <tableColumn id="15125" name="Columna15111" dataDxfId="17888" totalsRowDxfId="1264"/>
    <tableColumn id="15126" name="Columna15112" dataDxfId="17887" totalsRowDxfId="1263"/>
    <tableColumn id="15127" name="Columna15113" dataDxfId="17886" totalsRowDxfId="1262"/>
    <tableColumn id="15128" name="Columna15114" dataDxfId="17885" totalsRowDxfId="1261"/>
    <tableColumn id="15129" name="Columna15115" dataDxfId="17884" totalsRowDxfId="1260"/>
    <tableColumn id="15130" name="Columna15116" dataDxfId="17883" totalsRowDxfId="1259"/>
    <tableColumn id="15131" name="Columna15117" dataDxfId="17882" totalsRowDxfId="1258"/>
    <tableColumn id="15132" name="Columna15118" dataDxfId="17881" totalsRowDxfId="1257"/>
    <tableColumn id="15133" name="Columna15119" dataDxfId="17880" totalsRowDxfId="1256"/>
    <tableColumn id="15134" name="Columna15120" dataDxfId="17879" totalsRowDxfId="1255"/>
    <tableColumn id="15135" name="Columna15121" dataDxfId="17878" totalsRowDxfId="1254"/>
    <tableColumn id="15136" name="Columna15122" dataDxfId="17877" totalsRowDxfId="1253"/>
    <tableColumn id="15137" name="Columna15123" dataDxfId="17876" totalsRowDxfId="1252"/>
    <tableColumn id="15138" name="Columna15124" dataDxfId="17875" totalsRowDxfId="1251"/>
    <tableColumn id="15139" name="Columna15125" dataDxfId="17874" totalsRowDxfId="1250"/>
    <tableColumn id="15140" name="Columna15126" dataDxfId="17873" totalsRowDxfId="1249"/>
    <tableColumn id="15141" name="Columna15127" dataDxfId="17872" totalsRowDxfId="1248"/>
    <tableColumn id="15142" name="Columna15128" dataDxfId="17871" totalsRowDxfId="1247"/>
    <tableColumn id="15143" name="Columna15129" dataDxfId="17870" totalsRowDxfId="1246"/>
    <tableColumn id="15144" name="Columna15130" dataDxfId="17869" totalsRowDxfId="1245"/>
    <tableColumn id="15145" name="Columna15131" dataDxfId="17868" totalsRowDxfId="1244"/>
    <tableColumn id="15146" name="Columna15132" dataDxfId="17867" totalsRowDxfId="1243"/>
    <tableColumn id="15147" name="Columna15133" dataDxfId="17866" totalsRowDxfId="1242"/>
    <tableColumn id="15148" name="Columna15134" dataDxfId="17865" totalsRowDxfId="1241"/>
    <tableColumn id="15149" name="Columna15135" dataDxfId="17864" totalsRowDxfId="1240"/>
    <tableColumn id="15150" name="Columna15136" dataDxfId="17863" totalsRowDxfId="1239"/>
    <tableColumn id="15151" name="Columna15137" dataDxfId="17862" totalsRowDxfId="1238"/>
    <tableColumn id="15152" name="Columna15138" dataDxfId="17861" totalsRowDxfId="1237"/>
    <tableColumn id="15153" name="Columna15139" dataDxfId="17860" totalsRowDxfId="1236"/>
    <tableColumn id="15154" name="Columna15140" dataDxfId="17859" totalsRowDxfId="1235"/>
    <tableColumn id="15155" name="Columna15141" dataDxfId="17858" totalsRowDxfId="1234"/>
    <tableColumn id="15156" name="Columna15142" dataDxfId="17857" totalsRowDxfId="1233"/>
    <tableColumn id="15157" name="Columna15143" dataDxfId="17856" totalsRowDxfId="1232"/>
    <tableColumn id="15158" name="Columna15144" dataDxfId="17855" totalsRowDxfId="1231"/>
    <tableColumn id="15159" name="Columna15145" dataDxfId="17854" totalsRowDxfId="1230"/>
    <tableColumn id="15160" name="Columna15146" dataDxfId="17853" totalsRowDxfId="1229"/>
    <tableColumn id="15161" name="Columna15147" dataDxfId="17852" totalsRowDxfId="1228"/>
    <tableColumn id="15162" name="Columna15148" dataDxfId="17851" totalsRowDxfId="1227"/>
    <tableColumn id="15163" name="Columna15149" dataDxfId="17850" totalsRowDxfId="1226"/>
    <tableColumn id="15164" name="Columna15150" dataDxfId="17849" totalsRowDxfId="1225"/>
    <tableColumn id="15165" name="Columna15151" dataDxfId="17848" totalsRowDxfId="1224"/>
    <tableColumn id="15166" name="Columna15152" dataDxfId="17847" totalsRowDxfId="1223"/>
    <tableColumn id="15167" name="Columna15153" dataDxfId="17846" totalsRowDxfId="1222"/>
    <tableColumn id="15168" name="Columna15154" dataDxfId="17845" totalsRowDxfId="1221"/>
    <tableColumn id="15169" name="Columna15155" dataDxfId="17844" totalsRowDxfId="1220"/>
    <tableColumn id="15170" name="Columna15156" dataDxfId="17843" totalsRowDxfId="1219"/>
    <tableColumn id="15171" name="Columna15157" dataDxfId="17842" totalsRowDxfId="1218"/>
    <tableColumn id="15172" name="Columna15158" dataDxfId="17841" totalsRowDxfId="1217"/>
    <tableColumn id="15173" name="Columna15159" dataDxfId="17840" totalsRowDxfId="1216"/>
    <tableColumn id="15174" name="Columna15160" dataDxfId="17839" totalsRowDxfId="1215"/>
    <tableColumn id="15175" name="Columna15161" dataDxfId="17838" totalsRowDxfId="1214"/>
    <tableColumn id="15176" name="Columna15162" dataDxfId="17837" totalsRowDxfId="1213"/>
    <tableColumn id="15177" name="Columna15163" dataDxfId="17836" totalsRowDxfId="1212"/>
    <tableColumn id="15178" name="Columna15164" dataDxfId="17835" totalsRowDxfId="1211"/>
    <tableColumn id="15179" name="Columna15165" dataDxfId="17834" totalsRowDxfId="1210"/>
    <tableColumn id="15180" name="Columna15166" dataDxfId="17833" totalsRowDxfId="1209"/>
    <tableColumn id="15181" name="Columna15167" dataDxfId="17832" totalsRowDxfId="1208"/>
    <tableColumn id="15182" name="Columna15168" dataDxfId="17831" totalsRowDxfId="1207"/>
    <tableColumn id="15183" name="Columna15169" dataDxfId="17830" totalsRowDxfId="1206"/>
    <tableColumn id="15184" name="Columna15170" dataDxfId="17829" totalsRowDxfId="1205"/>
    <tableColumn id="15185" name="Columna15171" dataDxfId="17828" totalsRowDxfId="1204"/>
    <tableColumn id="15186" name="Columna15172" dataDxfId="17827" totalsRowDxfId="1203"/>
    <tableColumn id="15187" name="Columna15173" dataDxfId="17826" totalsRowDxfId="1202"/>
    <tableColumn id="15188" name="Columna15174" dataDxfId="17825" totalsRowDxfId="1201"/>
    <tableColumn id="15189" name="Columna15175" dataDxfId="17824" totalsRowDxfId="1200"/>
    <tableColumn id="15190" name="Columna15176" dataDxfId="17823" totalsRowDxfId="1199"/>
    <tableColumn id="15191" name="Columna15177" dataDxfId="17822" totalsRowDxfId="1198"/>
    <tableColumn id="15192" name="Columna15178" dataDxfId="17821" totalsRowDxfId="1197"/>
    <tableColumn id="15193" name="Columna15179" dataDxfId="17820" totalsRowDxfId="1196"/>
    <tableColumn id="15194" name="Columna15180" dataDxfId="17819" totalsRowDxfId="1195"/>
    <tableColumn id="15195" name="Columna15181" dataDxfId="17818" totalsRowDxfId="1194"/>
    <tableColumn id="15196" name="Columna15182" dataDxfId="17817" totalsRowDxfId="1193"/>
    <tableColumn id="15197" name="Columna15183" dataDxfId="17816" totalsRowDxfId="1192"/>
    <tableColumn id="15198" name="Columna15184" dataDxfId="17815" totalsRowDxfId="1191"/>
    <tableColumn id="15199" name="Columna15185" dataDxfId="17814" totalsRowDxfId="1190"/>
    <tableColumn id="15200" name="Columna15186" dataDxfId="17813" totalsRowDxfId="1189"/>
    <tableColumn id="15201" name="Columna15187" dataDxfId="17812" totalsRowDxfId="1188"/>
    <tableColumn id="15202" name="Columna15188" dataDxfId="17811" totalsRowDxfId="1187"/>
    <tableColumn id="15203" name="Columna15189" dataDxfId="17810" totalsRowDxfId="1186"/>
    <tableColumn id="15204" name="Columna15190" dataDxfId="17809" totalsRowDxfId="1185"/>
    <tableColumn id="15205" name="Columna15191" dataDxfId="17808" totalsRowDxfId="1184"/>
    <tableColumn id="15206" name="Columna15192" dataDxfId="17807" totalsRowDxfId="1183"/>
    <tableColumn id="15207" name="Columna15193" dataDxfId="17806" totalsRowDxfId="1182"/>
    <tableColumn id="15208" name="Columna15194" dataDxfId="17805" totalsRowDxfId="1181"/>
    <tableColumn id="15209" name="Columna15195" dataDxfId="17804" totalsRowDxfId="1180"/>
    <tableColumn id="15210" name="Columna15196" dataDxfId="17803" totalsRowDxfId="1179"/>
    <tableColumn id="15211" name="Columna15197" dataDxfId="17802" totalsRowDxfId="1178"/>
    <tableColumn id="15212" name="Columna15198" dataDxfId="17801" totalsRowDxfId="1177"/>
    <tableColumn id="15213" name="Columna15199" dataDxfId="17800" totalsRowDxfId="1176"/>
    <tableColumn id="15214" name="Columna15200" dataDxfId="17799" totalsRowDxfId="1175"/>
    <tableColumn id="15215" name="Columna15201" dataDxfId="17798" totalsRowDxfId="1174"/>
    <tableColumn id="15216" name="Columna15202" dataDxfId="17797" totalsRowDxfId="1173"/>
    <tableColumn id="15217" name="Columna15203" dataDxfId="17796" totalsRowDxfId="1172"/>
    <tableColumn id="15218" name="Columna15204" dataDxfId="17795" totalsRowDxfId="1171"/>
    <tableColumn id="15219" name="Columna15205" dataDxfId="17794" totalsRowDxfId="1170"/>
    <tableColumn id="15220" name="Columna15206" dataDxfId="17793" totalsRowDxfId="1169"/>
    <tableColumn id="15221" name="Columna15207" dataDxfId="17792" totalsRowDxfId="1168"/>
    <tableColumn id="15222" name="Columna15208" dataDxfId="17791" totalsRowDxfId="1167"/>
    <tableColumn id="15223" name="Columna15209" dataDxfId="17790" totalsRowDxfId="1166"/>
    <tableColumn id="15224" name="Columna15210" dataDxfId="17789" totalsRowDxfId="1165"/>
    <tableColumn id="15225" name="Columna15211" dataDxfId="17788" totalsRowDxfId="1164"/>
    <tableColumn id="15226" name="Columna15212" dataDxfId="17787" totalsRowDxfId="1163"/>
    <tableColumn id="15227" name="Columna15213" dataDxfId="17786" totalsRowDxfId="1162"/>
    <tableColumn id="15228" name="Columna15214" dataDxfId="17785" totalsRowDxfId="1161"/>
    <tableColumn id="15229" name="Columna15215" dataDxfId="17784" totalsRowDxfId="1160"/>
    <tableColumn id="15230" name="Columna15216" dataDxfId="17783" totalsRowDxfId="1159"/>
    <tableColumn id="15231" name="Columna15217" dataDxfId="17782" totalsRowDxfId="1158"/>
    <tableColumn id="15232" name="Columna15218" dataDxfId="17781" totalsRowDxfId="1157"/>
    <tableColumn id="15233" name="Columna15219" dataDxfId="17780" totalsRowDxfId="1156"/>
    <tableColumn id="15234" name="Columna15220" dataDxfId="17779" totalsRowDxfId="1155"/>
    <tableColumn id="15235" name="Columna15221" dataDxfId="17778" totalsRowDxfId="1154"/>
    <tableColumn id="15236" name="Columna15222" dataDxfId="17777" totalsRowDxfId="1153"/>
    <tableColumn id="15237" name="Columna15223" dataDxfId="17776" totalsRowDxfId="1152"/>
    <tableColumn id="15238" name="Columna15224" dataDxfId="17775" totalsRowDxfId="1151"/>
    <tableColumn id="15239" name="Columna15225" dataDxfId="17774" totalsRowDxfId="1150"/>
    <tableColumn id="15240" name="Columna15226" dataDxfId="17773" totalsRowDxfId="1149"/>
    <tableColumn id="15241" name="Columna15227" dataDxfId="17772" totalsRowDxfId="1148"/>
    <tableColumn id="15242" name="Columna15228" dataDxfId="17771" totalsRowDxfId="1147"/>
    <tableColumn id="15243" name="Columna15229" dataDxfId="17770" totalsRowDxfId="1146"/>
    <tableColumn id="15244" name="Columna15230" dataDxfId="17769" totalsRowDxfId="1145"/>
    <tableColumn id="15245" name="Columna15231" dataDxfId="17768" totalsRowDxfId="1144"/>
    <tableColumn id="15246" name="Columna15232" dataDxfId="17767" totalsRowDxfId="1143"/>
    <tableColumn id="15247" name="Columna15233" dataDxfId="17766" totalsRowDxfId="1142"/>
    <tableColumn id="15248" name="Columna15234" dataDxfId="17765" totalsRowDxfId="1141"/>
    <tableColumn id="15249" name="Columna15235" dataDxfId="17764" totalsRowDxfId="1140"/>
    <tableColumn id="15250" name="Columna15236" dataDxfId="17763" totalsRowDxfId="1139"/>
    <tableColumn id="15251" name="Columna15237" dataDxfId="17762" totalsRowDxfId="1138"/>
    <tableColumn id="15252" name="Columna15238" dataDxfId="17761" totalsRowDxfId="1137"/>
    <tableColumn id="15253" name="Columna15239" dataDxfId="17760" totalsRowDxfId="1136"/>
    <tableColumn id="15254" name="Columna15240" dataDxfId="17759" totalsRowDxfId="1135"/>
    <tableColumn id="15255" name="Columna15241" dataDxfId="17758" totalsRowDxfId="1134"/>
    <tableColumn id="15256" name="Columna15242" dataDxfId="17757" totalsRowDxfId="1133"/>
    <tableColumn id="15257" name="Columna15243" dataDxfId="17756" totalsRowDxfId="1132"/>
    <tableColumn id="15258" name="Columna15244" dataDxfId="17755" totalsRowDxfId="1131"/>
    <tableColumn id="15259" name="Columna15245" dataDxfId="17754" totalsRowDxfId="1130"/>
    <tableColumn id="15260" name="Columna15246" dataDxfId="17753" totalsRowDxfId="1129"/>
    <tableColumn id="15261" name="Columna15247" dataDxfId="17752" totalsRowDxfId="1128"/>
    <tableColumn id="15262" name="Columna15248" dataDxfId="17751" totalsRowDxfId="1127"/>
    <tableColumn id="15263" name="Columna15249" dataDxfId="17750" totalsRowDxfId="1126"/>
    <tableColumn id="15264" name="Columna15250" dataDxfId="17749" totalsRowDxfId="1125"/>
    <tableColumn id="15265" name="Columna15251" dataDxfId="17748" totalsRowDxfId="1124"/>
    <tableColumn id="15266" name="Columna15252" dataDxfId="17747" totalsRowDxfId="1123"/>
    <tableColumn id="15267" name="Columna15253" dataDxfId="17746" totalsRowDxfId="1122"/>
    <tableColumn id="15268" name="Columna15254" dataDxfId="17745" totalsRowDxfId="1121"/>
    <tableColumn id="15269" name="Columna15255" dataDxfId="17744" totalsRowDxfId="1120"/>
    <tableColumn id="15270" name="Columna15256" dataDxfId="17743" totalsRowDxfId="1119"/>
    <tableColumn id="15271" name="Columna15257" dataDxfId="17742" totalsRowDxfId="1118"/>
    <tableColumn id="15272" name="Columna15258" dataDxfId="17741" totalsRowDxfId="1117"/>
    <tableColumn id="15273" name="Columna15259" dataDxfId="17740" totalsRowDxfId="1116"/>
    <tableColumn id="15274" name="Columna15260" dataDxfId="17739" totalsRowDxfId="1115"/>
    <tableColumn id="15275" name="Columna15261" dataDxfId="17738" totalsRowDxfId="1114"/>
    <tableColumn id="15276" name="Columna15262" dataDxfId="17737" totalsRowDxfId="1113"/>
    <tableColumn id="15277" name="Columna15263" dataDxfId="17736" totalsRowDxfId="1112"/>
    <tableColumn id="15278" name="Columna15264" dataDxfId="17735" totalsRowDxfId="1111"/>
    <tableColumn id="15279" name="Columna15265" dataDxfId="17734" totalsRowDxfId="1110"/>
    <tableColumn id="15280" name="Columna15266" dataDxfId="17733" totalsRowDxfId="1109"/>
    <tableColumn id="15281" name="Columna15267" dataDxfId="17732" totalsRowDxfId="1108"/>
    <tableColumn id="15282" name="Columna15268" dataDxfId="17731" totalsRowDxfId="1107"/>
    <tableColumn id="15283" name="Columna15269" dataDxfId="17730" totalsRowDxfId="1106"/>
    <tableColumn id="15284" name="Columna15270" dataDxfId="17729" totalsRowDxfId="1105"/>
    <tableColumn id="15285" name="Columna15271" dataDxfId="17728" totalsRowDxfId="1104"/>
    <tableColumn id="15286" name="Columna15272" dataDxfId="17727" totalsRowDxfId="1103"/>
    <tableColumn id="15287" name="Columna15273" dataDxfId="17726" totalsRowDxfId="1102"/>
    <tableColumn id="15288" name="Columna15274" dataDxfId="17725" totalsRowDxfId="1101"/>
    <tableColumn id="15289" name="Columna15275" dataDxfId="17724" totalsRowDxfId="1100"/>
    <tableColumn id="15290" name="Columna15276" dataDxfId="17723" totalsRowDxfId="1099"/>
    <tableColumn id="15291" name="Columna15277" dataDxfId="17722" totalsRowDxfId="1098"/>
    <tableColumn id="15292" name="Columna15278" dataDxfId="17721" totalsRowDxfId="1097"/>
    <tableColumn id="15293" name="Columna15279" dataDxfId="17720" totalsRowDxfId="1096"/>
    <tableColumn id="15294" name="Columna15280" dataDxfId="17719" totalsRowDxfId="1095"/>
    <tableColumn id="15295" name="Columna15281" dataDxfId="17718" totalsRowDxfId="1094"/>
    <tableColumn id="15296" name="Columna15282" dataDxfId="17717" totalsRowDxfId="1093"/>
    <tableColumn id="15297" name="Columna15283" dataDxfId="17716" totalsRowDxfId="1092"/>
    <tableColumn id="15298" name="Columna15284" dataDxfId="17715" totalsRowDxfId="1091"/>
    <tableColumn id="15299" name="Columna15285" dataDxfId="17714" totalsRowDxfId="1090"/>
    <tableColumn id="15300" name="Columna15286" dataDxfId="17713" totalsRowDxfId="1089"/>
    <tableColumn id="15301" name="Columna15287" dataDxfId="17712" totalsRowDxfId="1088"/>
    <tableColumn id="15302" name="Columna15288" dataDxfId="17711" totalsRowDxfId="1087"/>
    <tableColumn id="15303" name="Columna15289" dataDxfId="17710" totalsRowDxfId="1086"/>
    <tableColumn id="15304" name="Columna15290" dataDxfId="17709" totalsRowDxfId="1085"/>
    <tableColumn id="15305" name="Columna15291" dataDxfId="17708" totalsRowDxfId="1084"/>
    <tableColumn id="15306" name="Columna15292" dataDxfId="17707" totalsRowDxfId="1083"/>
    <tableColumn id="15307" name="Columna15293" dataDxfId="17706" totalsRowDxfId="1082"/>
    <tableColumn id="15308" name="Columna15294" dataDxfId="17705" totalsRowDxfId="1081"/>
    <tableColumn id="15309" name="Columna15295" dataDxfId="17704" totalsRowDxfId="1080"/>
    <tableColumn id="15310" name="Columna15296" dataDxfId="17703" totalsRowDxfId="1079"/>
    <tableColumn id="15311" name="Columna15297" dataDxfId="17702" totalsRowDxfId="1078"/>
    <tableColumn id="15312" name="Columna15298" dataDxfId="17701" totalsRowDxfId="1077"/>
    <tableColumn id="15313" name="Columna15299" dataDxfId="17700" totalsRowDxfId="1076"/>
    <tableColumn id="15314" name="Columna15300" dataDxfId="17699" totalsRowDxfId="1075"/>
    <tableColumn id="15315" name="Columna15301" dataDxfId="17698" totalsRowDxfId="1074"/>
    <tableColumn id="15316" name="Columna15302" dataDxfId="17697" totalsRowDxfId="1073"/>
    <tableColumn id="15317" name="Columna15303" dataDxfId="17696" totalsRowDxfId="1072"/>
    <tableColumn id="15318" name="Columna15304" dataDxfId="17695" totalsRowDxfId="1071"/>
    <tableColumn id="15319" name="Columna15305" dataDxfId="17694" totalsRowDxfId="1070"/>
    <tableColumn id="15320" name="Columna15306" dataDxfId="17693" totalsRowDxfId="1069"/>
    <tableColumn id="15321" name="Columna15307" dataDxfId="17692" totalsRowDxfId="1068"/>
    <tableColumn id="15322" name="Columna15308" dataDxfId="17691" totalsRowDxfId="1067"/>
    <tableColumn id="15323" name="Columna15309" dataDxfId="17690" totalsRowDxfId="1066"/>
    <tableColumn id="15324" name="Columna15310" dataDxfId="17689" totalsRowDxfId="1065"/>
    <tableColumn id="15325" name="Columna15311" dataDxfId="17688" totalsRowDxfId="1064"/>
    <tableColumn id="15326" name="Columna15312" dataDxfId="17687" totalsRowDxfId="1063"/>
    <tableColumn id="15327" name="Columna15313" dataDxfId="17686" totalsRowDxfId="1062"/>
    <tableColumn id="15328" name="Columna15314" dataDxfId="17685" totalsRowDxfId="1061"/>
    <tableColumn id="15329" name="Columna15315" dataDxfId="17684" totalsRowDxfId="1060"/>
    <tableColumn id="15330" name="Columna15316" dataDxfId="17683" totalsRowDxfId="1059"/>
    <tableColumn id="15331" name="Columna15317" dataDxfId="17682" totalsRowDxfId="1058"/>
    <tableColumn id="15332" name="Columna15318" dataDxfId="17681" totalsRowDxfId="1057"/>
    <tableColumn id="15333" name="Columna15319" dataDxfId="17680" totalsRowDxfId="1056"/>
    <tableColumn id="15334" name="Columna15320" dataDxfId="17679" totalsRowDxfId="1055"/>
    <tableColumn id="15335" name="Columna15321" dataDxfId="17678" totalsRowDxfId="1054"/>
    <tableColumn id="15336" name="Columna15322" dataDxfId="17677" totalsRowDxfId="1053"/>
    <tableColumn id="15337" name="Columna15323" dataDxfId="17676" totalsRowDxfId="1052"/>
    <tableColumn id="15338" name="Columna15324" dataDxfId="17675" totalsRowDxfId="1051"/>
    <tableColumn id="15339" name="Columna15325" dataDxfId="17674" totalsRowDxfId="1050"/>
    <tableColumn id="15340" name="Columna15326" dataDxfId="17673" totalsRowDxfId="1049"/>
    <tableColumn id="15341" name="Columna15327" dataDxfId="17672" totalsRowDxfId="1048"/>
    <tableColumn id="15342" name="Columna15328" dataDxfId="17671" totalsRowDxfId="1047"/>
    <tableColumn id="15343" name="Columna15329" dataDxfId="17670" totalsRowDxfId="1046"/>
    <tableColumn id="15344" name="Columna15330" dataDxfId="17669" totalsRowDxfId="1045"/>
    <tableColumn id="15345" name="Columna15331" dataDxfId="17668" totalsRowDxfId="1044"/>
    <tableColumn id="15346" name="Columna15332" dataDxfId="17667" totalsRowDxfId="1043"/>
    <tableColumn id="15347" name="Columna15333" dataDxfId="17666" totalsRowDxfId="1042"/>
    <tableColumn id="15348" name="Columna15334" dataDxfId="17665" totalsRowDxfId="1041"/>
    <tableColumn id="15349" name="Columna15335" dataDxfId="17664" totalsRowDxfId="1040"/>
    <tableColumn id="15350" name="Columna15336" dataDxfId="17663" totalsRowDxfId="1039"/>
    <tableColumn id="15351" name="Columna15337" dataDxfId="17662" totalsRowDxfId="1038"/>
    <tableColumn id="15352" name="Columna15338" dataDxfId="17661" totalsRowDxfId="1037"/>
    <tableColumn id="15353" name="Columna15339" dataDxfId="17660" totalsRowDxfId="1036"/>
    <tableColumn id="15354" name="Columna15340" dataDxfId="17659" totalsRowDxfId="1035"/>
    <tableColumn id="15355" name="Columna15341" dataDxfId="17658" totalsRowDxfId="1034"/>
    <tableColumn id="15356" name="Columna15342" dataDxfId="17657" totalsRowDxfId="1033"/>
    <tableColumn id="15357" name="Columna15343" dataDxfId="17656" totalsRowDxfId="1032"/>
    <tableColumn id="15358" name="Columna15344" dataDxfId="17655" totalsRowDxfId="1031"/>
    <tableColumn id="15359" name="Columna15345" dataDxfId="17654" totalsRowDxfId="1030"/>
    <tableColumn id="15360" name="Columna15346" dataDxfId="17653" totalsRowDxfId="1029"/>
    <tableColumn id="15361" name="Columna15347" dataDxfId="17652" totalsRowDxfId="1028"/>
    <tableColumn id="15362" name="Columna15348" dataDxfId="17651" totalsRowDxfId="1027"/>
    <tableColumn id="15363" name="Columna15349" dataDxfId="17650" totalsRowDxfId="1026"/>
    <tableColumn id="15364" name="Columna15350" dataDxfId="17649" totalsRowDxfId="1025"/>
    <tableColumn id="15365" name="Columna15351" dataDxfId="17648" totalsRowDxfId="1024"/>
    <tableColumn id="15366" name="Columna15352" dataDxfId="17647" totalsRowDxfId="1023"/>
    <tableColumn id="15367" name="Columna15353" dataDxfId="17646" totalsRowDxfId="1022"/>
    <tableColumn id="15368" name="Columna15354" dataDxfId="17645" totalsRowDxfId="1021"/>
    <tableColumn id="15369" name="Columna15355" dataDxfId="17644" totalsRowDxfId="1020"/>
    <tableColumn id="15370" name="Columna15356" dataDxfId="17643" totalsRowDxfId="1019"/>
    <tableColumn id="15371" name="Columna15357" dataDxfId="17642" totalsRowDxfId="1018"/>
    <tableColumn id="15372" name="Columna15358" dataDxfId="17641" totalsRowDxfId="1017"/>
    <tableColumn id="15373" name="Columna15359" dataDxfId="17640" totalsRowDxfId="1016"/>
    <tableColumn id="15374" name="Columna15360" dataDxfId="17639" totalsRowDxfId="1015"/>
    <tableColumn id="15375" name="Columna15361" dataDxfId="17638" totalsRowDxfId="1014"/>
    <tableColumn id="15376" name="Columna15362" dataDxfId="17637" totalsRowDxfId="1013"/>
    <tableColumn id="15377" name="Columna15363" dataDxfId="17636" totalsRowDxfId="1012"/>
    <tableColumn id="15378" name="Columna15364" dataDxfId="17635" totalsRowDxfId="1011"/>
    <tableColumn id="15379" name="Columna15365" dataDxfId="17634" totalsRowDxfId="1010"/>
    <tableColumn id="15380" name="Columna15366" dataDxfId="17633" totalsRowDxfId="1009"/>
    <tableColumn id="15381" name="Columna15367" dataDxfId="17632" totalsRowDxfId="1008"/>
    <tableColumn id="15382" name="Columna15368" dataDxfId="17631" totalsRowDxfId="1007"/>
    <tableColumn id="15383" name="Columna15369" dataDxfId="17630" totalsRowDxfId="1006"/>
    <tableColumn id="15384" name="Columna15370" dataDxfId="17629" totalsRowDxfId="1005"/>
    <tableColumn id="15385" name="Columna15371" dataDxfId="17628" totalsRowDxfId="1004"/>
    <tableColumn id="15386" name="Columna15372" dataDxfId="17627" totalsRowDxfId="1003"/>
    <tableColumn id="15387" name="Columna15373" dataDxfId="17626" totalsRowDxfId="1002"/>
    <tableColumn id="15388" name="Columna15374" dataDxfId="17625" totalsRowDxfId="1001"/>
    <tableColumn id="15389" name="Columna15375" dataDxfId="17624" totalsRowDxfId="1000"/>
    <tableColumn id="15390" name="Columna15376" dataDxfId="17623" totalsRowDxfId="999"/>
    <tableColumn id="15391" name="Columna15377" dataDxfId="17622" totalsRowDxfId="998"/>
    <tableColumn id="15392" name="Columna15378" dataDxfId="17621" totalsRowDxfId="997"/>
    <tableColumn id="15393" name="Columna15379" dataDxfId="17620" totalsRowDxfId="996"/>
    <tableColumn id="15394" name="Columna15380" dataDxfId="17619" totalsRowDxfId="995"/>
    <tableColumn id="15395" name="Columna15381" dataDxfId="17618" totalsRowDxfId="994"/>
    <tableColumn id="15396" name="Columna15382" dataDxfId="17617" totalsRowDxfId="993"/>
    <tableColumn id="15397" name="Columna15383" dataDxfId="17616" totalsRowDxfId="992"/>
    <tableColumn id="15398" name="Columna15384" dataDxfId="17615" totalsRowDxfId="991"/>
    <tableColumn id="15399" name="Columna15385" dataDxfId="17614" totalsRowDxfId="990"/>
    <tableColumn id="15400" name="Columna15386" dataDxfId="17613" totalsRowDxfId="989"/>
    <tableColumn id="15401" name="Columna15387" dataDxfId="17612" totalsRowDxfId="988"/>
    <tableColumn id="15402" name="Columna15388" dataDxfId="17611" totalsRowDxfId="987"/>
    <tableColumn id="15403" name="Columna15389" dataDxfId="17610" totalsRowDxfId="986"/>
    <tableColumn id="15404" name="Columna15390" dataDxfId="17609" totalsRowDxfId="985"/>
    <tableColumn id="15405" name="Columna15391" dataDxfId="17608" totalsRowDxfId="984"/>
    <tableColumn id="15406" name="Columna15392" dataDxfId="17607" totalsRowDxfId="983"/>
    <tableColumn id="15407" name="Columna15393" dataDxfId="17606" totalsRowDxfId="982"/>
    <tableColumn id="15408" name="Columna15394" dataDxfId="17605" totalsRowDxfId="981"/>
    <tableColumn id="15409" name="Columna15395" dataDxfId="17604" totalsRowDxfId="980"/>
    <tableColumn id="15410" name="Columna15396" dataDxfId="17603" totalsRowDxfId="979"/>
    <tableColumn id="15411" name="Columna15397" dataDxfId="17602" totalsRowDxfId="978"/>
    <tableColumn id="15412" name="Columna15398" dataDxfId="17601" totalsRowDxfId="977"/>
    <tableColumn id="15413" name="Columna15399" dataDxfId="17600" totalsRowDxfId="976"/>
    <tableColumn id="15414" name="Columna15400" dataDxfId="17599" totalsRowDxfId="975"/>
    <tableColumn id="15415" name="Columna15401" dataDxfId="17598" totalsRowDxfId="974"/>
    <tableColumn id="15416" name="Columna15402" dataDxfId="17597" totalsRowDxfId="973"/>
    <tableColumn id="15417" name="Columna15403" dataDxfId="17596" totalsRowDxfId="972"/>
    <tableColumn id="15418" name="Columna15404" dataDxfId="17595" totalsRowDxfId="971"/>
    <tableColumn id="15419" name="Columna15405" dataDxfId="17594" totalsRowDxfId="970"/>
    <tableColumn id="15420" name="Columna15406" dataDxfId="17593" totalsRowDxfId="969"/>
    <tableColumn id="15421" name="Columna15407" dataDxfId="17592" totalsRowDxfId="968"/>
    <tableColumn id="15422" name="Columna15408" dataDxfId="17591" totalsRowDxfId="967"/>
    <tableColumn id="15423" name="Columna15409" dataDxfId="17590" totalsRowDxfId="966"/>
    <tableColumn id="15424" name="Columna15410" dataDxfId="17589" totalsRowDxfId="965"/>
    <tableColumn id="15425" name="Columna15411" dataDxfId="17588" totalsRowDxfId="964"/>
    <tableColumn id="15426" name="Columna15412" dataDxfId="17587" totalsRowDxfId="963"/>
    <tableColumn id="15427" name="Columna15413" dataDxfId="17586" totalsRowDxfId="962"/>
    <tableColumn id="15428" name="Columna15414" dataDxfId="17585" totalsRowDxfId="961"/>
    <tableColumn id="15429" name="Columna15415" dataDxfId="17584" totalsRowDxfId="960"/>
    <tableColumn id="15430" name="Columna15416" dataDxfId="17583" totalsRowDxfId="959"/>
    <tableColumn id="15431" name="Columna15417" dataDxfId="17582" totalsRowDxfId="958"/>
    <tableColumn id="15432" name="Columna15418" dataDxfId="17581" totalsRowDxfId="957"/>
    <tableColumn id="15433" name="Columna15419" dataDxfId="17580" totalsRowDxfId="956"/>
    <tableColumn id="15434" name="Columna15420" dataDxfId="17579" totalsRowDxfId="955"/>
    <tableColumn id="15435" name="Columna15421" dataDxfId="17578" totalsRowDxfId="954"/>
    <tableColumn id="15436" name="Columna15422" dataDxfId="17577" totalsRowDxfId="953"/>
    <tableColumn id="15437" name="Columna15423" dataDxfId="17576" totalsRowDxfId="952"/>
    <tableColumn id="15438" name="Columna15424" dataDxfId="17575" totalsRowDxfId="951"/>
    <tableColumn id="15439" name="Columna15425" dataDxfId="17574" totalsRowDxfId="950"/>
    <tableColumn id="15440" name="Columna15426" dataDxfId="17573" totalsRowDxfId="949"/>
    <tableColumn id="15441" name="Columna15427" dataDxfId="17572" totalsRowDxfId="948"/>
    <tableColumn id="15442" name="Columna15428" dataDxfId="17571" totalsRowDxfId="947"/>
    <tableColumn id="15443" name="Columna15429" dataDxfId="17570" totalsRowDxfId="946"/>
    <tableColumn id="15444" name="Columna15430" dataDxfId="17569" totalsRowDxfId="945"/>
    <tableColumn id="15445" name="Columna15431" dataDxfId="17568" totalsRowDxfId="944"/>
    <tableColumn id="15446" name="Columna15432" dataDxfId="17567" totalsRowDxfId="943"/>
    <tableColumn id="15447" name="Columna15433" dataDxfId="17566" totalsRowDxfId="942"/>
    <tableColumn id="15448" name="Columna15434" dataDxfId="17565" totalsRowDxfId="941"/>
    <tableColumn id="15449" name="Columna15435" dataDxfId="17564" totalsRowDxfId="940"/>
    <tableColumn id="15450" name="Columna15436" dataDxfId="17563" totalsRowDxfId="939"/>
    <tableColumn id="15451" name="Columna15437" dataDxfId="17562" totalsRowDxfId="938"/>
    <tableColumn id="15452" name="Columna15438" dataDxfId="17561" totalsRowDxfId="937"/>
    <tableColumn id="15453" name="Columna15439" dataDxfId="17560" totalsRowDxfId="936"/>
    <tableColumn id="15454" name="Columna15440" dataDxfId="17559" totalsRowDxfId="935"/>
    <tableColumn id="15455" name="Columna15441" dataDxfId="17558" totalsRowDxfId="934"/>
    <tableColumn id="15456" name="Columna15442" dataDxfId="17557" totalsRowDxfId="933"/>
    <tableColumn id="15457" name="Columna15443" dataDxfId="17556" totalsRowDxfId="932"/>
    <tableColumn id="15458" name="Columna15444" dataDxfId="17555" totalsRowDxfId="931"/>
    <tableColumn id="15459" name="Columna15445" dataDxfId="17554" totalsRowDxfId="930"/>
    <tableColumn id="15460" name="Columna15446" dataDxfId="17553" totalsRowDxfId="929"/>
    <tableColumn id="15461" name="Columna15447" dataDxfId="17552" totalsRowDxfId="928"/>
    <tableColumn id="15462" name="Columna15448" dataDxfId="17551" totalsRowDxfId="927"/>
    <tableColumn id="15463" name="Columna15449" dataDxfId="17550" totalsRowDxfId="926"/>
    <tableColumn id="15464" name="Columna15450" dataDxfId="17549" totalsRowDxfId="925"/>
    <tableColumn id="15465" name="Columna15451" dataDxfId="17548" totalsRowDxfId="924"/>
    <tableColumn id="15466" name="Columna15452" dataDxfId="17547" totalsRowDxfId="923"/>
    <tableColumn id="15467" name="Columna15453" dataDxfId="17546" totalsRowDxfId="922"/>
    <tableColumn id="15468" name="Columna15454" dataDxfId="17545" totalsRowDxfId="921"/>
    <tableColumn id="15469" name="Columna15455" dataDxfId="17544" totalsRowDxfId="920"/>
    <tableColumn id="15470" name="Columna15456" dataDxfId="17543" totalsRowDxfId="919"/>
    <tableColumn id="15471" name="Columna15457" dataDxfId="17542" totalsRowDxfId="918"/>
    <tableColumn id="15472" name="Columna15458" dataDxfId="17541" totalsRowDxfId="917"/>
    <tableColumn id="15473" name="Columna15459" dataDxfId="17540" totalsRowDxfId="916"/>
    <tableColumn id="15474" name="Columna15460" dataDxfId="17539" totalsRowDxfId="915"/>
    <tableColumn id="15475" name="Columna15461" dataDxfId="17538" totalsRowDxfId="914"/>
    <tableColumn id="15476" name="Columna15462" dataDxfId="17537" totalsRowDxfId="913"/>
    <tableColumn id="15477" name="Columna15463" dataDxfId="17536" totalsRowDxfId="912"/>
    <tableColumn id="15478" name="Columna15464" dataDxfId="17535" totalsRowDxfId="911"/>
    <tableColumn id="15479" name="Columna15465" dataDxfId="17534" totalsRowDxfId="910"/>
    <tableColumn id="15480" name="Columna15466" dataDxfId="17533" totalsRowDxfId="909"/>
    <tableColumn id="15481" name="Columna15467" dataDxfId="17532" totalsRowDxfId="908"/>
    <tableColumn id="15482" name="Columna15468" dataDxfId="17531" totalsRowDxfId="907"/>
    <tableColumn id="15483" name="Columna15469" dataDxfId="17530" totalsRowDxfId="906"/>
    <tableColumn id="15484" name="Columna15470" dataDxfId="17529" totalsRowDxfId="905"/>
    <tableColumn id="15485" name="Columna15471" dataDxfId="17528" totalsRowDxfId="904"/>
    <tableColumn id="15486" name="Columna15472" dataDxfId="17527" totalsRowDxfId="903"/>
    <tableColumn id="15487" name="Columna15473" dataDxfId="17526" totalsRowDxfId="902"/>
    <tableColumn id="15488" name="Columna15474" dataDxfId="17525" totalsRowDxfId="901"/>
    <tableColumn id="15489" name="Columna15475" dataDxfId="17524" totalsRowDxfId="900"/>
    <tableColumn id="15490" name="Columna15476" dataDxfId="17523" totalsRowDxfId="899"/>
    <tableColumn id="15491" name="Columna15477" dataDxfId="17522" totalsRowDxfId="898"/>
    <tableColumn id="15492" name="Columna15478" dataDxfId="17521" totalsRowDxfId="897"/>
    <tableColumn id="15493" name="Columna15479" dataDxfId="17520" totalsRowDxfId="896"/>
    <tableColumn id="15494" name="Columna15480" dataDxfId="17519" totalsRowDxfId="895"/>
    <tableColumn id="15495" name="Columna15481" dataDxfId="17518" totalsRowDxfId="894"/>
    <tableColumn id="15496" name="Columna15482" dataDxfId="17517" totalsRowDxfId="893"/>
    <tableColumn id="15497" name="Columna15483" dataDxfId="17516" totalsRowDxfId="892"/>
    <tableColumn id="15498" name="Columna15484" dataDxfId="17515" totalsRowDxfId="891"/>
    <tableColumn id="15499" name="Columna15485" dataDxfId="17514" totalsRowDxfId="890"/>
    <tableColumn id="15500" name="Columna15486" dataDxfId="17513" totalsRowDxfId="889"/>
    <tableColumn id="15501" name="Columna15487" dataDxfId="17512" totalsRowDxfId="888"/>
    <tableColumn id="15502" name="Columna15488" dataDxfId="17511" totalsRowDxfId="887"/>
    <tableColumn id="15503" name="Columna15489" dataDxfId="17510" totalsRowDxfId="886"/>
    <tableColumn id="15504" name="Columna15490" dataDxfId="17509" totalsRowDxfId="885"/>
    <tableColumn id="15505" name="Columna15491" dataDxfId="17508" totalsRowDxfId="884"/>
    <tableColumn id="15506" name="Columna15492" dataDxfId="17507" totalsRowDxfId="883"/>
    <tableColumn id="15507" name="Columna15493" dataDxfId="17506" totalsRowDxfId="882"/>
    <tableColumn id="15508" name="Columna15494" dataDxfId="17505" totalsRowDxfId="881"/>
    <tableColumn id="15509" name="Columna15495" dataDxfId="17504" totalsRowDxfId="880"/>
    <tableColumn id="15510" name="Columna15496" dataDxfId="17503" totalsRowDxfId="879"/>
    <tableColumn id="15511" name="Columna15497" dataDxfId="17502" totalsRowDxfId="878"/>
    <tableColumn id="15512" name="Columna15498" dataDxfId="17501" totalsRowDxfId="877"/>
    <tableColumn id="15513" name="Columna15499" dataDxfId="17500" totalsRowDxfId="876"/>
    <tableColumn id="15514" name="Columna15500" dataDxfId="17499" totalsRowDxfId="875"/>
    <tableColumn id="15515" name="Columna15501" dataDxfId="17498" totalsRowDxfId="874"/>
    <tableColumn id="15516" name="Columna15502" dataDxfId="17497" totalsRowDxfId="873"/>
    <tableColumn id="15517" name="Columna15503" dataDxfId="17496" totalsRowDxfId="872"/>
    <tableColumn id="15518" name="Columna15504" dataDxfId="17495" totalsRowDxfId="871"/>
    <tableColumn id="15519" name="Columna15505" dataDxfId="17494" totalsRowDxfId="870"/>
    <tableColumn id="15520" name="Columna15506" dataDxfId="17493" totalsRowDxfId="869"/>
    <tableColumn id="15521" name="Columna15507" dataDxfId="17492" totalsRowDxfId="868"/>
    <tableColumn id="15522" name="Columna15508" dataDxfId="17491" totalsRowDxfId="867"/>
    <tableColumn id="15523" name="Columna15509" dataDxfId="17490" totalsRowDxfId="866"/>
    <tableColumn id="15524" name="Columna15510" dataDxfId="17489" totalsRowDxfId="865"/>
    <tableColumn id="15525" name="Columna15511" dataDxfId="17488" totalsRowDxfId="864"/>
    <tableColumn id="15526" name="Columna15512" dataDxfId="17487" totalsRowDxfId="863"/>
    <tableColumn id="15527" name="Columna15513" dataDxfId="17486" totalsRowDxfId="862"/>
    <tableColumn id="15528" name="Columna15514" dataDxfId="17485" totalsRowDxfId="861"/>
    <tableColumn id="15529" name="Columna15515" dataDxfId="17484" totalsRowDxfId="860"/>
    <tableColumn id="15530" name="Columna15516" dataDxfId="17483" totalsRowDxfId="859"/>
    <tableColumn id="15531" name="Columna15517" dataDxfId="17482" totalsRowDxfId="858"/>
    <tableColumn id="15532" name="Columna15518" dataDxfId="17481" totalsRowDxfId="857"/>
    <tableColumn id="15533" name="Columna15519" dataDxfId="17480" totalsRowDxfId="856"/>
    <tableColumn id="15534" name="Columna15520" dataDxfId="17479" totalsRowDxfId="855"/>
    <tableColumn id="15535" name="Columna15521" dataDxfId="17478" totalsRowDxfId="854"/>
    <tableColumn id="15536" name="Columna15522" dataDxfId="17477" totalsRowDxfId="853"/>
    <tableColumn id="15537" name="Columna15523" dataDxfId="17476" totalsRowDxfId="852"/>
    <tableColumn id="15538" name="Columna15524" dataDxfId="17475" totalsRowDxfId="851"/>
    <tableColumn id="15539" name="Columna15525" dataDxfId="17474" totalsRowDxfId="850"/>
    <tableColumn id="15540" name="Columna15526" dataDxfId="17473" totalsRowDxfId="849"/>
    <tableColumn id="15541" name="Columna15527" dataDxfId="17472" totalsRowDxfId="848"/>
    <tableColumn id="15542" name="Columna15528" dataDxfId="17471" totalsRowDxfId="847"/>
    <tableColumn id="15543" name="Columna15529" dataDxfId="17470" totalsRowDxfId="846"/>
    <tableColumn id="15544" name="Columna15530" dataDxfId="17469" totalsRowDxfId="845"/>
    <tableColumn id="15545" name="Columna15531" dataDxfId="17468" totalsRowDxfId="844"/>
    <tableColumn id="15546" name="Columna15532" dataDxfId="17467" totalsRowDxfId="843"/>
    <tableColumn id="15547" name="Columna15533" dataDxfId="17466" totalsRowDxfId="842"/>
    <tableColumn id="15548" name="Columna15534" dataDxfId="17465" totalsRowDxfId="841"/>
    <tableColumn id="15549" name="Columna15535" dataDxfId="17464" totalsRowDxfId="840"/>
    <tableColumn id="15550" name="Columna15536" dataDxfId="17463" totalsRowDxfId="839"/>
    <tableColumn id="15551" name="Columna15537" dataDxfId="17462" totalsRowDxfId="838"/>
    <tableColumn id="15552" name="Columna15538" dataDxfId="17461" totalsRowDxfId="837"/>
    <tableColumn id="15553" name="Columna15539" dataDxfId="17460" totalsRowDxfId="836"/>
    <tableColumn id="15554" name="Columna15540" dataDxfId="17459" totalsRowDxfId="835"/>
    <tableColumn id="15555" name="Columna15541" dataDxfId="17458" totalsRowDxfId="834"/>
    <tableColumn id="15556" name="Columna15542" dataDxfId="17457" totalsRowDxfId="833"/>
    <tableColumn id="15557" name="Columna15543" dataDxfId="17456" totalsRowDxfId="832"/>
    <tableColumn id="15558" name="Columna15544" dataDxfId="17455" totalsRowDxfId="831"/>
    <tableColumn id="15559" name="Columna15545" dataDxfId="17454" totalsRowDxfId="830"/>
    <tableColumn id="15560" name="Columna15546" dataDxfId="17453" totalsRowDxfId="829"/>
    <tableColumn id="15561" name="Columna15547" dataDxfId="17452" totalsRowDxfId="828"/>
    <tableColumn id="15562" name="Columna15548" dataDxfId="17451" totalsRowDxfId="827"/>
    <tableColumn id="15563" name="Columna15549" dataDxfId="17450" totalsRowDxfId="826"/>
    <tableColumn id="15564" name="Columna15550" dataDxfId="17449" totalsRowDxfId="825"/>
    <tableColumn id="15565" name="Columna15551" dataDxfId="17448" totalsRowDxfId="824"/>
    <tableColumn id="15566" name="Columna15552" dataDxfId="17447" totalsRowDxfId="823"/>
    <tableColumn id="15567" name="Columna15553" dataDxfId="17446" totalsRowDxfId="822"/>
    <tableColumn id="15568" name="Columna15554" dataDxfId="17445" totalsRowDxfId="821"/>
    <tableColumn id="15569" name="Columna15555" dataDxfId="17444" totalsRowDxfId="820"/>
    <tableColumn id="15570" name="Columna15556" dataDxfId="17443" totalsRowDxfId="819"/>
    <tableColumn id="15571" name="Columna15557" dataDxfId="17442" totalsRowDxfId="818"/>
    <tableColumn id="15572" name="Columna15558" dataDxfId="17441" totalsRowDxfId="817"/>
    <tableColumn id="15573" name="Columna15559" dataDxfId="17440" totalsRowDxfId="816"/>
    <tableColumn id="15574" name="Columna15560" dataDxfId="17439" totalsRowDxfId="815"/>
    <tableColumn id="15575" name="Columna15561" dataDxfId="17438" totalsRowDxfId="814"/>
    <tableColumn id="15576" name="Columna15562" dataDxfId="17437" totalsRowDxfId="813"/>
    <tableColumn id="15577" name="Columna15563" dataDxfId="17436" totalsRowDxfId="812"/>
    <tableColumn id="15578" name="Columna15564" dataDxfId="17435" totalsRowDxfId="811"/>
    <tableColumn id="15579" name="Columna15565" dataDxfId="17434" totalsRowDxfId="810"/>
    <tableColumn id="15580" name="Columna15566" dataDxfId="17433" totalsRowDxfId="809"/>
    <tableColumn id="15581" name="Columna15567" dataDxfId="17432" totalsRowDxfId="808"/>
    <tableColumn id="15582" name="Columna15568" dataDxfId="17431" totalsRowDxfId="807"/>
    <tableColumn id="15583" name="Columna15569" dataDxfId="17430" totalsRowDxfId="806"/>
    <tableColumn id="15584" name="Columna15570" dataDxfId="17429" totalsRowDxfId="805"/>
    <tableColumn id="15585" name="Columna15571" dataDxfId="17428" totalsRowDxfId="804"/>
    <tableColumn id="15586" name="Columna15572" dataDxfId="17427" totalsRowDxfId="803"/>
    <tableColumn id="15587" name="Columna15573" dataDxfId="17426" totalsRowDxfId="802"/>
    <tableColumn id="15588" name="Columna15574" dataDxfId="17425" totalsRowDxfId="801"/>
    <tableColumn id="15589" name="Columna15575" dataDxfId="17424" totalsRowDxfId="800"/>
    <tableColumn id="15590" name="Columna15576" dataDxfId="17423" totalsRowDxfId="799"/>
    <tableColumn id="15591" name="Columna15577" dataDxfId="17422" totalsRowDxfId="798"/>
    <tableColumn id="15592" name="Columna15578" dataDxfId="17421" totalsRowDxfId="797"/>
    <tableColumn id="15593" name="Columna15579" dataDxfId="17420" totalsRowDxfId="796"/>
    <tableColumn id="15594" name="Columna15580" dataDxfId="17419" totalsRowDxfId="795"/>
    <tableColumn id="15595" name="Columna15581" dataDxfId="17418" totalsRowDxfId="794"/>
    <tableColumn id="15596" name="Columna15582" dataDxfId="17417" totalsRowDxfId="793"/>
    <tableColumn id="15597" name="Columna15583" dataDxfId="17416" totalsRowDxfId="792"/>
    <tableColumn id="15598" name="Columna15584" dataDxfId="17415" totalsRowDxfId="791"/>
    <tableColumn id="15599" name="Columna15585" dataDxfId="17414" totalsRowDxfId="790"/>
    <tableColumn id="15600" name="Columna15586" dataDxfId="17413" totalsRowDxfId="789"/>
    <tableColumn id="15601" name="Columna15587" dataDxfId="17412" totalsRowDxfId="788"/>
    <tableColumn id="15602" name="Columna15588" dataDxfId="17411" totalsRowDxfId="787"/>
    <tableColumn id="15603" name="Columna15589" dataDxfId="17410" totalsRowDxfId="786"/>
    <tableColumn id="15604" name="Columna15590" dataDxfId="17409" totalsRowDxfId="785"/>
    <tableColumn id="15605" name="Columna15591" dataDxfId="17408" totalsRowDxfId="784"/>
    <tableColumn id="15606" name="Columna15592" dataDxfId="17407" totalsRowDxfId="783"/>
    <tableColumn id="15607" name="Columna15593" dataDxfId="17406" totalsRowDxfId="782"/>
    <tableColumn id="15608" name="Columna15594" dataDxfId="17405" totalsRowDxfId="781"/>
    <tableColumn id="15609" name="Columna15595" dataDxfId="17404" totalsRowDxfId="780"/>
    <tableColumn id="15610" name="Columna15596" dataDxfId="17403" totalsRowDxfId="779"/>
    <tableColumn id="15611" name="Columna15597" dataDxfId="17402" totalsRowDxfId="778"/>
    <tableColumn id="15612" name="Columna15598" dataDxfId="17401" totalsRowDxfId="777"/>
    <tableColumn id="15613" name="Columna15599" dataDxfId="17400" totalsRowDxfId="776"/>
    <tableColumn id="15614" name="Columna15600" dataDxfId="17399" totalsRowDxfId="775"/>
    <tableColumn id="15615" name="Columna15601" dataDxfId="17398" totalsRowDxfId="774"/>
    <tableColumn id="15616" name="Columna15602" dataDxfId="17397" totalsRowDxfId="773"/>
    <tableColumn id="15617" name="Columna15603" dataDxfId="17396" totalsRowDxfId="772"/>
    <tableColumn id="15618" name="Columna15604" dataDxfId="17395" totalsRowDxfId="771"/>
    <tableColumn id="15619" name="Columna15605" dataDxfId="17394" totalsRowDxfId="770"/>
    <tableColumn id="15620" name="Columna15606" dataDxfId="17393" totalsRowDxfId="769"/>
    <tableColumn id="15621" name="Columna15607" dataDxfId="17392" totalsRowDxfId="768"/>
    <tableColumn id="15622" name="Columna15608" dataDxfId="17391" totalsRowDxfId="767"/>
    <tableColumn id="15623" name="Columna15609" dataDxfId="17390" totalsRowDxfId="766"/>
    <tableColumn id="15624" name="Columna15610" dataDxfId="17389" totalsRowDxfId="765"/>
    <tableColumn id="15625" name="Columna15611" dataDxfId="17388" totalsRowDxfId="764"/>
    <tableColumn id="15626" name="Columna15612" dataDxfId="17387" totalsRowDxfId="763"/>
    <tableColumn id="15627" name="Columna15613" dataDxfId="17386" totalsRowDxfId="762"/>
    <tableColumn id="15628" name="Columna15614" dataDxfId="17385" totalsRowDxfId="761"/>
    <tableColumn id="15629" name="Columna15615" dataDxfId="17384" totalsRowDxfId="760"/>
    <tableColumn id="15630" name="Columna15616" dataDxfId="17383" totalsRowDxfId="759"/>
    <tableColumn id="15631" name="Columna15617" dataDxfId="17382" totalsRowDxfId="758"/>
    <tableColumn id="15632" name="Columna15618" dataDxfId="17381" totalsRowDxfId="757"/>
    <tableColumn id="15633" name="Columna15619" dataDxfId="17380" totalsRowDxfId="756"/>
    <tableColumn id="15634" name="Columna15620" dataDxfId="17379" totalsRowDxfId="755"/>
    <tableColumn id="15635" name="Columna15621" dataDxfId="17378" totalsRowDxfId="754"/>
    <tableColumn id="15636" name="Columna15622" dataDxfId="17377" totalsRowDxfId="753"/>
    <tableColumn id="15637" name="Columna15623" dataDxfId="17376" totalsRowDxfId="752"/>
    <tableColumn id="15638" name="Columna15624" dataDxfId="17375" totalsRowDxfId="751"/>
    <tableColumn id="15639" name="Columna15625" dataDxfId="17374" totalsRowDxfId="750"/>
    <tableColumn id="15640" name="Columna15626" dataDxfId="17373" totalsRowDxfId="749"/>
    <tableColumn id="15641" name="Columna15627" dataDxfId="17372" totalsRowDxfId="748"/>
    <tableColumn id="15642" name="Columna15628" dataDxfId="17371" totalsRowDxfId="747"/>
    <tableColumn id="15643" name="Columna15629" dataDxfId="17370" totalsRowDxfId="746"/>
    <tableColumn id="15644" name="Columna15630" dataDxfId="17369" totalsRowDxfId="745"/>
    <tableColumn id="15645" name="Columna15631" dataDxfId="17368" totalsRowDxfId="744"/>
    <tableColumn id="15646" name="Columna15632" dataDxfId="17367" totalsRowDxfId="743"/>
    <tableColumn id="15647" name="Columna15633" dataDxfId="17366" totalsRowDxfId="742"/>
    <tableColumn id="15648" name="Columna15634" dataDxfId="17365" totalsRowDxfId="741"/>
    <tableColumn id="15649" name="Columna15635" dataDxfId="17364" totalsRowDxfId="740"/>
    <tableColumn id="15650" name="Columna15636" dataDxfId="17363" totalsRowDxfId="739"/>
    <tableColumn id="15651" name="Columna15637" dataDxfId="17362" totalsRowDxfId="738"/>
    <tableColumn id="15652" name="Columna15638" dataDxfId="17361" totalsRowDxfId="737"/>
    <tableColumn id="15653" name="Columna15639" dataDxfId="17360" totalsRowDxfId="736"/>
    <tableColumn id="15654" name="Columna15640" dataDxfId="17359" totalsRowDxfId="735"/>
    <tableColumn id="15655" name="Columna15641" dataDxfId="17358" totalsRowDxfId="734"/>
    <tableColumn id="15656" name="Columna15642" dataDxfId="17357" totalsRowDxfId="733"/>
    <tableColumn id="15657" name="Columna15643" dataDxfId="17356" totalsRowDxfId="732"/>
    <tableColumn id="15658" name="Columna15644" dataDxfId="17355" totalsRowDxfId="731"/>
    <tableColumn id="15659" name="Columna15645" dataDxfId="17354" totalsRowDxfId="730"/>
    <tableColumn id="15660" name="Columna15646" dataDxfId="17353" totalsRowDxfId="729"/>
    <tableColumn id="15661" name="Columna15647" dataDxfId="17352" totalsRowDxfId="728"/>
    <tableColumn id="15662" name="Columna15648" dataDxfId="17351" totalsRowDxfId="727"/>
    <tableColumn id="15663" name="Columna15649" dataDxfId="17350" totalsRowDxfId="726"/>
    <tableColumn id="15664" name="Columna15650" dataDxfId="17349" totalsRowDxfId="725"/>
    <tableColumn id="15665" name="Columna15651" dataDxfId="17348" totalsRowDxfId="724"/>
    <tableColumn id="15666" name="Columna15652" dataDxfId="17347" totalsRowDxfId="723"/>
    <tableColumn id="15667" name="Columna15653" dataDxfId="17346" totalsRowDxfId="722"/>
    <tableColumn id="15668" name="Columna15654" dataDxfId="17345" totalsRowDxfId="721"/>
    <tableColumn id="15669" name="Columna15655" dataDxfId="17344" totalsRowDxfId="720"/>
    <tableColumn id="15670" name="Columna15656" dataDxfId="17343" totalsRowDxfId="719"/>
    <tableColumn id="15671" name="Columna15657" dataDxfId="17342" totalsRowDxfId="718"/>
    <tableColumn id="15672" name="Columna15658" dataDxfId="17341" totalsRowDxfId="717"/>
    <tableColumn id="15673" name="Columna15659" dataDxfId="17340" totalsRowDxfId="716"/>
    <tableColumn id="15674" name="Columna15660" dataDxfId="17339" totalsRowDxfId="715"/>
    <tableColumn id="15675" name="Columna15661" dataDxfId="17338" totalsRowDxfId="714"/>
    <tableColumn id="15676" name="Columna15662" dataDxfId="17337" totalsRowDxfId="713"/>
    <tableColumn id="15677" name="Columna15663" dataDxfId="17336" totalsRowDxfId="712"/>
    <tableColumn id="15678" name="Columna15664" dataDxfId="17335" totalsRowDxfId="711"/>
    <tableColumn id="15679" name="Columna15665" dataDxfId="17334" totalsRowDxfId="710"/>
    <tableColumn id="15680" name="Columna15666" dataDxfId="17333" totalsRowDxfId="709"/>
    <tableColumn id="15681" name="Columna15667" dataDxfId="17332" totalsRowDxfId="708"/>
    <tableColumn id="15682" name="Columna15668" dataDxfId="17331" totalsRowDxfId="707"/>
    <tableColumn id="15683" name="Columna15669" dataDxfId="17330" totalsRowDxfId="706"/>
    <tableColumn id="15684" name="Columna15670" dataDxfId="17329" totalsRowDxfId="705"/>
    <tableColumn id="15685" name="Columna15671" dataDxfId="17328" totalsRowDxfId="704"/>
    <tableColumn id="15686" name="Columna15672" dataDxfId="17327" totalsRowDxfId="703"/>
    <tableColumn id="15687" name="Columna15673" dataDxfId="17326" totalsRowDxfId="702"/>
    <tableColumn id="15688" name="Columna15674" dataDxfId="17325" totalsRowDxfId="701"/>
    <tableColumn id="15689" name="Columna15675" dataDxfId="17324" totalsRowDxfId="700"/>
    <tableColumn id="15690" name="Columna15676" dataDxfId="17323" totalsRowDxfId="699"/>
    <tableColumn id="15691" name="Columna15677" dataDxfId="17322" totalsRowDxfId="698"/>
    <tableColumn id="15692" name="Columna15678" dataDxfId="17321" totalsRowDxfId="697"/>
    <tableColumn id="15693" name="Columna15679" dataDxfId="17320" totalsRowDxfId="696"/>
    <tableColumn id="15694" name="Columna15680" dataDxfId="17319" totalsRowDxfId="695"/>
    <tableColumn id="15695" name="Columna15681" dataDxfId="17318" totalsRowDxfId="694"/>
    <tableColumn id="15696" name="Columna15682" dataDxfId="17317" totalsRowDxfId="693"/>
    <tableColumn id="15697" name="Columna15683" dataDxfId="17316" totalsRowDxfId="692"/>
    <tableColumn id="15698" name="Columna15684" dataDxfId="17315" totalsRowDxfId="691"/>
    <tableColumn id="15699" name="Columna15685" dataDxfId="17314" totalsRowDxfId="690"/>
    <tableColumn id="15700" name="Columna15686" dataDxfId="17313" totalsRowDxfId="689"/>
    <tableColumn id="15701" name="Columna15687" dataDxfId="17312" totalsRowDxfId="688"/>
    <tableColumn id="15702" name="Columna15688" dataDxfId="17311" totalsRowDxfId="687"/>
    <tableColumn id="15703" name="Columna15689" dataDxfId="17310" totalsRowDxfId="686"/>
    <tableColumn id="15704" name="Columna15690" dataDxfId="17309" totalsRowDxfId="685"/>
    <tableColumn id="15705" name="Columna15691" dataDxfId="17308" totalsRowDxfId="684"/>
    <tableColumn id="15706" name="Columna15692" dataDxfId="17307" totalsRowDxfId="683"/>
    <tableColumn id="15707" name="Columna15693" dataDxfId="17306" totalsRowDxfId="682"/>
    <tableColumn id="15708" name="Columna15694" dataDxfId="17305" totalsRowDxfId="681"/>
    <tableColumn id="15709" name="Columna15695" dataDxfId="17304" totalsRowDxfId="680"/>
    <tableColumn id="15710" name="Columna15696" dataDxfId="17303" totalsRowDxfId="679"/>
    <tableColumn id="15711" name="Columna15697" dataDxfId="17302" totalsRowDxfId="678"/>
    <tableColumn id="15712" name="Columna15698" dataDxfId="17301" totalsRowDxfId="677"/>
    <tableColumn id="15713" name="Columna15699" dataDxfId="17300" totalsRowDxfId="676"/>
    <tableColumn id="15714" name="Columna15700" dataDxfId="17299" totalsRowDxfId="675"/>
    <tableColumn id="15715" name="Columna15701" dataDxfId="17298" totalsRowDxfId="674"/>
    <tableColumn id="15716" name="Columna15702" dataDxfId="17297" totalsRowDxfId="673"/>
    <tableColumn id="15717" name="Columna15703" dataDxfId="17296" totalsRowDxfId="672"/>
    <tableColumn id="15718" name="Columna15704" dataDxfId="17295" totalsRowDxfId="671"/>
    <tableColumn id="15719" name="Columna15705" dataDxfId="17294" totalsRowDxfId="670"/>
    <tableColumn id="15720" name="Columna15706" dataDxfId="17293" totalsRowDxfId="669"/>
    <tableColumn id="15721" name="Columna15707" dataDxfId="17292" totalsRowDxfId="668"/>
    <tableColumn id="15722" name="Columna15708" dataDxfId="17291" totalsRowDxfId="667"/>
    <tableColumn id="15723" name="Columna15709" dataDxfId="17290" totalsRowDxfId="666"/>
    <tableColumn id="15724" name="Columna15710" dataDxfId="17289" totalsRowDxfId="665"/>
    <tableColumn id="15725" name="Columna15711" dataDxfId="17288" totalsRowDxfId="664"/>
    <tableColumn id="15726" name="Columna15712" dataDxfId="17287" totalsRowDxfId="663"/>
    <tableColumn id="15727" name="Columna15713" dataDxfId="17286" totalsRowDxfId="662"/>
    <tableColumn id="15728" name="Columna15714" dataDxfId="17285" totalsRowDxfId="661"/>
    <tableColumn id="15729" name="Columna15715" dataDxfId="17284" totalsRowDxfId="660"/>
    <tableColumn id="15730" name="Columna15716" dataDxfId="17283" totalsRowDxfId="659"/>
    <tableColumn id="15731" name="Columna15717" dataDxfId="17282" totalsRowDxfId="658"/>
    <tableColumn id="15732" name="Columna15718" dataDxfId="17281" totalsRowDxfId="657"/>
    <tableColumn id="15733" name="Columna15719" dataDxfId="17280" totalsRowDxfId="656"/>
    <tableColumn id="15734" name="Columna15720" dataDxfId="17279" totalsRowDxfId="655"/>
    <tableColumn id="15735" name="Columna15721" dataDxfId="17278" totalsRowDxfId="654"/>
    <tableColumn id="15736" name="Columna15722" dataDxfId="17277" totalsRowDxfId="653"/>
    <tableColumn id="15737" name="Columna15723" dataDxfId="17276" totalsRowDxfId="652"/>
    <tableColumn id="15738" name="Columna15724" dataDxfId="17275" totalsRowDxfId="651"/>
    <tableColumn id="15739" name="Columna15725" dataDxfId="17274" totalsRowDxfId="650"/>
    <tableColumn id="15740" name="Columna15726" dataDxfId="17273" totalsRowDxfId="649"/>
    <tableColumn id="15741" name="Columna15727" dataDxfId="17272" totalsRowDxfId="648"/>
    <tableColumn id="15742" name="Columna15728" dataDxfId="17271" totalsRowDxfId="647"/>
    <tableColumn id="15743" name="Columna15729" dataDxfId="17270" totalsRowDxfId="646"/>
    <tableColumn id="15744" name="Columna15730" dataDxfId="17269" totalsRowDxfId="645"/>
    <tableColumn id="15745" name="Columna15731" dataDxfId="17268" totalsRowDxfId="644"/>
    <tableColumn id="15746" name="Columna15732" dataDxfId="17267" totalsRowDxfId="643"/>
    <tableColumn id="15747" name="Columna15733" dataDxfId="17266" totalsRowDxfId="642"/>
    <tableColumn id="15748" name="Columna15734" dataDxfId="17265" totalsRowDxfId="641"/>
    <tableColumn id="15749" name="Columna15735" dataDxfId="17264" totalsRowDxfId="640"/>
    <tableColumn id="15750" name="Columna15736" dataDxfId="17263" totalsRowDxfId="639"/>
    <tableColumn id="15751" name="Columna15737" dataDxfId="17262" totalsRowDxfId="638"/>
    <tableColumn id="15752" name="Columna15738" dataDxfId="17261" totalsRowDxfId="637"/>
    <tableColumn id="15753" name="Columna15739" dataDxfId="17260" totalsRowDxfId="636"/>
    <tableColumn id="15754" name="Columna15740" dataDxfId="17259" totalsRowDxfId="635"/>
    <tableColumn id="15755" name="Columna15741" dataDxfId="17258" totalsRowDxfId="634"/>
    <tableColumn id="15756" name="Columna15742" dataDxfId="17257" totalsRowDxfId="633"/>
    <tableColumn id="15757" name="Columna15743" dataDxfId="17256" totalsRowDxfId="632"/>
    <tableColumn id="15758" name="Columna15744" dataDxfId="17255" totalsRowDxfId="631"/>
    <tableColumn id="15759" name="Columna15745" dataDxfId="17254" totalsRowDxfId="630"/>
    <tableColumn id="15760" name="Columna15746" dataDxfId="17253" totalsRowDxfId="629"/>
    <tableColumn id="15761" name="Columna15747" dataDxfId="17252" totalsRowDxfId="628"/>
    <tableColumn id="15762" name="Columna15748" dataDxfId="17251" totalsRowDxfId="627"/>
    <tableColumn id="15763" name="Columna15749" dataDxfId="17250" totalsRowDxfId="626"/>
    <tableColumn id="15764" name="Columna15750" dataDxfId="17249" totalsRowDxfId="625"/>
    <tableColumn id="15765" name="Columna15751" dataDxfId="17248" totalsRowDxfId="624"/>
    <tableColumn id="15766" name="Columna15752" dataDxfId="17247" totalsRowDxfId="623"/>
    <tableColumn id="15767" name="Columna15753" dataDxfId="17246" totalsRowDxfId="622"/>
    <tableColumn id="15768" name="Columna15754" dataDxfId="17245" totalsRowDxfId="621"/>
    <tableColumn id="15769" name="Columna15755" dataDxfId="17244" totalsRowDxfId="620"/>
    <tableColumn id="15770" name="Columna15756" dataDxfId="17243" totalsRowDxfId="619"/>
    <tableColumn id="15771" name="Columna15757" dataDxfId="17242" totalsRowDxfId="618"/>
    <tableColumn id="15772" name="Columna15758" dataDxfId="17241" totalsRowDxfId="617"/>
    <tableColumn id="15773" name="Columna15759" dataDxfId="17240" totalsRowDxfId="616"/>
    <tableColumn id="15774" name="Columna15760" dataDxfId="17239" totalsRowDxfId="615"/>
    <tableColumn id="15775" name="Columna15761" dataDxfId="17238" totalsRowDxfId="614"/>
    <tableColumn id="15776" name="Columna15762" dataDxfId="17237" totalsRowDxfId="613"/>
    <tableColumn id="15777" name="Columna15763" dataDxfId="17236" totalsRowDxfId="612"/>
    <tableColumn id="15778" name="Columna15764" dataDxfId="17235" totalsRowDxfId="611"/>
    <tableColumn id="15779" name="Columna15765" dataDxfId="17234" totalsRowDxfId="610"/>
    <tableColumn id="15780" name="Columna15766" dataDxfId="17233" totalsRowDxfId="609"/>
    <tableColumn id="15781" name="Columna15767" dataDxfId="17232" totalsRowDxfId="608"/>
    <tableColumn id="15782" name="Columna15768" dataDxfId="17231" totalsRowDxfId="607"/>
    <tableColumn id="15783" name="Columna15769" dataDxfId="17230" totalsRowDxfId="606"/>
    <tableColumn id="15784" name="Columna15770" dataDxfId="17229" totalsRowDxfId="605"/>
    <tableColumn id="15785" name="Columna15771" dataDxfId="17228" totalsRowDxfId="604"/>
    <tableColumn id="15786" name="Columna15772" dataDxfId="17227" totalsRowDxfId="603"/>
    <tableColumn id="15787" name="Columna15773" dataDxfId="17226" totalsRowDxfId="602"/>
    <tableColumn id="15788" name="Columna15774" dataDxfId="17225" totalsRowDxfId="601"/>
    <tableColumn id="15789" name="Columna15775" dataDxfId="17224" totalsRowDxfId="600"/>
    <tableColumn id="15790" name="Columna15776" dataDxfId="17223" totalsRowDxfId="599"/>
    <tableColumn id="15791" name="Columna15777" dataDxfId="17222" totalsRowDxfId="598"/>
    <tableColumn id="15792" name="Columna15778" dataDxfId="17221" totalsRowDxfId="597"/>
    <tableColumn id="15793" name="Columna15779" dataDxfId="17220" totalsRowDxfId="596"/>
    <tableColumn id="15794" name="Columna15780" dataDxfId="17219" totalsRowDxfId="595"/>
    <tableColumn id="15795" name="Columna15781" dataDxfId="17218" totalsRowDxfId="594"/>
    <tableColumn id="15796" name="Columna15782" dataDxfId="17217" totalsRowDxfId="593"/>
    <tableColumn id="15797" name="Columna15783" dataDxfId="17216" totalsRowDxfId="592"/>
    <tableColumn id="15798" name="Columna15784" dataDxfId="17215" totalsRowDxfId="591"/>
    <tableColumn id="15799" name="Columna15785" dataDxfId="17214" totalsRowDxfId="590"/>
    <tableColumn id="15800" name="Columna15786" dataDxfId="17213" totalsRowDxfId="589"/>
    <tableColumn id="15801" name="Columna15787" dataDxfId="17212" totalsRowDxfId="588"/>
    <tableColumn id="15802" name="Columna15788" dataDxfId="17211" totalsRowDxfId="587"/>
    <tableColumn id="15803" name="Columna15789" dataDxfId="17210" totalsRowDxfId="586"/>
    <tableColumn id="15804" name="Columna15790" dataDxfId="17209" totalsRowDxfId="585"/>
    <tableColumn id="15805" name="Columna15791" dataDxfId="17208" totalsRowDxfId="584"/>
    <tableColumn id="15806" name="Columna15792" dataDxfId="17207" totalsRowDxfId="583"/>
    <tableColumn id="15807" name="Columna15793" dataDxfId="17206" totalsRowDxfId="582"/>
    <tableColumn id="15808" name="Columna15794" dataDxfId="17205" totalsRowDxfId="581"/>
    <tableColumn id="15809" name="Columna15795" dataDxfId="17204" totalsRowDxfId="580"/>
    <tableColumn id="15810" name="Columna15796" dataDxfId="17203" totalsRowDxfId="579"/>
    <tableColumn id="15811" name="Columna15797" dataDxfId="17202" totalsRowDxfId="578"/>
    <tableColumn id="15812" name="Columna15798" dataDxfId="17201" totalsRowDxfId="577"/>
    <tableColumn id="15813" name="Columna15799" dataDxfId="17200" totalsRowDxfId="576"/>
    <tableColumn id="15814" name="Columna15800" dataDxfId="17199" totalsRowDxfId="575"/>
    <tableColumn id="15815" name="Columna15801" dataDxfId="17198" totalsRowDxfId="574"/>
    <tableColumn id="15816" name="Columna15802" dataDxfId="17197" totalsRowDxfId="573"/>
    <tableColumn id="15817" name="Columna15803" dataDxfId="17196" totalsRowDxfId="572"/>
    <tableColumn id="15818" name="Columna15804" dataDxfId="17195" totalsRowDxfId="571"/>
    <tableColumn id="15819" name="Columna15805" dataDxfId="17194" totalsRowDxfId="570"/>
    <tableColumn id="15820" name="Columna15806" dataDxfId="17193" totalsRowDxfId="569"/>
    <tableColumn id="15821" name="Columna15807" dataDxfId="17192" totalsRowDxfId="568"/>
    <tableColumn id="15822" name="Columna15808" dataDxfId="17191" totalsRowDxfId="567"/>
    <tableColumn id="15823" name="Columna15809" dataDxfId="17190" totalsRowDxfId="566"/>
    <tableColumn id="15824" name="Columna15810" dataDxfId="17189" totalsRowDxfId="565"/>
    <tableColumn id="15825" name="Columna15811" dataDxfId="17188" totalsRowDxfId="564"/>
    <tableColumn id="15826" name="Columna15812" dataDxfId="17187" totalsRowDxfId="563"/>
    <tableColumn id="15827" name="Columna15813" dataDxfId="17186" totalsRowDxfId="562"/>
    <tableColumn id="15828" name="Columna15814" dataDxfId="17185" totalsRowDxfId="561"/>
    <tableColumn id="15829" name="Columna15815" dataDxfId="17184" totalsRowDxfId="560"/>
    <tableColumn id="15830" name="Columna15816" dataDxfId="17183" totalsRowDxfId="559"/>
    <tableColumn id="15831" name="Columna15817" dataDxfId="17182" totalsRowDxfId="558"/>
    <tableColumn id="15832" name="Columna15818" dataDxfId="17181" totalsRowDxfId="557"/>
    <tableColumn id="15833" name="Columna15819" dataDxfId="17180" totalsRowDxfId="556"/>
    <tableColumn id="15834" name="Columna15820" dataDxfId="17179" totalsRowDxfId="555"/>
    <tableColumn id="15835" name="Columna15821" dataDxfId="17178" totalsRowDxfId="554"/>
    <tableColumn id="15836" name="Columna15822" dataDxfId="17177" totalsRowDxfId="553"/>
    <tableColumn id="15837" name="Columna15823" dataDxfId="17176" totalsRowDxfId="552"/>
    <tableColumn id="15838" name="Columna15824" dataDxfId="17175" totalsRowDxfId="551"/>
    <tableColumn id="15839" name="Columna15825" dataDxfId="17174" totalsRowDxfId="550"/>
    <tableColumn id="15840" name="Columna15826" dataDxfId="17173" totalsRowDxfId="549"/>
    <tableColumn id="15841" name="Columna15827" dataDxfId="17172" totalsRowDxfId="548"/>
    <tableColumn id="15842" name="Columna15828" dataDxfId="17171" totalsRowDxfId="547"/>
    <tableColumn id="15843" name="Columna15829" dataDxfId="17170" totalsRowDxfId="546"/>
    <tableColumn id="15844" name="Columna15830" dataDxfId="17169" totalsRowDxfId="545"/>
    <tableColumn id="15845" name="Columna15831" dataDxfId="17168" totalsRowDxfId="544"/>
    <tableColumn id="15846" name="Columna15832" dataDxfId="17167" totalsRowDxfId="543"/>
    <tableColumn id="15847" name="Columna15833" dataDxfId="17166" totalsRowDxfId="542"/>
    <tableColumn id="15848" name="Columna15834" dataDxfId="17165" totalsRowDxfId="541"/>
    <tableColumn id="15849" name="Columna15835" dataDxfId="17164" totalsRowDxfId="540"/>
    <tableColumn id="15850" name="Columna15836" dataDxfId="17163" totalsRowDxfId="539"/>
    <tableColumn id="15851" name="Columna15837" dataDxfId="17162" totalsRowDxfId="538"/>
    <tableColumn id="15852" name="Columna15838" dataDxfId="17161" totalsRowDxfId="537"/>
    <tableColumn id="15853" name="Columna15839" dataDxfId="17160" totalsRowDxfId="536"/>
    <tableColumn id="15854" name="Columna15840" dataDxfId="17159" totalsRowDxfId="535"/>
    <tableColumn id="15855" name="Columna15841" dataDxfId="17158" totalsRowDxfId="534"/>
    <tableColumn id="15856" name="Columna15842" dataDxfId="17157" totalsRowDxfId="533"/>
    <tableColumn id="15857" name="Columna15843" dataDxfId="17156" totalsRowDxfId="532"/>
    <tableColumn id="15858" name="Columna15844" dataDxfId="17155" totalsRowDxfId="531"/>
    <tableColumn id="15859" name="Columna15845" dataDxfId="17154" totalsRowDxfId="530"/>
    <tableColumn id="15860" name="Columna15846" dataDxfId="17153" totalsRowDxfId="529"/>
    <tableColumn id="15861" name="Columna15847" dataDxfId="17152" totalsRowDxfId="528"/>
    <tableColumn id="15862" name="Columna15848" dataDxfId="17151" totalsRowDxfId="527"/>
    <tableColumn id="15863" name="Columna15849" dataDxfId="17150" totalsRowDxfId="526"/>
    <tableColumn id="15864" name="Columna15850" dataDxfId="17149" totalsRowDxfId="525"/>
    <tableColumn id="15865" name="Columna15851" dataDxfId="17148" totalsRowDxfId="524"/>
    <tableColumn id="15866" name="Columna15852" dataDxfId="17147" totalsRowDxfId="523"/>
    <tableColumn id="15867" name="Columna15853" dataDxfId="17146" totalsRowDxfId="522"/>
    <tableColumn id="15868" name="Columna15854" dataDxfId="17145" totalsRowDxfId="521"/>
    <tableColumn id="15869" name="Columna15855" dataDxfId="17144" totalsRowDxfId="520"/>
    <tableColumn id="15870" name="Columna15856" dataDxfId="17143" totalsRowDxfId="519"/>
    <tableColumn id="15871" name="Columna15857" dataDxfId="17142" totalsRowDxfId="518"/>
    <tableColumn id="15872" name="Columna15858" dataDxfId="17141" totalsRowDxfId="517"/>
    <tableColumn id="15873" name="Columna15859" dataDxfId="17140" totalsRowDxfId="516"/>
    <tableColumn id="15874" name="Columna15860" dataDxfId="17139" totalsRowDxfId="515"/>
    <tableColumn id="15875" name="Columna15861" dataDxfId="17138" totalsRowDxfId="514"/>
    <tableColumn id="15876" name="Columna15862" dataDxfId="17137" totalsRowDxfId="513"/>
    <tableColumn id="15877" name="Columna15863" dataDxfId="17136" totalsRowDxfId="512"/>
    <tableColumn id="15878" name="Columna15864" dataDxfId="17135" totalsRowDxfId="511"/>
    <tableColumn id="15879" name="Columna15865" dataDxfId="17134" totalsRowDxfId="510"/>
    <tableColumn id="15880" name="Columna15866" dataDxfId="17133" totalsRowDxfId="509"/>
    <tableColumn id="15881" name="Columna15867" dataDxfId="17132" totalsRowDxfId="508"/>
    <tableColumn id="15882" name="Columna15868" dataDxfId="17131" totalsRowDxfId="507"/>
    <tableColumn id="15883" name="Columna15869" dataDxfId="17130" totalsRowDxfId="506"/>
    <tableColumn id="15884" name="Columna15870" dataDxfId="17129" totalsRowDxfId="505"/>
    <tableColumn id="15885" name="Columna15871" dataDxfId="17128" totalsRowDxfId="504"/>
    <tableColumn id="15886" name="Columna15872" dataDxfId="17127" totalsRowDxfId="503"/>
    <tableColumn id="15887" name="Columna15873" dataDxfId="17126" totalsRowDxfId="502"/>
    <tableColumn id="15888" name="Columna15874" dataDxfId="17125" totalsRowDxfId="501"/>
    <tableColumn id="15889" name="Columna15875" dataDxfId="17124" totalsRowDxfId="500"/>
    <tableColumn id="15890" name="Columna15876" dataDxfId="17123" totalsRowDxfId="499"/>
    <tableColumn id="15891" name="Columna15877" dataDxfId="17122" totalsRowDxfId="498"/>
    <tableColumn id="15892" name="Columna15878" dataDxfId="17121" totalsRowDxfId="497"/>
    <tableColumn id="15893" name="Columna15879" dataDxfId="17120" totalsRowDxfId="496"/>
    <tableColumn id="15894" name="Columna15880" dataDxfId="17119" totalsRowDxfId="495"/>
    <tableColumn id="15895" name="Columna15881" dataDxfId="17118" totalsRowDxfId="494"/>
    <tableColumn id="15896" name="Columna15882" dataDxfId="17117" totalsRowDxfId="493"/>
    <tableColumn id="15897" name="Columna15883" dataDxfId="17116" totalsRowDxfId="492"/>
    <tableColumn id="15898" name="Columna15884" dataDxfId="17115" totalsRowDxfId="491"/>
    <tableColumn id="15899" name="Columna15885" dataDxfId="17114" totalsRowDxfId="490"/>
    <tableColumn id="15900" name="Columna15886" dataDxfId="17113" totalsRowDxfId="489"/>
    <tableColumn id="15901" name="Columna15887" dataDxfId="17112" totalsRowDxfId="488"/>
    <tableColumn id="15902" name="Columna15888" dataDxfId="17111" totalsRowDxfId="487"/>
    <tableColumn id="15903" name="Columna15889" dataDxfId="17110" totalsRowDxfId="486"/>
    <tableColumn id="15904" name="Columna15890" dataDxfId="17109" totalsRowDxfId="485"/>
    <tableColumn id="15905" name="Columna15891" dataDxfId="17108" totalsRowDxfId="484"/>
    <tableColumn id="15906" name="Columna15892" dataDxfId="17107" totalsRowDxfId="483"/>
    <tableColumn id="15907" name="Columna15893" dataDxfId="17106" totalsRowDxfId="482"/>
    <tableColumn id="15908" name="Columna15894" dataDxfId="17105" totalsRowDxfId="481"/>
    <tableColumn id="15909" name="Columna15895" dataDxfId="17104" totalsRowDxfId="480"/>
    <tableColumn id="15910" name="Columna15896" dataDxfId="17103" totalsRowDxfId="479"/>
    <tableColumn id="15911" name="Columna15897" dataDxfId="17102" totalsRowDxfId="478"/>
    <tableColumn id="15912" name="Columna15898" dataDxfId="17101" totalsRowDxfId="477"/>
    <tableColumn id="15913" name="Columna15899" dataDxfId="17100" totalsRowDxfId="476"/>
    <tableColumn id="15914" name="Columna15900" dataDxfId="17099" totalsRowDxfId="475"/>
    <tableColumn id="15915" name="Columna15901" dataDxfId="17098" totalsRowDxfId="474"/>
    <tableColumn id="15916" name="Columna15902" dataDxfId="17097" totalsRowDxfId="473"/>
    <tableColumn id="15917" name="Columna15903" dataDxfId="17096" totalsRowDxfId="472"/>
    <tableColumn id="15918" name="Columna15904" dataDxfId="17095" totalsRowDxfId="471"/>
    <tableColumn id="15919" name="Columna15905" dataDxfId="17094" totalsRowDxfId="470"/>
    <tableColumn id="15920" name="Columna15906" dataDxfId="17093" totalsRowDxfId="469"/>
    <tableColumn id="15921" name="Columna15907" dataDxfId="17092" totalsRowDxfId="468"/>
    <tableColumn id="15922" name="Columna15908" dataDxfId="17091" totalsRowDxfId="467"/>
    <tableColumn id="15923" name="Columna15909" dataDxfId="17090" totalsRowDxfId="466"/>
    <tableColumn id="15924" name="Columna15910" dataDxfId="17089" totalsRowDxfId="465"/>
    <tableColumn id="15925" name="Columna15911" dataDxfId="17088" totalsRowDxfId="464"/>
    <tableColumn id="15926" name="Columna15912" dataDxfId="17087" totalsRowDxfId="463"/>
    <tableColumn id="15927" name="Columna15913" dataDxfId="17086" totalsRowDxfId="462"/>
    <tableColumn id="15928" name="Columna15914" dataDxfId="17085" totalsRowDxfId="461"/>
    <tableColumn id="15929" name="Columna15915" dataDxfId="17084" totalsRowDxfId="460"/>
    <tableColumn id="15930" name="Columna15916" dataDxfId="17083" totalsRowDxfId="459"/>
    <tableColumn id="15931" name="Columna15917" dataDxfId="17082" totalsRowDxfId="458"/>
    <tableColumn id="15932" name="Columna15918" dataDxfId="17081" totalsRowDxfId="457"/>
    <tableColumn id="15933" name="Columna15919" dataDxfId="17080" totalsRowDxfId="456"/>
    <tableColumn id="15934" name="Columna15920" dataDxfId="17079" totalsRowDxfId="455"/>
    <tableColumn id="15935" name="Columna15921" dataDxfId="17078" totalsRowDxfId="454"/>
    <tableColumn id="15936" name="Columna15922" dataDxfId="17077" totalsRowDxfId="453"/>
    <tableColumn id="15937" name="Columna15923" dataDxfId="17076" totalsRowDxfId="452"/>
    <tableColumn id="15938" name="Columna15924" dataDxfId="17075" totalsRowDxfId="451"/>
    <tableColumn id="15939" name="Columna15925" dataDxfId="17074" totalsRowDxfId="450"/>
    <tableColumn id="15940" name="Columna15926" dataDxfId="17073" totalsRowDxfId="449"/>
    <tableColumn id="15941" name="Columna15927" dataDxfId="17072" totalsRowDxfId="448"/>
    <tableColumn id="15942" name="Columna15928" dataDxfId="17071" totalsRowDxfId="447"/>
    <tableColumn id="15943" name="Columna15929" dataDxfId="17070" totalsRowDxfId="446"/>
    <tableColumn id="15944" name="Columna15930" dataDxfId="17069" totalsRowDxfId="445"/>
    <tableColumn id="15945" name="Columna15931" dataDxfId="17068" totalsRowDxfId="444"/>
    <tableColumn id="15946" name="Columna15932" dataDxfId="17067" totalsRowDxfId="443"/>
    <tableColumn id="15947" name="Columna15933" dataDxfId="17066" totalsRowDxfId="442"/>
    <tableColumn id="15948" name="Columna15934" dataDxfId="17065" totalsRowDxfId="441"/>
    <tableColumn id="15949" name="Columna15935" dataDxfId="17064" totalsRowDxfId="440"/>
    <tableColumn id="15950" name="Columna15936" dataDxfId="17063" totalsRowDxfId="439"/>
    <tableColumn id="15951" name="Columna15937" dataDxfId="17062" totalsRowDxfId="438"/>
    <tableColumn id="15952" name="Columna15938" dataDxfId="17061" totalsRowDxfId="437"/>
    <tableColumn id="15953" name="Columna15939" dataDxfId="17060" totalsRowDxfId="436"/>
    <tableColumn id="15954" name="Columna15940" dataDxfId="17059" totalsRowDxfId="435"/>
    <tableColumn id="15955" name="Columna15941" dataDxfId="17058" totalsRowDxfId="434"/>
    <tableColumn id="15956" name="Columna15942" dataDxfId="17057" totalsRowDxfId="433"/>
    <tableColumn id="15957" name="Columna15943" dataDxfId="17056" totalsRowDxfId="432"/>
    <tableColumn id="15958" name="Columna15944" dataDxfId="17055" totalsRowDxfId="431"/>
    <tableColumn id="15959" name="Columna15945" dataDxfId="17054" totalsRowDxfId="430"/>
    <tableColumn id="15960" name="Columna15946" dataDxfId="17053" totalsRowDxfId="429"/>
    <tableColumn id="15961" name="Columna15947" dataDxfId="17052" totalsRowDxfId="428"/>
    <tableColumn id="15962" name="Columna15948" dataDxfId="17051" totalsRowDxfId="427"/>
    <tableColumn id="15963" name="Columna15949" dataDxfId="17050" totalsRowDxfId="426"/>
    <tableColumn id="15964" name="Columna15950" dataDxfId="17049" totalsRowDxfId="425"/>
    <tableColumn id="15965" name="Columna15951" dataDxfId="17048" totalsRowDxfId="424"/>
    <tableColumn id="15966" name="Columna15952" dataDxfId="17047" totalsRowDxfId="423"/>
    <tableColumn id="15967" name="Columna15953" dataDxfId="17046" totalsRowDxfId="422"/>
    <tableColumn id="15968" name="Columna15954" dataDxfId="17045" totalsRowDxfId="421"/>
    <tableColumn id="15969" name="Columna15955" dataDxfId="17044" totalsRowDxfId="420"/>
    <tableColumn id="15970" name="Columna15956" dataDxfId="17043" totalsRowDxfId="419"/>
    <tableColumn id="15971" name="Columna15957" dataDxfId="17042" totalsRowDxfId="418"/>
    <tableColumn id="15972" name="Columna15958" dataDxfId="17041" totalsRowDxfId="417"/>
    <tableColumn id="15973" name="Columna15959" dataDxfId="17040" totalsRowDxfId="416"/>
    <tableColumn id="15974" name="Columna15960" dataDxfId="17039" totalsRowDxfId="415"/>
    <tableColumn id="15975" name="Columna15961" dataDxfId="17038" totalsRowDxfId="414"/>
    <tableColumn id="15976" name="Columna15962" dataDxfId="17037" totalsRowDxfId="413"/>
    <tableColumn id="15977" name="Columna15963" dataDxfId="17036" totalsRowDxfId="412"/>
    <tableColumn id="15978" name="Columna15964" dataDxfId="17035" totalsRowDxfId="411"/>
    <tableColumn id="15979" name="Columna15965" dataDxfId="17034" totalsRowDxfId="410"/>
    <tableColumn id="15980" name="Columna15966" dataDxfId="17033" totalsRowDxfId="409"/>
    <tableColumn id="15981" name="Columna15967" dataDxfId="17032" totalsRowDxfId="408"/>
    <tableColumn id="15982" name="Columna15968" dataDxfId="17031" totalsRowDxfId="407"/>
    <tableColumn id="15983" name="Columna15969" dataDxfId="17030" totalsRowDxfId="406"/>
    <tableColumn id="15984" name="Columna15970" dataDxfId="17029" totalsRowDxfId="405"/>
    <tableColumn id="15985" name="Columna15971" dataDxfId="17028" totalsRowDxfId="404"/>
    <tableColumn id="15986" name="Columna15972" dataDxfId="17027" totalsRowDxfId="403"/>
    <tableColumn id="15987" name="Columna15973" dataDxfId="17026" totalsRowDxfId="402"/>
    <tableColumn id="15988" name="Columna15974" dataDxfId="17025" totalsRowDxfId="401"/>
    <tableColumn id="15989" name="Columna15975" dataDxfId="17024" totalsRowDxfId="400"/>
    <tableColumn id="15990" name="Columna15976" dataDxfId="17023" totalsRowDxfId="399"/>
    <tableColumn id="15991" name="Columna15977" dataDxfId="17022" totalsRowDxfId="398"/>
    <tableColumn id="15992" name="Columna15978" dataDxfId="17021" totalsRowDxfId="397"/>
    <tableColumn id="15993" name="Columna15979" dataDxfId="17020" totalsRowDxfId="396"/>
    <tableColumn id="15994" name="Columna15980" dataDxfId="17019" totalsRowDxfId="395"/>
    <tableColumn id="15995" name="Columna15981" dataDxfId="17018" totalsRowDxfId="394"/>
    <tableColumn id="15996" name="Columna15982" dataDxfId="17017" totalsRowDxfId="393"/>
    <tableColumn id="15997" name="Columna15983" dataDxfId="17016" totalsRowDxfId="392"/>
    <tableColumn id="15998" name="Columna15984" dataDxfId="17015" totalsRowDxfId="391"/>
    <tableColumn id="15999" name="Columna15985" dataDxfId="17014" totalsRowDxfId="390"/>
    <tableColumn id="16000" name="Columna15986" dataDxfId="17013" totalsRowDxfId="389"/>
    <tableColumn id="16001" name="Columna15987" dataDxfId="17012" totalsRowDxfId="388"/>
    <tableColumn id="16002" name="Columna15988" dataDxfId="17011" totalsRowDxfId="387"/>
    <tableColumn id="16003" name="Columna15989" dataDxfId="17010" totalsRowDxfId="386"/>
    <tableColumn id="16004" name="Columna15990" dataDxfId="17009" totalsRowDxfId="385"/>
    <tableColumn id="16005" name="Columna15991" dataDxfId="17008" totalsRowDxfId="384"/>
    <tableColumn id="16006" name="Columna15992" dataDxfId="17007" totalsRowDxfId="383"/>
    <tableColumn id="16007" name="Columna15993" dataDxfId="17006" totalsRowDxfId="382"/>
    <tableColumn id="16008" name="Columna15994" dataDxfId="17005" totalsRowDxfId="381"/>
    <tableColumn id="16009" name="Columna15995" dataDxfId="17004" totalsRowDxfId="380"/>
    <tableColumn id="16010" name="Columna15996" dataDxfId="17003" totalsRowDxfId="379"/>
    <tableColumn id="16011" name="Columna15997" dataDxfId="17002" totalsRowDxfId="378"/>
    <tableColumn id="16012" name="Columna15998" dataDxfId="17001" totalsRowDxfId="377"/>
    <tableColumn id="16013" name="Columna15999" dataDxfId="17000" totalsRowDxfId="376"/>
    <tableColumn id="16014" name="Columna16000" dataDxfId="16999" totalsRowDxfId="375"/>
    <tableColumn id="16015" name="Columna16001" dataDxfId="16998" totalsRowDxfId="374"/>
    <tableColumn id="16016" name="Columna16002" dataDxfId="16997" totalsRowDxfId="373"/>
    <tableColumn id="16017" name="Columna16003" dataDxfId="16996" totalsRowDxfId="372"/>
    <tableColumn id="16018" name="Columna16004" dataDxfId="16995" totalsRowDxfId="371"/>
    <tableColumn id="16019" name="Columna16005" dataDxfId="16994" totalsRowDxfId="370"/>
    <tableColumn id="16020" name="Columna16006" dataDxfId="16993" totalsRowDxfId="369"/>
    <tableColumn id="16021" name="Columna16007" dataDxfId="16992" totalsRowDxfId="368"/>
    <tableColumn id="16022" name="Columna16008" dataDxfId="16991" totalsRowDxfId="367"/>
    <tableColumn id="16023" name="Columna16009" dataDxfId="16990" totalsRowDxfId="366"/>
    <tableColumn id="16024" name="Columna16010" dataDxfId="16989" totalsRowDxfId="365"/>
    <tableColumn id="16025" name="Columna16011" dataDxfId="16988" totalsRowDxfId="364"/>
    <tableColumn id="16026" name="Columna16012" dataDxfId="16987" totalsRowDxfId="363"/>
    <tableColumn id="16027" name="Columna16013" dataDxfId="16986" totalsRowDxfId="362"/>
    <tableColumn id="16028" name="Columna16014" dataDxfId="16985" totalsRowDxfId="361"/>
    <tableColumn id="16029" name="Columna16015" dataDxfId="16984" totalsRowDxfId="360"/>
    <tableColumn id="16030" name="Columna16016" dataDxfId="16983" totalsRowDxfId="359"/>
    <tableColumn id="16031" name="Columna16017" dataDxfId="16982" totalsRowDxfId="358"/>
    <tableColumn id="16032" name="Columna16018" dataDxfId="16981" totalsRowDxfId="357"/>
    <tableColumn id="16033" name="Columna16019" dataDxfId="16980" totalsRowDxfId="356"/>
    <tableColumn id="16034" name="Columna16020" dataDxfId="16979" totalsRowDxfId="355"/>
    <tableColumn id="16035" name="Columna16021" dataDxfId="16978" totalsRowDxfId="354"/>
    <tableColumn id="16036" name="Columna16022" dataDxfId="16977" totalsRowDxfId="353"/>
    <tableColumn id="16037" name="Columna16023" dataDxfId="16976" totalsRowDxfId="352"/>
    <tableColumn id="16038" name="Columna16024" dataDxfId="16975" totalsRowDxfId="351"/>
    <tableColumn id="16039" name="Columna16025" dataDxfId="16974" totalsRowDxfId="350"/>
    <tableColumn id="16040" name="Columna16026" dataDxfId="16973" totalsRowDxfId="349"/>
    <tableColumn id="16041" name="Columna16027" dataDxfId="16972" totalsRowDxfId="348"/>
    <tableColumn id="16042" name="Columna16028" dataDxfId="16971" totalsRowDxfId="347"/>
    <tableColumn id="16043" name="Columna16029" dataDxfId="16970" totalsRowDxfId="346"/>
    <tableColumn id="16044" name="Columna16030" dataDxfId="16969" totalsRowDxfId="345"/>
    <tableColumn id="16045" name="Columna16031" dataDxfId="16968" totalsRowDxfId="344"/>
    <tableColumn id="16046" name="Columna16032" dataDxfId="16967" totalsRowDxfId="343"/>
    <tableColumn id="16047" name="Columna16033" dataDxfId="16966" totalsRowDxfId="342"/>
    <tableColumn id="16048" name="Columna16034" dataDxfId="16965" totalsRowDxfId="341"/>
    <tableColumn id="16049" name="Columna16035" dataDxfId="16964" totalsRowDxfId="340"/>
    <tableColumn id="16050" name="Columna16036" dataDxfId="16963" totalsRowDxfId="339"/>
    <tableColumn id="16051" name="Columna16037" dataDxfId="16962" totalsRowDxfId="338"/>
    <tableColumn id="16052" name="Columna16038" dataDxfId="16961" totalsRowDxfId="337"/>
    <tableColumn id="16053" name="Columna16039" dataDxfId="16960" totalsRowDxfId="336"/>
    <tableColumn id="16054" name="Columna16040" dataDxfId="16959" totalsRowDxfId="335"/>
    <tableColumn id="16055" name="Columna16041" dataDxfId="16958" totalsRowDxfId="334"/>
    <tableColumn id="16056" name="Columna16042" dataDxfId="16957" totalsRowDxfId="333"/>
    <tableColumn id="16057" name="Columna16043" dataDxfId="16956" totalsRowDxfId="332"/>
    <tableColumn id="16058" name="Columna16044" dataDxfId="16955" totalsRowDxfId="331"/>
    <tableColumn id="16059" name="Columna16045" dataDxfId="16954" totalsRowDxfId="330"/>
    <tableColumn id="16060" name="Columna16046" dataDxfId="16953" totalsRowDxfId="329"/>
    <tableColumn id="16061" name="Columna16047" dataDxfId="16952" totalsRowDxfId="328"/>
    <tableColumn id="16062" name="Columna16048" dataDxfId="16951" totalsRowDxfId="327"/>
    <tableColumn id="16063" name="Columna16049" dataDxfId="16950" totalsRowDxfId="326"/>
    <tableColumn id="16064" name="Columna16050" dataDxfId="16949" totalsRowDxfId="325"/>
    <tableColumn id="16065" name="Columna16051" dataDxfId="16948" totalsRowDxfId="324"/>
    <tableColumn id="16066" name="Columna16052" dataDxfId="16947" totalsRowDxfId="323"/>
    <tableColumn id="16067" name="Columna16053" dataDxfId="16946" totalsRowDxfId="322"/>
    <tableColumn id="16068" name="Columna16054" dataDxfId="16945" totalsRowDxfId="321"/>
    <tableColumn id="16069" name="Columna16055" dataDxfId="16944" totalsRowDxfId="320"/>
    <tableColumn id="16070" name="Columna16056" dataDxfId="16943" totalsRowDxfId="319"/>
    <tableColumn id="16071" name="Columna16057" dataDxfId="16942" totalsRowDxfId="318"/>
    <tableColumn id="16072" name="Columna16058" dataDxfId="16941" totalsRowDxfId="317"/>
    <tableColumn id="16073" name="Columna16059" dataDxfId="16940" totalsRowDxfId="316"/>
    <tableColumn id="16074" name="Columna16060" dataDxfId="16939" totalsRowDxfId="315"/>
    <tableColumn id="16075" name="Columna16061" dataDxfId="16938" totalsRowDxfId="314"/>
    <tableColumn id="16076" name="Columna16062" dataDxfId="16937" totalsRowDxfId="313"/>
    <tableColumn id="16077" name="Columna16063" dataDxfId="16936" totalsRowDxfId="312"/>
    <tableColumn id="16078" name="Columna16064" dataDxfId="16935" totalsRowDxfId="311"/>
    <tableColumn id="16079" name="Columna16065" dataDxfId="16934" totalsRowDxfId="310"/>
    <tableColumn id="16080" name="Columna16066" dataDxfId="16933" totalsRowDxfId="309"/>
    <tableColumn id="16081" name="Columna16067" dataDxfId="16932" totalsRowDxfId="308"/>
    <tableColumn id="16082" name="Columna16068" dataDxfId="16931" totalsRowDxfId="307"/>
    <tableColumn id="16083" name="Columna16069" dataDxfId="16930" totalsRowDxfId="306"/>
    <tableColumn id="16084" name="Columna16070" dataDxfId="16929" totalsRowDxfId="305"/>
    <tableColumn id="16085" name="Columna16071" dataDxfId="16928" totalsRowDxfId="304"/>
    <tableColumn id="16086" name="Columna16072" dataDxfId="16927" totalsRowDxfId="303"/>
    <tableColumn id="16087" name="Columna16073" dataDxfId="16926" totalsRowDxfId="302"/>
    <tableColumn id="16088" name="Columna16074" dataDxfId="16925" totalsRowDxfId="301"/>
    <tableColumn id="16089" name="Columna16075" dataDxfId="16924" totalsRowDxfId="300"/>
    <tableColumn id="16090" name="Columna16076" dataDxfId="16923" totalsRowDxfId="299"/>
    <tableColumn id="16091" name="Columna16077" dataDxfId="16922" totalsRowDxfId="298"/>
    <tableColumn id="16092" name="Columna16078" dataDxfId="16921" totalsRowDxfId="297"/>
    <tableColumn id="16093" name="Columna16079" dataDxfId="16920" totalsRowDxfId="296"/>
    <tableColumn id="16094" name="Columna16080" dataDxfId="16919" totalsRowDxfId="295"/>
    <tableColumn id="16095" name="Columna16081" dataDxfId="16918" totalsRowDxfId="294"/>
    <tableColumn id="16096" name="Columna16082" dataDxfId="16917" totalsRowDxfId="293"/>
    <tableColumn id="16097" name="Columna16083" dataDxfId="16916" totalsRowDxfId="292"/>
    <tableColumn id="16098" name="Columna16084" dataDxfId="16915" totalsRowDxfId="291"/>
    <tableColumn id="16099" name="Columna16085" dataDxfId="16914" totalsRowDxfId="290"/>
    <tableColumn id="16100" name="Columna16086" dataDxfId="16913" totalsRowDxfId="289"/>
    <tableColumn id="16101" name="Columna16087" dataDxfId="16912" totalsRowDxfId="288"/>
    <tableColumn id="16102" name="Columna16088" dataDxfId="16911" totalsRowDxfId="287"/>
    <tableColumn id="16103" name="Columna16089" dataDxfId="16910" totalsRowDxfId="286"/>
    <tableColumn id="16104" name="Columna16090" dataDxfId="16909" totalsRowDxfId="285"/>
    <tableColumn id="16105" name="Columna16091" dataDxfId="16908" totalsRowDxfId="284"/>
    <tableColumn id="16106" name="Columna16092" dataDxfId="16907" totalsRowDxfId="283"/>
    <tableColumn id="16107" name="Columna16093" dataDxfId="16906" totalsRowDxfId="282"/>
    <tableColumn id="16108" name="Columna16094" dataDxfId="16905" totalsRowDxfId="281"/>
    <tableColumn id="16109" name="Columna16095" dataDxfId="16904" totalsRowDxfId="280"/>
    <tableColumn id="16110" name="Columna16096" dataDxfId="16903" totalsRowDxfId="279"/>
    <tableColumn id="16111" name="Columna16097" dataDxfId="16902" totalsRowDxfId="278"/>
    <tableColumn id="16112" name="Columna16098" dataDxfId="16901" totalsRowDxfId="277"/>
    <tableColumn id="16113" name="Columna16099" dataDxfId="16900" totalsRowDxfId="276"/>
    <tableColumn id="16114" name="Columna16100" dataDxfId="16899" totalsRowDxfId="275"/>
    <tableColumn id="16115" name="Columna16101" dataDxfId="16898" totalsRowDxfId="274"/>
    <tableColumn id="16116" name="Columna16102" dataDxfId="16897" totalsRowDxfId="273"/>
    <tableColumn id="16117" name="Columna16103" dataDxfId="16896" totalsRowDxfId="272"/>
    <tableColumn id="16118" name="Columna16104" dataDxfId="16895" totalsRowDxfId="271"/>
    <tableColumn id="16119" name="Columna16105" dataDxfId="16894" totalsRowDxfId="270"/>
    <tableColumn id="16120" name="Columna16106" dataDxfId="16893" totalsRowDxfId="269"/>
    <tableColumn id="16121" name="Columna16107" dataDxfId="16892" totalsRowDxfId="268"/>
    <tableColumn id="16122" name="Columna16108" dataDxfId="16891" totalsRowDxfId="267"/>
    <tableColumn id="16123" name="Columna16109" dataDxfId="16890" totalsRowDxfId="266"/>
    <tableColumn id="16124" name="Columna16110" dataDxfId="16889" totalsRowDxfId="265"/>
    <tableColumn id="16125" name="Columna16111" dataDxfId="16888" totalsRowDxfId="264"/>
    <tableColumn id="16126" name="Columna16112" dataDxfId="16887" totalsRowDxfId="263"/>
    <tableColumn id="16127" name="Columna16113" dataDxfId="16886" totalsRowDxfId="262"/>
    <tableColumn id="16128" name="Columna16114" dataDxfId="16885" totalsRowDxfId="261"/>
    <tableColumn id="16129" name="Columna16115" dataDxfId="16884" totalsRowDxfId="260"/>
    <tableColumn id="16130" name="Columna16116" dataDxfId="16883" totalsRowDxfId="259"/>
    <tableColumn id="16131" name="Columna16117" dataDxfId="16882" totalsRowDxfId="258"/>
    <tableColumn id="16132" name="Columna16118" dataDxfId="16881" totalsRowDxfId="257"/>
    <tableColumn id="16133" name="Columna16119" dataDxfId="16880" totalsRowDxfId="256"/>
    <tableColumn id="16134" name="Columna16120" dataDxfId="16879" totalsRowDxfId="255"/>
    <tableColumn id="16135" name="Columna16121" dataDxfId="16878" totalsRowDxfId="254"/>
    <tableColumn id="16136" name="Columna16122" dataDxfId="16877" totalsRowDxfId="253"/>
    <tableColumn id="16137" name="Columna16123" dataDxfId="16876" totalsRowDxfId="252"/>
    <tableColumn id="16138" name="Columna16124" dataDxfId="16875" totalsRowDxfId="251"/>
    <tableColumn id="16139" name="Columna16125" dataDxfId="16874" totalsRowDxfId="250"/>
    <tableColumn id="16140" name="Columna16126" dataDxfId="16873" totalsRowDxfId="249"/>
    <tableColumn id="16141" name="Columna16127" dataDxfId="16872" totalsRowDxfId="248"/>
    <tableColumn id="16142" name="Columna16128" dataDxfId="16871" totalsRowDxfId="247"/>
    <tableColumn id="16143" name="Columna16129" dataDxfId="16870" totalsRowDxfId="246"/>
    <tableColumn id="16144" name="Columna16130" dataDxfId="16869" totalsRowDxfId="245"/>
    <tableColumn id="16145" name="Columna16131" dataDxfId="16868" totalsRowDxfId="244"/>
    <tableColumn id="16146" name="Columna16132" dataDxfId="16867" totalsRowDxfId="243"/>
    <tableColumn id="16147" name="Columna16133" dataDxfId="16866" totalsRowDxfId="242"/>
    <tableColumn id="16148" name="Columna16134" dataDxfId="16865" totalsRowDxfId="241"/>
    <tableColumn id="16149" name="Columna16135" dataDxfId="16864" totalsRowDxfId="240"/>
    <tableColumn id="16150" name="Columna16136" dataDxfId="16863" totalsRowDxfId="239"/>
    <tableColumn id="16151" name="Columna16137" dataDxfId="16862" totalsRowDxfId="238"/>
    <tableColumn id="16152" name="Columna16138" dataDxfId="16861" totalsRowDxfId="237"/>
    <tableColumn id="16153" name="Columna16139" dataDxfId="16860" totalsRowDxfId="236"/>
    <tableColumn id="16154" name="Columna16140" dataDxfId="16859" totalsRowDxfId="235"/>
    <tableColumn id="16155" name="Columna16141" dataDxfId="16858" totalsRowDxfId="234"/>
    <tableColumn id="16156" name="Columna16142" dataDxfId="16857" totalsRowDxfId="233"/>
    <tableColumn id="16157" name="Columna16143" dataDxfId="16856" totalsRowDxfId="232"/>
    <tableColumn id="16158" name="Columna16144" dataDxfId="16855" totalsRowDxfId="231"/>
    <tableColumn id="16159" name="Columna16145" dataDxfId="16854" totalsRowDxfId="230"/>
    <tableColumn id="16160" name="Columna16146" dataDxfId="16853" totalsRowDxfId="229"/>
    <tableColumn id="16161" name="Columna16147" dataDxfId="16852" totalsRowDxfId="228"/>
    <tableColumn id="16162" name="Columna16148" dataDxfId="16851" totalsRowDxfId="227"/>
    <tableColumn id="16163" name="Columna16149" dataDxfId="16850" totalsRowDxfId="226"/>
    <tableColumn id="16164" name="Columna16150" dataDxfId="16849" totalsRowDxfId="225"/>
    <tableColumn id="16165" name="Columna16151" dataDxfId="16848" totalsRowDxfId="224"/>
    <tableColumn id="16166" name="Columna16152" dataDxfId="16847" totalsRowDxfId="223"/>
    <tableColumn id="16167" name="Columna16153" dataDxfId="16846" totalsRowDxfId="222"/>
    <tableColumn id="16168" name="Columna16154" dataDxfId="16845" totalsRowDxfId="221"/>
    <tableColumn id="16169" name="Columna16155" dataDxfId="16844" totalsRowDxfId="220"/>
    <tableColumn id="16170" name="Columna16156" dataDxfId="16843" totalsRowDxfId="219"/>
    <tableColumn id="16171" name="Columna16157" dataDxfId="16842" totalsRowDxfId="218"/>
    <tableColumn id="16172" name="Columna16158" dataDxfId="16841" totalsRowDxfId="217"/>
    <tableColumn id="16173" name="Columna16159" dataDxfId="16840" totalsRowDxfId="216"/>
    <tableColumn id="16174" name="Columna16160" dataDxfId="16839" totalsRowDxfId="215"/>
    <tableColumn id="16175" name="Columna16161" dataDxfId="16838" totalsRowDxfId="214"/>
    <tableColumn id="16176" name="Columna16162" dataDxfId="16837" totalsRowDxfId="213"/>
    <tableColumn id="16177" name="Columna16163" dataDxfId="16836" totalsRowDxfId="212"/>
    <tableColumn id="16178" name="Columna16164" dataDxfId="16835" totalsRowDxfId="211"/>
    <tableColumn id="16179" name="Columna16165" dataDxfId="16834" totalsRowDxfId="210"/>
    <tableColumn id="16180" name="Columna16166" dataDxfId="16833" totalsRowDxfId="209"/>
    <tableColumn id="16181" name="Columna16167" dataDxfId="16832" totalsRowDxfId="208"/>
    <tableColumn id="16182" name="Columna16168" dataDxfId="16831" totalsRowDxfId="207"/>
    <tableColumn id="16183" name="Columna16169" dataDxfId="16830" totalsRowDxfId="206"/>
    <tableColumn id="16184" name="Columna16170" dataDxfId="16829" totalsRowDxfId="205"/>
    <tableColumn id="16185" name="Columna16171" dataDxfId="16828" totalsRowDxfId="204"/>
    <tableColumn id="16186" name="Columna16172" dataDxfId="16827" totalsRowDxfId="203"/>
    <tableColumn id="16187" name="Columna16173" dataDxfId="16826" totalsRowDxfId="202"/>
    <tableColumn id="16188" name="Columna16174" dataDxfId="16825" totalsRowDxfId="201"/>
    <tableColumn id="16189" name="Columna16175" dataDxfId="16824" totalsRowDxfId="200"/>
    <tableColumn id="16190" name="Columna16176" dataDxfId="16823" totalsRowDxfId="199"/>
    <tableColumn id="16191" name="Columna16177" dataDxfId="16822" totalsRowDxfId="198"/>
    <tableColumn id="16192" name="Columna16178" dataDxfId="16821" totalsRowDxfId="197"/>
    <tableColumn id="16193" name="Columna16179" dataDxfId="16820" totalsRowDxfId="196"/>
    <tableColumn id="16194" name="Columna16180" dataDxfId="16819" totalsRowDxfId="195"/>
    <tableColumn id="16195" name="Columna16181" dataDxfId="16818" totalsRowDxfId="194"/>
    <tableColumn id="16196" name="Columna16182" dataDxfId="16817" totalsRowDxfId="193"/>
    <tableColumn id="16197" name="Columna16183" dataDxfId="16816" totalsRowDxfId="192"/>
    <tableColumn id="16198" name="Columna16184" dataDxfId="16815" totalsRowDxfId="191"/>
    <tableColumn id="16199" name="Columna16185" dataDxfId="16814" totalsRowDxfId="190"/>
    <tableColumn id="16200" name="Columna16186" dataDxfId="16813" totalsRowDxfId="189"/>
    <tableColumn id="16201" name="Columna16187" dataDxfId="16812" totalsRowDxfId="188"/>
    <tableColumn id="16202" name="Columna16188" dataDxfId="16811" totalsRowDxfId="187"/>
    <tableColumn id="16203" name="Columna16189" dataDxfId="16810" totalsRowDxfId="186"/>
    <tableColumn id="16204" name="Columna16190" dataDxfId="16809" totalsRowDxfId="185"/>
    <tableColumn id="16205" name="Columna16191" dataDxfId="16808" totalsRowDxfId="184"/>
    <tableColumn id="16206" name="Columna16192" dataDxfId="16807" totalsRowDxfId="183"/>
    <tableColumn id="16207" name="Columna16193" dataDxfId="16806" totalsRowDxfId="182"/>
    <tableColumn id="16208" name="Columna16194" dataDxfId="16805" totalsRowDxfId="181"/>
    <tableColumn id="16209" name="Columna16195" dataDxfId="16804" totalsRowDxfId="180"/>
    <tableColumn id="16210" name="Columna16196" dataDxfId="16803" totalsRowDxfId="179"/>
    <tableColumn id="16211" name="Columna16197" dataDxfId="16802" totalsRowDxfId="178"/>
    <tableColumn id="16212" name="Columna16198" dataDxfId="16801" totalsRowDxfId="177"/>
    <tableColumn id="16213" name="Columna16199" dataDxfId="16800" totalsRowDxfId="176"/>
    <tableColumn id="16214" name="Columna16200" dataDxfId="16799" totalsRowDxfId="175"/>
    <tableColumn id="16215" name="Columna16201" dataDxfId="16798" totalsRowDxfId="174"/>
    <tableColumn id="16216" name="Columna16202" dataDxfId="16797" totalsRowDxfId="173"/>
    <tableColumn id="16217" name="Columna16203" dataDxfId="16796" totalsRowDxfId="172"/>
    <tableColumn id="16218" name="Columna16204" dataDxfId="16795" totalsRowDxfId="171"/>
    <tableColumn id="16219" name="Columna16205" dataDxfId="16794" totalsRowDxfId="170"/>
    <tableColumn id="16220" name="Columna16206" dataDxfId="16793" totalsRowDxfId="169"/>
    <tableColumn id="16221" name="Columna16207" dataDxfId="16792" totalsRowDxfId="168"/>
    <tableColumn id="16222" name="Columna16208" dataDxfId="16791" totalsRowDxfId="167"/>
    <tableColumn id="16223" name="Columna16209" dataDxfId="16790" totalsRowDxfId="166"/>
    <tableColumn id="16224" name="Columna16210" dataDxfId="16789" totalsRowDxfId="165"/>
    <tableColumn id="16225" name="Columna16211" dataDxfId="16788" totalsRowDxfId="164"/>
    <tableColumn id="16226" name="Columna16212" dataDxfId="16787" totalsRowDxfId="163"/>
    <tableColumn id="16227" name="Columna16213" dataDxfId="16786" totalsRowDxfId="162"/>
    <tableColumn id="16228" name="Columna16214" dataDxfId="16785" totalsRowDxfId="161"/>
    <tableColumn id="16229" name="Columna16215" dataDxfId="16784" totalsRowDxfId="160"/>
    <tableColumn id="16230" name="Columna16216" dataDxfId="16783" totalsRowDxfId="159"/>
    <tableColumn id="16231" name="Columna16217" dataDxfId="16782" totalsRowDxfId="158"/>
    <tableColumn id="16232" name="Columna16218" dataDxfId="16781" totalsRowDxfId="157"/>
    <tableColumn id="16233" name="Columna16219" dataDxfId="16780" totalsRowDxfId="156"/>
    <tableColumn id="16234" name="Columna16220" dataDxfId="16779" totalsRowDxfId="155"/>
    <tableColumn id="16235" name="Columna16221" dataDxfId="16778" totalsRowDxfId="154"/>
    <tableColumn id="16236" name="Columna16222" dataDxfId="16777" totalsRowDxfId="153"/>
    <tableColumn id="16237" name="Columna16223" dataDxfId="16776" totalsRowDxfId="152"/>
    <tableColumn id="16238" name="Columna16224" dataDxfId="16775" totalsRowDxfId="151"/>
    <tableColumn id="16239" name="Columna16225" dataDxfId="16774" totalsRowDxfId="150"/>
    <tableColumn id="16240" name="Columna16226" dataDxfId="16773" totalsRowDxfId="149"/>
    <tableColumn id="16241" name="Columna16227" dataDxfId="16772" totalsRowDxfId="148"/>
    <tableColumn id="16242" name="Columna16228" dataDxfId="16771" totalsRowDxfId="147"/>
    <tableColumn id="16243" name="Columna16229" dataDxfId="16770" totalsRowDxfId="146"/>
    <tableColumn id="16244" name="Columna16230" dataDxfId="16769" totalsRowDxfId="145"/>
    <tableColumn id="16245" name="Columna16231" dataDxfId="16768" totalsRowDxfId="144"/>
    <tableColumn id="16246" name="Columna16232" dataDxfId="16767" totalsRowDxfId="143"/>
    <tableColumn id="16247" name="Columna16233" dataDxfId="16766" totalsRowDxfId="142"/>
    <tableColumn id="16248" name="Columna16234" dataDxfId="16765" totalsRowDxfId="141"/>
    <tableColumn id="16249" name="Columna16235" dataDxfId="16764" totalsRowDxfId="140"/>
    <tableColumn id="16250" name="Columna16236" dataDxfId="16763" totalsRowDxfId="139"/>
    <tableColumn id="16251" name="Columna16237" dataDxfId="16762" totalsRowDxfId="138"/>
    <tableColumn id="16252" name="Columna16238" dataDxfId="16761" totalsRowDxfId="137"/>
    <tableColumn id="16253" name="Columna16239" dataDxfId="16760" totalsRowDxfId="136"/>
    <tableColumn id="16254" name="Columna16240" dataDxfId="16759" totalsRowDxfId="135"/>
    <tableColumn id="16255" name="Columna16241" dataDxfId="16758" totalsRowDxfId="134"/>
    <tableColumn id="16256" name="Columna16242" dataDxfId="16757" totalsRowDxfId="133"/>
    <tableColumn id="16257" name="Columna16243" dataDxfId="16756" totalsRowDxfId="132"/>
    <tableColumn id="16258" name="Columna16244" dataDxfId="16755" totalsRowDxfId="131"/>
    <tableColumn id="16259" name="Columna16245" dataDxfId="16754" totalsRowDxfId="130"/>
    <tableColumn id="16260" name="Columna16246" dataDxfId="16753" totalsRowDxfId="129"/>
    <tableColumn id="16261" name="Columna16247" dataDxfId="16752" totalsRowDxfId="128"/>
    <tableColumn id="16262" name="Columna16248" dataDxfId="16751" totalsRowDxfId="127"/>
    <tableColumn id="16263" name="Columna16249" dataDxfId="16750" totalsRowDxfId="126"/>
    <tableColumn id="16264" name="Columna16250" dataDxfId="16749" totalsRowDxfId="125"/>
    <tableColumn id="16265" name="Columna16251" dataDxfId="16748" totalsRowDxfId="124"/>
    <tableColumn id="16266" name="Columna16252" dataDxfId="16747" totalsRowDxfId="123"/>
    <tableColumn id="16267" name="Columna16253" dataDxfId="16746" totalsRowDxfId="122"/>
    <tableColumn id="16268" name="Columna16254" dataDxfId="16745" totalsRowDxfId="121"/>
    <tableColumn id="16269" name="Columna16255" dataDxfId="16744" totalsRowDxfId="120"/>
    <tableColumn id="16270" name="Columna16256" dataDxfId="16743" totalsRowDxfId="119"/>
    <tableColumn id="16271" name="Columna16257" dataDxfId="16742" totalsRowDxfId="118"/>
    <tableColumn id="16272" name="Columna16258" dataDxfId="16741" totalsRowDxfId="117"/>
    <tableColumn id="16273" name="Columna16259" dataDxfId="16740" totalsRowDxfId="116"/>
    <tableColumn id="16274" name="Columna16260" dataDxfId="16739" totalsRowDxfId="115"/>
    <tableColumn id="16275" name="Columna16261" dataDxfId="16738" totalsRowDxfId="114"/>
    <tableColumn id="16276" name="Columna16262" dataDxfId="16737" totalsRowDxfId="113"/>
    <tableColumn id="16277" name="Columna16263" dataDxfId="16736" totalsRowDxfId="112"/>
    <tableColumn id="16278" name="Columna16264" dataDxfId="16735" totalsRowDxfId="111"/>
    <tableColumn id="16279" name="Columna16265" dataDxfId="16734" totalsRowDxfId="110"/>
    <tableColumn id="16280" name="Columna16266" dataDxfId="16733" totalsRowDxfId="109"/>
    <tableColumn id="16281" name="Columna16267" dataDxfId="16732" totalsRowDxfId="108"/>
    <tableColumn id="16282" name="Columna16268" dataDxfId="16731" totalsRowDxfId="107"/>
    <tableColumn id="16283" name="Columna16269" dataDxfId="16730" totalsRowDxfId="106"/>
    <tableColumn id="16284" name="Columna16270" dataDxfId="16729" totalsRowDxfId="105"/>
    <tableColumn id="16285" name="Columna16271" dataDxfId="16728" totalsRowDxfId="104"/>
    <tableColumn id="16286" name="Columna16272" dataDxfId="16727" totalsRowDxfId="103"/>
    <tableColumn id="16287" name="Columna16273" dataDxfId="16726" totalsRowDxfId="102"/>
    <tableColumn id="16288" name="Columna16274" dataDxfId="16725" totalsRowDxfId="101"/>
    <tableColumn id="16289" name="Columna16275" dataDxfId="16724" totalsRowDxfId="100"/>
    <tableColumn id="16290" name="Columna16276" dataDxfId="16723" totalsRowDxfId="99"/>
    <tableColumn id="16291" name="Columna16277" dataDxfId="16722" totalsRowDxfId="98"/>
    <tableColumn id="16292" name="Columna16278" dataDxfId="16721" totalsRowDxfId="97"/>
    <tableColumn id="16293" name="Columna16279" dataDxfId="16720" totalsRowDxfId="96"/>
    <tableColumn id="16294" name="Columna16280" dataDxfId="16719" totalsRowDxfId="95"/>
    <tableColumn id="16295" name="Columna16281" dataDxfId="16718" totalsRowDxfId="94"/>
    <tableColumn id="16296" name="Columna16282" dataDxfId="16717" totalsRowDxfId="93"/>
    <tableColumn id="16297" name="Columna16283" dataDxfId="16716" totalsRowDxfId="92"/>
    <tableColumn id="16298" name="Columna16284" dataDxfId="16715" totalsRowDxfId="91"/>
    <tableColumn id="16299" name="Columna16285" dataDxfId="16714" totalsRowDxfId="90"/>
    <tableColumn id="16300" name="Columna16286" dataDxfId="16713" totalsRowDxfId="89"/>
    <tableColumn id="16301" name="Columna16287" dataDxfId="16712" totalsRowDxfId="88"/>
    <tableColumn id="16302" name="Columna16288" dataDxfId="16711" totalsRowDxfId="87"/>
    <tableColumn id="16303" name="Columna16289" dataDxfId="16710" totalsRowDxfId="86"/>
    <tableColumn id="16304" name="Columna16290" dataDxfId="16709" totalsRowDxfId="85"/>
    <tableColumn id="16305" name="Columna16291" dataDxfId="16708" totalsRowDxfId="84"/>
    <tableColumn id="16306" name="Columna16292" dataDxfId="16707" totalsRowDxfId="83"/>
    <tableColumn id="16307" name="Columna16293" dataDxfId="16706" totalsRowDxfId="82"/>
    <tableColumn id="16308" name="Columna16294" dataDxfId="16705" totalsRowDxfId="81"/>
    <tableColumn id="16309" name="Columna16295" dataDxfId="16704" totalsRowDxfId="80"/>
    <tableColumn id="16310" name="Columna16296" dataDxfId="16703" totalsRowDxfId="79"/>
    <tableColumn id="16311" name="Columna16297" dataDxfId="16702" totalsRowDxfId="78"/>
    <tableColumn id="16312" name="Columna16298" dataDxfId="16701" totalsRowDxfId="77"/>
    <tableColumn id="16313" name="Columna16299" dataDxfId="16700" totalsRowDxfId="76"/>
    <tableColumn id="16314" name="Columna16300" dataDxfId="16699" totalsRowDxfId="75"/>
    <tableColumn id="16315" name="Columna16301" dataDxfId="16698" totalsRowDxfId="74"/>
    <tableColumn id="16316" name="Columna16302" dataDxfId="16697" totalsRowDxfId="73"/>
    <tableColumn id="16317" name="Columna16303" dataDxfId="16696" totalsRowDxfId="72"/>
    <tableColumn id="16318" name="Columna16304" dataDxfId="16695" totalsRowDxfId="71"/>
    <tableColumn id="16319" name="Columna16305" dataDxfId="16694" totalsRowDxfId="70"/>
    <tableColumn id="16320" name="Columna16306" dataDxfId="16693" totalsRowDxfId="69"/>
    <tableColumn id="16321" name="Columna16307" dataDxfId="16692" totalsRowDxfId="68"/>
    <tableColumn id="16322" name="Columna16308" dataDxfId="16691" totalsRowDxfId="67"/>
    <tableColumn id="16323" name="Columna16309" dataDxfId="16690" totalsRowDxfId="66"/>
    <tableColumn id="16324" name="Columna16310" dataDxfId="16689" totalsRowDxfId="65"/>
    <tableColumn id="16325" name="Columna16311" dataDxfId="16688" totalsRowDxfId="64"/>
    <tableColumn id="16326" name="Columna16312" dataDxfId="16687" totalsRowDxfId="63"/>
    <tableColumn id="16327" name="Columna16313" dataDxfId="16686" totalsRowDxfId="62"/>
    <tableColumn id="16328" name="Columna16314" dataDxfId="16685" totalsRowDxfId="61"/>
    <tableColumn id="16329" name="Columna16315" dataDxfId="16684" totalsRowDxfId="60"/>
    <tableColumn id="16330" name="Columna16316" dataDxfId="16683" totalsRowDxfId="59"/>
    <tableColumn id="16331" name="Columna16317" dataDxfId="16682" totalsRowDxfId="58"/>
    <tableColumn id="16332" name="Columna16318" dataDxfId="16681" totalsRowDxfId="57"/>
    <tableColumn id="16333" name="Columna16319" dataDxfId="16680" totalsRowDxfId="56"/>
    <tableColumn id="16334" name="Columna16320" dataDxfId="16679" totalsRowDxfId="55"/>
    <tableColumn id="16335" name="Columna16321" dataDxfId="16678" totalsRowDxfId="54"/>
    <tableColumn id="16336" name="Columna16322" dataDxfId="16677" totalsRowDxfId="53"/>
    <tableColumn id="16337" name="Columna16323" dataDxfId="16676" totalsRowDxfId="52"/>
    <tableColumn id="16338" name="Columna16324" dataDxfId="16675" totalsRowDxfId="51"/>
    <tableColumn id="16339" name="Columna16325" dataDxfId="16674" totalsRowDxfId="50"/>
    <tableColumn id="16340" name="Columna16326" dataDxfId="16673" totalsRowDxfId="49"/>
    <tableColumn id="16341" name="Columna16327" dataDxfId="16672" totalsRowDxfId="48"/>
    <tableColumn id="16342" name="Columna16328" dataDxfId="16671" totalsRowDxfId="47"/>
    <tableColumn id="16343" name="Columna16329" dataDxfId="16670" totalsRowDxfId="46"/>
    <tableColumn id="16344" name="Columna16330" dataDxfId="16669" totalsRowDxfId="45"/>
    <tableColumn id="16345" name="Columna16331" dataDxfId="16668" totalsRowDxfId="44"/>
    <tableColumn id="16346" name="Columna16332" dataDxfId="16667" totalsRowDxfId="43"/>
    <tableColumn id="16347" name="Columna16333" dataDxfId="16666" totalsRowDxfId="42"/>
    <tableColumn id="16348" name="Columna16334" dataDxfId="16665" totalsRowDxfId="41"/>
    <tableColumn id="16349" name="Columna16335" dataDxfId="16664" totalsRowDxfId="40"/>
    <tableColumn id="16350" name="Columna16336" dataDxfId="16663" totalsRowDxfId="39"/>
    <tableColumn id="16351" name="Columna16337" dataDxfId="16662" totalsRowDxfId="38"/>
    <tableColumn id="16352" name="Columna16338" dataDxfId="16661" totalsRowDxfId="37"/>
    <tableColumn id="16353" name="Columna16339" dataDxfId="16660" totalsRowDxfId="36"/>
    <tableColumn id="16354" name="Columna16340" dataDxfId="16659" totalsRowDxfId="35"/>
    <tableColumn id="16355" name="Columna16341" dataDxfId="16658" totalsRowDxfId="34"/>
    <tableColumn id="16356" name="Columna16342" dataDxfId="16657" totalsRowDxfId="33"/>
    <tableColumn id="16357" name="Columna16343" dataDxfId="16656" totalsRowDxfId="32"/>
    <tableColumn id="16358" name="Columna16344" dataDxfId="16655" totalsRowDxfId="31"/>
    <tableColumn id="16359" name="Columna16345" dataDxfId="16654" totalsRowDxfId="30"/>
    <tableColumn id="16360" name="Columna16346" dataDxfId="16653" totalsRowDxfId="29"/>
    <tableColumn id="16361" name="Columna16347" dataDxfId="16652" totalsRowDxfId="28"/>
    <tableColumn id="16362" name="Columna16348" dataDxfId="16651" totalsRowDxfId="27"/>
    <tableColumn id="16363" name="Columna16349" dataDxfId="16650" totalsRowDxfId="26"/>
    <tableColumn id="16364" name="Columna16350" dataDxfId="16649" totalsRowDxfId="25"/>
    <tableColumn id="16365" name="Columna16351" dataDxfId="16648" totalsRowDxfId="24"/>
    <tableColumn id="16366" name="Columna16352" dataDxfId="16647" totalsRowDxfId="23"/>
    <tableColumn id="16367" name="Columna16353" dataDxfId="16646" totalsRowDxfId="22"/>
    <tableColumn id="16368" name="Columna16354" dataDxfId="16645" totalsRowDxfId="21"/>
    <tableColumn id="16369" name="Columna16355" dataDxfId="16644" totalsRowDxfId="20"/>
    <tableColumn id="16370" name="Columna16356" dataDxfId="16643" totalsRowDxfId="19"/>
    <tableColumn id="16371" name="Columna16357" dataDxfId="16642" totalsRowDxfId="18"/>
    <tableColumn id="16372" name="Columna16358" dataDxfId="16641" totalsRowDxfId="17"/>
    <tableColumn id="16373" name="Columna16359" dataDxfId="16640" totalsRowDxfId="16"/>
    <tableColumn id="16374" name="Columna16360" dataDxfId="16639" totalsRowDxfId="15"/>
    <tableColumn id="16375" name="Columna16361" dataDxfId="16638" totalsRowDxfId="14"/>
    <tableColumn id="16376" name="Columna16362" dataDxfId="16637" totalsRowDxfId="13"/>
    <tableColumn id="16377" name="Columna16363" dataDxfId="16636" totalsRowDxfId="12"/>
    <tableColumn id="16378" name="Columna16364" dataDxfId="16635" totalsRowDxfId="11"/>
    <tableColumn id="16379" name="Columna16365" dataDxfId="16634" totalsRowDxfId="10"/>
    <tableColumn id="16380" name="Columna16366" dataDxfId="16633" totalsRowDxfId="9"/>
    <tableColumn id="16381" name="Columna16367" dataDxfId="16632" totalsRowDxfId="8"/>
    <tableColumn id="16382" name="Columna16368" dataDxfId="16631" totalsRowDxfId="7"/>
    <tableColumn id="16383" name="Columna16369" dataDxfId="16630" totalsRowDxfId="6"/>
    <tableColumn id="16384" name="Columna16370" dataDxfId="16629" totalsRowDxfId="5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id="5" name="Tabla5" displayName="Tabla5" ref="B1:F13" totalsRowCount="1">
  <autoFilter ref="B1:F12"/>
  <tableColumns count="5">
    <tableColumn id="1" name="NOTA" totalsRowLabel="Total" dataDxfId="16628" totalsRowDxfId="4"/>
    <tableColumn id="2" name="FECHA" dataDxfId="16627" totalsRowDxfId="3"/>
    <tableColumn id="3" name="NOMBRE" totalsRowFunction="count" dataDxfId="16626" totalsRowDxfId="2"/>
    <tableColumn id="4" name="IMPORTE" totalsRowFunction="custom" dataDxfId="16625" totalsRowDxfId="1">
      <totalsRowFormula>SUM(E2:E12)</totalsRowFormula>
    </tableColumn>
    <tableColumn id="5" name="COMENTARIOS" dataDxfId="16624" totalsRow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31"/>
  <sheetViews>
    <sheetView zoomScaleNormal="100" workbookViewId="0">
      <pane ySplit="1" topLeftCell="A2" activePane="bottomLeft" state="frozen"/>
      <selection pane="bottomLeft" activeCell="B5" sqref="B5"/>
    </sheetView>
  </sheetViews>
  <sheetFormatPr baseColWidth="10" defaultColWidth="11.42578125" defaultRowHeight="11.25"/>
  <cols>
    <col min="1" max="1" width="4.85546875" style="40" customWidth="1"/>
    <col min="2" max="2" width="18.28515625" style="40" customWidth="1"/>
    <col min="3" max="3" width="11.85546875" style="40" customWidth="1"/>
    <col min="4" max="4" width="14.140625" style="40" customWidth="1"/>
    <col min="5" max="5" width="37.140625" style="30" customWidth="1"/>
    <col min="6" max="6" width="19.140625" style="40" customWidth="1"/>
    <col min="7" max="7" width="6.7109375" style="40" customWidth="1"/>
    <col min="8" max="8" width="7.140625" style="40" customWidth="1"/>
    <col min="9" max="9" width="10.5703125" style="47" customWidth="1"/>
    <col min="10" max="10" width="15.28515625" style="47" customWidth="1"/>
    <col min="11" max="12" width="10.7109375" style="47" customWidth="1"/>
    <col min="13" max="13" width="7" style="47" customWidth="1"/>
    <col min="14" max="14" width="97.7109375" style="40" bestFit="1" customWidth="1"/>
    <col min="15" max="15" width="60.28515625" style="55" customWidth="1"/>
    <col min="16" max="16" width="29.42578125" style="40" customWidth="1"/>
    <col min="17" max="17" width="2" style="40" customWidth="1"/>
    <col min="18" max="18" width="4.140625" style="40" customWidth="1"/>
    <col min="19" max="16384" width="11.42578125" style="40"/>
  </cols>
  <sheetData>
    <row r="1" spans="1:16384" s="46" customFormat="1" ht="9.75" customHeight="1">
      <c r="A1" s="44" t="s">
        <v>18</v>
      </c>
      <c r="B1" s="44" t="s">
        <v>19</v>
      </c>
      <c r="C1" s="44" t="s">
        <v>20</v>
      </c>
      <c r="D1" s="44" t="s">
        <v>21</v>
      </c>
      <c r="E1" s="48" t="s">
        <v>22</v>
      </c>
      <c r="F1" s="44" t="s">
        <v>23</v>
      </c>
      <c r="G1" s="44" t="s">
        <v>24</v>
      </c>
      <c r="H1" s="44" t="s">
        <v>16427</v>
      </c>
      <c r="I1" s="49" t="s">
        <v>25</v>
      </c>
      <c r="J1" s="49" t="s">
        <v>26</v>
      </c>
      <c r="K1" s="49" t="s">
        <v>27</v>
      </c>
      <c r="L1" s="49" t="s">
        <v>28</v>
      </c>
      <c r="M1" s="49" t="s">
        <v>29</v>
      </c>
      <c r="N1" s="44" t="s">
        <v>30</v>
      </c>
      <c r="O1" s="54" t="s">
        <v>16424</v>
      </c>
      <c r="P1" s="46" t="s">
        <v>31</v>
      </c>
      <c r="Q1" s="46" t="s">
        <v>32</v>
      </c>
      <c r="R1" s="46" t="s">
        <v>33</v>
      </c>
      <c r="S1" s="46" t="s">
        <v>34</v>
      </c>
      <c r="T1" s="46" t="s">
        <v>35</v>
      </c>
      <c r="U1" s="46" t="s">
        <v>36</v>
      </c>
      <c r="V1" s="46" t="s">
        <v>37</v>
      </c>
      <c r="W1" s="46" t="s">
        <v>38</v>
      </c>
      <c r="X1" s="46" t="s">
        <v>39</v>
      </c>
      <c r="Y1" s="46" t="s">
        <v>40</v>
      </c>
      <c r="Z1" s="46" t="s">
        <v>41</v>
      </c>
      <c r="AA1" s="46" t="s">
        <v>42</v>
      </c>
      <c r="AB1" s="46" t="s">
        <v>43</v>
      </c>
      <c r="AC1" s="46" t="s">
        <v>44</v>
      </c>
      <c r="AD1" s="46" t="s">
        <v>45</v>
      </c>
      <c r="AE1" s="46" t="s">
        <v>46</v>
      </c>
      <c r="AF1" s="46" t="s">
        <v>47</v>
      </c>
      <c r="AG1" s="46" t="s">
        <v>48</v>
      </c>
      <c r="AH1" s="46" t="s">
        <v>49</v>
      </c>
      <c r="AI1" s="46" t="s">
        <v>50</v>
      </c>
      <c r="AJ1" s="46" t="s">
        <v>51</v>
      </c>
      <c r="AK1" s="46" t="s">
        <v>52</v>
      </c>
      <c r="AL1" s="46" t="s">
        <v>53</v>
      </c>
      <c r="AM1" s="46" t="s">
        <v>54</v>
      </c>
      <c r="AN1" s="46" t="s">
        <v>55</v>
      </c>
      <c r="AO1" s="46" t="s">
        <v>56</v>
      </c>
      <c r="AP1" s="46" t="s">
        <v>57</v>
      </c>
      <c r="AQ1" s="46" t="s">
        <v>58</v>
      </c>
      <c r="AR1" s="46" t="s">
        <v>59</v>
      </c>
      <c r="AS1" s="46" t="s">
        <v>60</v>
      </c>
      <c r="AT1" s="46" t="s">
        <v>61</v>
      </c>
      <c r="AU1" s="46" t="s">
        <v>62</v>
      </c>
      <c r="AV1" s="46" t="s">
        <v>63</v>
      </c>
      <c r="AW1" s="46" t="s">
        <v>64</v>
      </c>
      <c r="AX1" s="46" t="s">
        <v>65</v>
      </c>
      <c r="AY1" s="46" t="s">
        <v>66</v>
      </c>
      <c r="AZ1" s="46" t="s">
        <v>67</v>
      </c>
      <c r="BA1" s="46" t="s">
        <v>68</v>
      </c>
      <c r="BB1" s="46" t="s">
        <v>69</v>
      </c>
      <c r="BC1" s="46" t="s">
        <v>70</v>
      </c>
      <c r="BD1" s="46" t="s">
        <v>71</v>
      </c>
      <c r="BE1" s="46" t="s">
        <v>72</v>
      </c>
      <c r="BF1" s="46" t="s">
        <v>73</v>
      </c>
      <c r="BG1" s="46" t="s">
        <v>74</v>
      </c>
      <c r="BH1" s="46" t="s">
        <v>75</v>
      </c>
      <c r="BI1" s="46" t="s">
        <v>76</v>
      </c>
      <c r="BJ1" s="46" t="s">
        <v>77</v>
      </c>
      <c r="BK1" s="46" t="s">
        <v>78</v>
      </c>
      <c r="BL1" s="46" t="s">
        <v>79</v>
      </c>
      <c r="BM1" s="46" t="s">
        <v>80</v>
      </c>
      <c r="BN1" s="46" t="s">
        <v>81</v>
      </c>
      <c r="BO1" s="46" t="s">
        <v>82</v>
      </c>
      <c r="BP1" s="46" t="s">
        <v>83</v>
      </c>
      <c r="BQ1" s="46" t="s">
        <v>84</v>
      </c>
      <c r="BR1" s="46" t="s">
        <v>85</v>
      </c>
      <c r="BS1" s="46" t="s">
        <v>86</v>
      </c>
      <c r="BT1" s="46" t="s">
        <v>87</v>
      </c>
      <c r="BU1" s="46" t="s">
        <v>88</v>
      </c>
      <c r="BV1" s="46" t="s">
        <v>89</v>
      </c>
      <c r="BW1" s="46" t="s">
        <v>90</v>
      </c>
      <c r="BX1" s="46" t="s">
        <v>91</v>
      </c>
      <c r="BY1" s="46" t="s">
        <v>92</v>
      </c>
      <c r="BZ1" s="46" t="s">
        <v>93</v>
      </c>
      <c r="CA1" s="46" t="s">
        <v>94</v>
      </c>
      <c r="CB1" s="46" t="s">
        <v>95</v>
      </c>
      <c r="CC1" s="46" t="s">
        <v>96</v>
      </c>
      <c r="CD1" s="46" t="s">
        <v>97</v>
      </c>
      <c r="CE1" s="46" t="s">
        <v>98</v>
      </c>
      <c r="CF1" s="46" t="s">
        <v>99</v>
      </c>
      <c r="CG1" s="46" t="s">
        <v>100</v>
      </c>
      <c r="CH1" s="46" t="s">
        <v>101</v>
      </c>
      <c r="CI1" s="46" t="s">
        <v>102</v>
      </c>
      <c r="CJ1" s="46" t="s">
        <v>103</v>
      </c>
      <c r="CK1" s="46" t="s">
        <v>104</v>
      </c>
      <c r="CL1" s="46" t="s">
        <v>105</v>
      </c>
      <c r="CM1" s="46" t="s">
        <v>106</v>
      </c>
      <c r="CN1" s="46" t="s">
        <v>107</v>
      </c>
      <c r="CO1" s="46" t="s">
        <v>108</v>
      </c>
      <c r="CP1" s="46" t="s">
        <v>109</v>
      </c>
      <c r="CQ1" s="46" t="s">
        <v>110</v>
      </c>
      <c r="CR1" s="46" t="s">
        <v>111</v>
      </c>
      <c r="CS1" s="46" t="s">
        <v>112</v>
      </c>
      <c r="CT1" s="46" t="s">
        <v>113</v>
      </c>
      <c r="CU1" s="46" t="s">
        <v>114</v>
      </c>
      <c r="CV1" s="46" t="s">
        <v>115</v>
      </c>
      <c r="CW1" s="46" t="s">
        <v>116</v>
      </c>
      <c r="CX1" s="46" t="s">
        <v>117</v>
      </c>
      <c r="CY1" s="46" t="s">
        <v>118</v>
      </c>
      <c r="CZ1" s="46" t="s">
        <v>119</v>
      </c>
      <c r="DA1" s="46" t="s">
        <v>120</v>
      </c>
      <c r="DB1" s="46" t="s">
        <v>121</v>
      </c>
      <c r="DC1" s="46" t="s">
        <v>122</v>
      </c>
      <c r="DD1" s="46" t="s">
        <v>123</v>
      </c>
      <c r="DE1" s="46" t="s">
        <v>124</v>
      </c>
      <c r="DF1" s="46" t="s">
        <v>125</v>
      </c>
      <c r="DG1" s="46" t="s">
        <v>126</v>
      </c>
      <c r="DH1" s="46" t="s">
        <v>127</v>
      </c>
      <c r="DI1" s="46" t="s">
        <v>128</v>
      </c>
      <c r="DJ1" s="46" t="s">
        <v>129</v>
      </c>
      <c r="DK1" s="46" t="s">
        <v>130</v>
      </c>
      <c r="DL1" s="46" t="s">
        <v>131</v>
      </c>
      <c r="DM1" s="46" t="s">
        <v>132</v>
      </c>
      <c r="DN1" s="46" t="s">
        <v>133</v>
      </c>
      <c r="DO1" s="46" t="s">
        <v>134</v>
      </c>
      <c r="DP1" s="46" t="s">
        <v>135</v>
      </c>
      <c r="DQ1" s="46" t="s">
        <v>136</v>
      </c>
      <c r="DR1" s="46" t="s">
        <v>137</v>
      </c>
      <c r="DS1" s="46" t="s">
        <v>138</v>
      </c>
      <c r="DT1" s="46" t="s">
        <v>139</v>
      </c>
      <c r="DU1" s="46" t="s">
        <v>140</v>
      </c>
      <c r="DV1" s="46" t="s">
        <v>141</v>
      </c>
      <c r="DW1" s="46" t="s">
        <v>142</v>
      </c>
      <c r="DX1" s="46" t="s">
        <v>143</v>
      </c>
      <c r="DY1" s="46" t="s">
        <v>144</v>
      </c>
      <c r="DZ1" s="46" t="s">
        <v>145</v>
      </c>
      <c r="EA1" s="46" t="s">
        <v>146</v>
      </c>
      <c r="EB1" s="46" t="s">
        <v>147</v>
      </c>
      <c r="EC1" s="46" t="s">
        <v>148</v>
      </c>
      <c r="ED1" s="46" t="s">
        <v>149</v>
      </c>
      <c r="EE1" s="46" t="s">
        <v>150</v>
      </c>
      <c r="EF1" s="46" t="s">
        <v>151</v>
      </c>
      <c r="EG1" s="46" t="s">
        <v>152</v>
      </c>
      <c r="EH1" s="46" t="s">
        <v>153</v>
      </c>
      <c r="EI1" s="46" t="s">
        <v>154</v>
      </c>
      <c r="EJ1" s="46" t="s">
        <v>155</v>
      </c>
      <c r="EK1" s="46" t="s">
        <v>156</v>
      </c>
      <c r="EL1" s="46" t="s">
        <v>157</v>
      </c>
      <c r="EM1" s="46" t="s">
        <v>158</v>
      </c>
      <c r="EN1" s="46" t="s">
        <v>159</v>
      </c>
      <c r="EO1" s="46" t="s">
        <v>160</v>
      </c>
      <c r="EP1" s="46" t="s">
        <v>161</v>
      </c>
      <c r="EQ1" s="46" t="s">
        <v>162</v>
      </c>
      <c r="ER1" s="46" t="s">
        <v>163</v>
      </c>
      <c r="ES1" s="46" t="s">
        <v>164</v>
      </c>
      <c r="ET1" s="46" t="s">
        <v>165</v>
      </c>
      <c r="EU1" s="46" t="s">
        <v>166</v>
      </c>
      <c r="EV1" s="46" t="s">
        <v>167</v>
      </c>
      <c r="EW1" s="46" t="s">
        <v>168</v>
      </c>
      <c r="EX1" s="46" t="s">
        <v>169</v>
      </c>
      <c r="EY1" s="46" t="s">
        <v>170</v>
      </c>
      <c r="EZ1" s="46" t="s">
        <v>171</v>
      </c>
      <c r="FA1" s="46" t="s">
        <v>172</v>
      </c>
      <c r="FB1" s="46" t="s">
        <v>173</v>
      </c>
      <c r="FC1" s="46" t="s">
        <v>174</v>
      </c>
      <c r="FD1" s="46" t="s">
        <v>175</v>
      </c>
      <c r="FE1" s="46" t="s">
        <v>176</v>
      </c>
      <c r="FF1" s="46" t="s">
        <v>177</v>
      </c>
      <c r="FG1" s="46" t="s">
        <v>178</v>
      </c>
      <c r="FH1" s="46" t="s">
        <v>179</v>
      </c>
      <c r="FI1" s="46" t="s">
        <v>180</v>
      </c>
      <c r="FJ1" s="46" t="s">
        <v>181</v>
      </c>
      <c r="FK1" s="46" t="s">
        <v>182</v>
      </c>
      <c r="FL1" s="46" t="s">
        <v>183</v>
      </c>
      <c r="FM1" s="46" t="s">
        <v>184</v>
      </c>
      <c r="FN1" s="46" t="s">
        <v>185</v>
      </c>
      <c r="FO1" s="46" t="s">
        <v>186</v>
      </c>
      <c r="FP1" s="46" t="s">
        <v>187</v>
      </c>
      <c r="FQ1" s="46" t="s">
        <v>188</v>
      </c>
      <c r="FR1" s="46" t="s">
        <v>189</v>
      </c>
      <c r="FS1" s="46" t="s">
        <v>190</v>
      </c>
      <c r="FT1" s="46" t="s">
        <v>191</v>
      </c>
      <c r="FU1" s="46" t="s">
        <v>192</v>
      </c>
      <c r="FV1" s="46" t="s">
        <v>193</v>
      </c>
      <c r="FW1" s="46" t="s">
        <v>194</v>
      </c>
      <c r="FX1" s="46" t="s">
        <v>195</v>
      </c>
      <c r="FY1" s="46" t="s">
        <v>196</v>
      </c>
      <c r="FZ1" s="46" t="s">
        <v>197</v>
      </c>
      <c r="GA1" s="46" t="s">
        <v>198</v>
      </c>
      <c r="GB1" s="46" t="s">
        <v>199</v>
      </c>
      <c r="GC1" s="46" t="s">
        <v>200</v>
      </c>
      <c r="GD1" s="46" t="s">
        <v>201</v>
      </c>
      <c r="GE1" s="46" t="s">
        <v>202</v>
      </c>
      <c r="GF1" s="46" t="s">
        <v>203</v>
      </c>
      <c r="GG1" s="46" t="s">
        <v>204</v>
      </c>
      <c r="GH1" s="46" t="s">
        <v>205</v>
      </c>
      <c r="GI1" s="46" t="s">
        <v>206</v>
      </c>
      <c r="GJ1" s="46" t="s">
        <v>207</v>
      </c>
      <c r="GK1" s="46" t="s">
        <v>208</v>
      </c>
      <c r="GL1" s="46" t="s">
        <v>209</v>
      </c>
      <c r="GM1" s="46" t="s">
        <v>210</v>
      </c>
      <c r="GN1" s="46" t="s">
        <v>211</v>
      </c>
      <c r="GO1" s="46" t="s">
        <v>212</v>
      </c>
      <c r="GP1" s="46" t="s">
        <v>213</v>
      </c>
      <c r="GQ1" s="46" t="s">
        <v>214</v>
      </c>
      <c r="GR1" s="46" t="s">
        <v>215</v>
      </c>
      <c r="GS1" s="46" t="s">
        <v>216</v>
      </c>
      <c r="GT1" s="46" t="s">
        <v>217</v>
      </c>
      <c r="GU1" s="46" t="s">
        <v>218</v>
      </c>
      <c r="GV1" s="46" t="s">
        <v>219</v>
      </c>
      <c r="GW1" s="46" t="s">
        <v>220</v>
      </c>
      <c r="GX1" s="46" t="s">
        <v>221</v>
      </c>
      <c r="GY1" s="46" t="s">
        <v>222</v>
      </c>
      <c r="GZ1" s="46" t="s">
        <v>223</v>
      </c>
      <c r="HA1" s="46" t="s">
        <v>224</v>
      </c>
      <c r="HB1" s="46" t="s">
        <v>225</v>
      </c>
      <c r="HC1" s="46" t="s">
        <v>226</v>
      </c>
      <c r="HD1" s="46" t="s">
        <v>227</v>
      </c>
      <c r="HE1" s="46" t="s">
        <v>228</v>
      </c>
      <c r="HF1" s="46" t="s">
        <v>229</v>
      </c>
      <c r="HG1" s="46" t="s">
        <v>230</v>
      </c>
      <c r="HH1" s="46" t="s">
        <v>231</v>
      </c>
      <c r="HI1" s="46" t="s">
        <v>232</v>
      </c>
      <c r="HJ1" s="46" t="s">
        <v>233</v>
      </c>
      <c r="HK1" s="46" t="s">
        <v>234</v>
      </c>
      <c r="HL1" s="46" t="s">
        <v>235</v>
      </c>
      <c r="HM1" s="46" t="s">
        <v>236</v>
      </c>
      <c r="HN1" s="46" t="s">
        <v>237</v>
      </c>
      <c r="HO1" s="46" t="s">
        <v>238</v>
      </c>
      <c r="HP1" s="46" t="s">
        <v>239</v>
      </c>
      <c r="HQ1" s="46" t="s">
        <v>240</v>
      </c>
      <c r="HR1" s="46" t="s">
        <v>241</v>
      </c>
      <c r="HS1" s="46" t="s">
        <v>242</v>
      </c>
      <c r="HT1" s="46" t="s">
        <v>243</v>
      </c>
      <c r="HU1" s="46" t="s">
        <v>244</v>
      </c>
      <c r="HV1" s="46" t="s">
        <v>245</v>
      </c>
      <c r="HW1" s="46" t="s">
        <v>246</v>
      </c>
      <c r="HX1" s="46" t="s">
        <v>247</v>
      </c>
      <c r="HY1" s="46" t="s">
        <v>248</v>
      </c>
      <c r="HZ1" s="46" t="s">
        <v>249</v>
      </c>
      <c r="IA1" s="46" t="s">
        <v>250</v>
      </c>
      <c r="IB1" s="46" t="s">
        <v>251</v>
      </c>
      <c r="IC1" s="46" t="s">
        <v>252</v>
      </c>
      <c r="ID1" s="46" t="s">
        <v>253</v>
      </c>
      <c r="IE1" s="46" t="s">
        <v>254</v>
      </c>
      <c r="IF1" s="46" t="s">
        <v>255</v>
      </c>
      <c r="IG1" s="46" t="s">
        <v>256</v>
      </c>
      <c r="IH1" s="46" t="s">
        <v>257</v>
      </c>
      <c r="II1" s="46" t="s">
        <v>258</v>
      </c>
      <c r="IJ1" s="46" t="s">
        <v>259</v>
      </c>
      <c r="IK1" s="46" t="s">
        <v>260</v>
      </c>
      <c r="IL1" s="46" t="s">
        <v>261</v>
      </c>
      <c r="IM1" s="46" t="s">
        <v>262</v>
      </c>
      <c r="IN1" s="46" t="s">
        <v>263</v>
      </c>
      <c r="IO1" s="46" t="s">
        <v>264</v>
      </c>
      <c r="IP1" s="46" t="s">
        <v>265</v>
      </c>
      <c r="IQ1" s="46" t="s">
        <v>266</v>
      </c>
      <c r="IR1" s="46" t="s">
        <v>267</v>
      </c>
      <c r="IS1" s="46" t="s">
        <v>268</v>
      </c>
      <c r="IT1" s="46" t="s">
        <v>269</v>
      </c>
      <c r="IU1" s="46" t="s">
        <v>270</v>
      </c>
      <c r="IV1" s="46" t="s">
        <v>271</v>
      </c>
      <c r="IW1" s="46" t="s">
        <v>272</v>
      </c>
      <c r="IX1" s="46" t="s">
        <v>273</v>
      </c>
      <c r="IY1" s="46" t="s">
        <v>274</v>
      </c>
      <c r="IZ1" s="46" t="s">
        <v>275</v>
      </c>
      <c r="JA1" s="46" t="s">
        <v>276</v>
      </c>
      <c r="JB1" s="46" t="s">
        <v>277</v>
      </c>
      <c r="JC1" s="46" t="s">
        <v>278</v>
      </c>
      <c r="JD1" s="46" t="s">
        <v>279</v>
      </c>
      <c r="JE1" s="46" t="s">
        <v>280</v>
      </c>
      <c r="JF1" s="46" t="s">
        <v>281</v>
      </c>
      <c r="JG1" s="46" t="s">
        <v>282</v>
      </c>
      <c r="JH1" s="46" t="s">
        <v>283</v>
      </c>
      <c r="JI1" s="46" t="s">
        <v>284</v>
      </c>
      <c r="JJ1" s="46" t="s">
        <v>285</v>
      </c>
      <c r="JK1" s="46" t="s">
        <v>286</v>
      </c>
      <c r="JL1" s="46" t="s">
        <v>287</v>
      </c>
      <c r="JM1" s="46" t="s">
        <v>288</v>
      </c>
      <c r="JN1" s="46" t="s">
        <v>289</v>
      </c>
      <c r="JO1" s="46" t="s">
        <v>290</v>
      </c>
      <c r="JP1" s="46" t="s">
        <v>291</v>
      </c>
      <c r="JQ1" s="46" t="s">
        <v>292</v>
      </c>
      <c r="JR1" s="46" t="s">
        <v>293</v>
      </c>
      <c r="JS1" s="46" t="s">
        <v>294</v>
      </c>
      <c r="JT1" s="46" t="s">
        <v>295</v>
      </c>
      <c r="JU1" s="46" t="s">
        <v>296</v>
      </c>
      <c r="JV1" s="46" t="s">
        <v>297</v>
      </c>
      <c r="JW1" s="46" t="s">
        <v>298</v>
      </c>
      <c r="JX1" s="46" t="s">
        <v>299</v>
      </c>
      <c r="JY1" s="46" t="s">
        <v>300</v>
      </c>
      <c r="JZ1" s="46" t="s">
        <v>301</v>
      </c>
      <c r="KA1" s="46" t="s">
        <v>302</v>
      </c>
      <c r="KB1" s="46" t="s">
        <v>303</v>
      </c>
      <c r="KC1" s="46" t="s">
        <v>304</v>
      </c>
      <c r="KD1" s="46" t="s">
        <v>305</v>
      </c>
      <c r="KE1" s="46" t="s">
        <v>306</v>
      </c>
      <c r="KF1" s="46" t="s">
        <v>307</v>
      </c>
      <c r="KG1" s="46" t="s">
        <v>308</v>
      </c>
      <c r="KH1" s="46" t="s">
        <v>309</v>
      </c>
      <c r="KI1" s="46" t="s">
        <v>310</v>
      </c>
      <c r="KJ1" s="46" t="s">
        <v>311</v>
      </c>
      <c r="KK1" s="46" t="s">
        <v>312</v>
      </c>
      <c r="KL1" s="46" t="s">
        <v>313</v>
      </c>
      <c r="KM1" s="46" t="s">
        <v>314</v>
      </c>
      <c r="KN1" s="46" t="s">
        <v>315</v>
      </c>
      <c r="KO1" s="46" t="s">
        <v>316</v>
      </c>
      <c r="KP1" s="46" t="s">
        <v>317</v>
      </c>
      <c r="KQ1" s="46" t="s">
        <v>318</v>
      </c>
      <c r="KR1" s="46" t="s">
        <v>319</v>
      </c>
      <c r="KS1" s="46" t="s">
        <v>320</v>
      </c>
      <c r="KT1" s="46" t="s">
        <v>321</v>
      </c>
      <c r="KU1" s="46" t="s">
        <v>322</v>
      </c>
      <c r="KV1" s="46" t="s">
        <v>323</v>
      </c>
      <c r="KW1" s="46" t="s">
        <v>324</v>
      </c>
      <c r="KX1" s="46" t="s">
        <v>325</v>
      </c>
      <c r="KY1" s="46" t="s">
        <v>326</v>
      </c>
      <c r="KZ1" s="46" t="s">
        <v>327</v>
      </c>
      <c r="LA1" s="46" t="s">
        <v>328</v>
      </c>
      <c r="LB1" s="46" t="s">
        <v>329</v>
      </c>
      <c r="LC1" s="46" t="s">
        <v>330</v>
      </c>
      <c r="LD1" s="46" t="s">
        <v>331</v>
      </c>
      <c r="LE1" s="46" t="s">
        <v>332</v>
      </c>
      <c r="LF1" s="46" t="s">
        <v>333</v>
      </c>
      <c r="LG1" s="46" t="s">
        <v>334</v>
      </c>
      <c r="LH1" s="46" t="s">
        <v>335</v>
      </c>
      <c r="LI1" s="46" t="s">
        <v>336</v>
      </c>
      <c r="LJ1" s="46" t="s">
        <v>337</v>
      </c>
      <c r="LK1" s="46" t="s">
        <v>338</v>
      </c>
      <c r="LL1" s="46" t="s">
        <v>339</v>
      </c>
      <c r="LM1" s="46" t="s">
        <v>340</v>
      </c>
      <c r="LN1" s="46" t="s">
        <v>341</v>
      </c>
      <c r="LO1" s="46" t="s">
        <v>342</v>
      </c>
      <c r="LP1" s="46" t="s">
        <v>343</v>
      </c>
      <c r="LQ1" s="46" t="s">
        <v>344</v>
      </c>
      <c r="LR1" s="46" t="s">
        <v>345</v>
      </c>
      <c r="LS1" s="46" t="s">
        <v>346</v>
      </c>
      <c r="LT1" s="46" t="s">
        <v>347</v>
      </c>
      <c r="LU1" s="46" t="s">
        <v>348</v>
      </c>
      <c r="LV1" s="46" t="s">
        <v>349</v>
      </c>
      <c r="LW1" s="46" t="s">
        <v>350</v>
      </c>
      <c r="LX1" s="46" t="s">
        <v>351</v>
      </c>
      <c r="LY1" s="46" t="s">
        <v>352</v>
      </c>
      <c r="LZ1" s="46" t="s">
        <v>353</v>
      </c>
      <c r="MA1" s="46" t="s">
        <v>354</v>
      </c>
      <c r="MB1" s="46" t="s">
        <v>355</v>
      </c>
      <c r="MC1" s="46" t="s">
        <v>356</v>
      </c>
      <c r="MD1" s="46" t="s">
        <v>357</v>
      </c>
      <c r="ME1" s="46" t="s">
        <v>358</v>
      </c>
      <c r="MF1" s="46" t="s">
        <v>359</v>
      </c>
      <c r="MG1" s="46" t="s">
        <v>360</v>
      </c>
      <c r="MH1" s="46" t="s">
        <v>361</v>
      </c>
      <c r="MI1" s="46" t="s">
        <v>362</v>
      </c>
      <c r="MJ1" s="46" t="s">
        <v>363</v>
      </c>
      <c r="MK1" s="46" t="s">
        <v>364</v>
      </c>
      <c r="ML1" s="46" t="s">
        <v>365</v>
      </c>
      <c r="MM1" s="46" t="s">
        <v>366</v>
      </c>
      <c r="MN1" s="46" t="s">
        <v>367</v>
      </c>
      <c r="MO1" s="46" t="s">
        <v>368</v>
      </c>
      <c r="MP1" s="46" t="s">
        <v>369</v>
      </c>
      <c r="MQ1" s="46" t="s">
        <v>370</v>
      </c>
      <c r="MR1" s="46" t="s">
        <v>371</v>
      </c>
      <c r="MS1" s="46" t="s">
        <v>372</v>
      </c>
      <c r="MT1" s="46" t="s">
        <v>373</v>
      </c>
      <c r="MU1" s="46" t="s">
        <v>374</v>
      </c>
      <c r="MV1" s="46" t="s">
        <v>375</v>
      </c>
      <c r="MW1" s="46" t="s">
        <v>376</v>
      </c>
      <c r="MX1" s="46" t="s">
        <v>377</v>
      </c>
      <c r="MY1" s="46" t="s">
        <v>378</v>
      </c>
      <c r="MZ1" s="46" t="s">
        <v>379</v>
      </c>
      <c r="NA1" s="46" t="s">
        <v>380</v>
      </c>
      <c r="NB1" s="46" t="s">
        <v>381</v>
      </c>
      <c r="NC1" s="46" t="s">
        <v>382</v>
      </c>
      <c r="ND1" s="46" t="s">
        <v>383</v>
      </c>
      <c r="NE1" s="46" t="s">
        <v>384</v>
      </c>
      <c r="NF1" s="46" t="s">
        <v>385</v>
      </c>
      <c r="NG1" s="46" t="s">
        <v>386</v>
      </c>
      <c r="NH1" s="46" t="s">
        <v>387</v>
      </c>
      <c r="NI1" s="46" t="s">
        <v>388</v>
      </c>
      <c r="NJ1" s="46" t="s">
        <v>389</v>
      </c>
      <c r="NK1" s="46" t="s">
        <v>390</v>
      </c>
      <c r="NL1" s="46" t="s">
        <v>391</v>
      </c>
      <c r="NM1" s="46" t="s">
        <v>392</v>
      </c>
      <c r="NN1" s="46" t="s">
        <v>393</v>
      </c>
      <c r="NO1" s="46" t="s">
        <v>394</v>
      </c>
      <c r="NP1" s="46" t="s">
        <v>395</v>
      </c>
      <c r="NQ1" s="46" t="s">
        <v>396</v>
      </c>
      <c r="NR1" s="46" t="s">
        <v>397</v>
      </c>
      <c r="NS1" s="46" t="s">
        <v>398</v>
      </c>
      <c r="NT1" s="46" t="s">
        <v>399</v>
      </c>
      <c r="NU1" s="46" t="s">
        <v>400</v>
      </c>
      <c r="NV1" s="46" t="s">
        <v>401</v>
      </c>
      <c r="NW1" s="46" t="s">
        <v>402</v>
      </c>
      <c r="NX1" s="46" t="s">
        <v>403</v>
      </c>
      <c r="NY1" s="46" t="s">
        <v>404</v>
      </c>
      <c r="NZ1" s="46" t="s">
        <v>405</v>
      </c>
      <c r="OA1" s="46" t="s">
        <v>406</v>
      </c>
      <c r="OB1" s="46" t="s">
        <v>407</v>
      </c>
      <c r="OC1" s="46" t="s">
        <v>408</v>
      </c>
      <c r="OD1" s="46" t="s">
        <v>409</v>
      </c>
      <c r="OE1" s="46" t="s">
        <v>410</v>
      </c>
      <c r="OF1" s="46" t="s">
        <v>411</v>
      </c>
      <c r="OG1" s="46" t="s">
        <v>412</v>
      </c>
      <c r="OH1" s="46" t="s">
        <v>413</v>
      </c>
      <c r="OI1" s="46" t="s">
        <v>414</v>
      </c>
      <c r="OJ1" s="46" t="s">
        <v>415</v>
      </c>
      <c r="OK1" s="46" t="s">
        <v>416</v>
      </c>
      <c r="OL1" s="46" t="s">
        <v>417</v>
      </c>
      <c r="OM1" s="46" t="s">
        <v>418</v>
      </c>
      <c r="ON1" s="46" t="s">
        <v>419</v>
      </c>
      <c r="OO1" s="46" t="s">
        <v>420</v>
      </c>
      <c r="OP1" s="46" t="s">
        <v>421</v>
      </c>
      <c r="OQ1" s="46" t="s">
        <v>422</v>
      </c>
      <c r="OR1" s="46" t="s">
        <v>423</v>
      </c>
      <c r="OS1" s="46" t="s">
        <v>424</v>
      </c>
      <c r="OT1" s="46" t="s">
        <v>425</v>
      </c>
      <c r="OU1" s="46" t="s">
        <v>426</v>
      </c>
      <c r="OV1" s="46" t="s">
        <v>427</v>
      </c>
      <c r="OW1" s="46" t="s">
        <v>428</v>
      </c>
      <c r="OX1" s="46" t="s">
        <v>429</v>
      </c>
      <c r="OY1" s="46" t="s">
        <v>430</v>
      </c>
      <c r="OZ1" s="46" t="s">
        <v>431</v>
      </c>
      <c r="PA1" s="46" t="s">
        <v>432</v>
      </c>
      <c r="PB1" s="46" t="s">
        <v>433</v>
      </c>
      <c r="PC1" s="46" t="s">
        <v>434</v>
      </c>
      <c r="PD1" s="46" t="s">
        <v>435</v>
      </c>
      <c r="PE1" s="46" t="s">
        <v>436</v>
      </c>
      <c r="PF1" s="46" t="s">
        <v>437</v>
      </c>
      <c r="PG1" s="46" t="s">
        <v>438</v>
      </c>
      <c r="PH1" s="46" t="s">
        <v>439</v>
      </c>
      <c r="PI1" s="46" t="s">
        <v>440</v>
      </c>
      <c r="PJ1" s="46" t="s">
        <v>441</v>
      </c>
      <c r="PK1" s="46" t="s">
        <v>442</v>
      </c>
      <c r="PL1" s="46" t="s">
        <v>443</v>
      </c>
      <c r="PM1" s="46" t="s">
        <v>444</v>
      </c>
      <c r="PN1" s="46" t="s">
        <v>445</v>
      </c>
      <c r="PO1" s="46" t="s">
        <v>446</v>
      </c>
      <c r="PP1" s="46" t="s">
        <v>447</v>
      </c>
      <c r="PQ1" s="46" t="s">
        <v>448</v>
      </c>
      <c r="PR1" s="46" t="s">
        <v>449</v>
      </c>
      <c r="PS1" s="46" t="s">
        <v>450</v>
      </c>
      <c r="PT1" s="46" t="s">
        <v>451</v>
      </c>
      <c r="PU1" s="46" t="s">
        <v>452</v>
      </c>
      <c r="PV1" s="46" t="s">
        <v>453</v>
      </c>
      <c r="PW1" s="46" t="s">
        <v>454</v>
      </c>
      <c r="PX1" s="46" t="s">
        <v>455</v>
      </c>
      <c r="PY1" s="46" t="s">
        <v>456</v>
      </c>
      <c r="PZ1" s="46" t="s">
        <v>457</v>
      </c>
      <c r="QA1" s="46" t="s">
        <v>458</v>
      </c>
      <c r="QB1" s="46" t="s">
        <v>459</v>
      </c>
      <c r="QC1" s="46" t="s">
        <v>460</v>
      </c>
      <c r="QD1" s="46" t="s">
        <v>461</v>
      </c>
      <c r="QE1" s="46" t="s">
        <v>462</v>
      </c>
      <c r="QF1" s="46" t="s">
        <v>463</v>
      </c>
      <c r="QG1" s="46" t="s">
        <v>464</v>
      </c>
      <c r="QH1" s="46" t="s">
        <v>465</v>
      </c>
      <c r="QI1" s="46" t="s">
        <v>466</v>
      </c>
      <c r="QJ1" s="46" t="s">
        <v>467</v>
      </c>
      <c r="QK1" s="46" t="s">
        <v>468</v>
      </c>
      <c r="QL1" s="46" t="s">
        <v>469</v>
      </c>
      <c r="QM1" s="46" t="s">
        <v>470</v>
      </c>
      <c r="QN1" s="46" t="s">
        <v>471</v>
      </c>
      <c r="QO1" s="46" t="s">
        <v>472</v>
      </c>
      <c r="QP1" s="46" t="s">
        <v>473</v>
      </c>
      <c r="QQ1" s="46" t="s">
        <v>474</v>
      </c>
      <c r="QR1" s="46" t="s">
        <v>475</v>
      </c>
      <c r="QS1" s="46" t="s">
        <v>476</v>
      </c>
      <c r="QT1" s="46" t="s">
        <v>477</v>
      </c>
      <c r="QU1" s="46" t="s">
        <v>478</v>
      </c>
      <c r="QV1" s="46" t="s">
        <v>479</v>
      </c>
      <c r="QW1" s="46" t="s">
        <v>480</v>
      </c>
      <c r="QX1" s="46" t="s">
        <v>481</v>
      </c>
      <c r="QY1" s="46" t="s">
        <v>482</v>
      </c>
      <c r="QZ1" s="46" t="s">
        <v>483</v>
      </c>
      <c r="RA1" s="46" t="s">
        <v>484</v>
      </c>
      <c r="RB1" s="46" t="s">
        <v>485</v>
      </c>
      <c r="RC1" s="46" t="s">
        <v>486</v>
      </c>
      <c r="RD1" s="46" t="s">
        <v>487</v>
      </c>
      <c r="RE1" s="46" t="s">
        <v>488</v>
      </c>
      <c r="RF1" s="46" t="s">
        <v>489</v>
      </c>
      <c r="RG1" s="46" t="s">
        <v>490</v>
      </c>
      <c r="RH1" s="46" t="s">
        <v>491</v>
      </c>
      <c r="RI1" s="46" t="s">
        <v>492</v>
      </c>
      <c r="RJ1" s="46" t="s">
        <v>493</v>
      </c>
      <c r="RK1" s="46" t="s">
        <v>494</v>
      </c>
      <c r="RL1" s="46" t="s">
        <v>495</v>
      </c>
      <c r="RM1" s="46" t="s">
        <v>496</v>
      </c>
      <c r="RN1" s="46" t="s">
        <v>497</v>
      </c>
      <c r="RO1" s="46" t="s">
        <v>498</v>
      </c>
      <c r="RP1" s="46" t="s">
        <v>499</v>
      </c>
      <c r="RQ1" s="46" t="s">
        <v>500</v>
      </c>
      <c r="RR1" s="46" t="s">
        <v>501</v>
      </c>
      <c r="RS1" s="46" t="s">
        <v>502</v>
      </c>
      <c r="RT1" s="46" t="s">
        <v>503</v>
      </c>
      <c r="RU1" s="46" t="s">
        <v>504</v>
      </c>
      <c r="RV1" s="46" t="s">
        <v>505</v>
      </c>
      <c r="RW1" s="46" t="s">
        <v>506</v>
      </c>
      <c r="RX1" s="46" t="s">
        <v>507</v>
      </c>
      <c r="RY1" s="46" t="s">
        <v>508</v>
      </c>
      <c r="RZ1" s="46" t="s">
        <v>509</v>
      </c>
      <c r="SA1" s="46" t="s">
        <v>510</v>
      </c>
      <c r="SB1" s="46" t="s">
        <v>511</v>
      </c>
      <c r="SC1" s="46" t="s">
        <v>512</v>
      </c>
      <c r="SD1" s="46" t="s">
        <v>513</v>
      </c>
      <c r="SE1" s="46" t="s">
        <v>514</v>
      </c>
      <c r="SF1" s="46" t="s">
        <v>515</v>
      </c>
      <c r="SG1" s="46" t="s">
        <v>516</v>
      </c>
      <c r="SH1" s="46" t="s">
        <v>517</v>
      </c>
      <c r="SI1" s="46" t="s">
        <v>518</v>
      </c>
      <c r="SJ1" s="46" t="s">
        <v>519</v>
      </c>
      <c r="SK1" s="46" t="s">
        <v>520</v>
      </c>
      <c r="SL1" s="46" t="s">
        <v>521</v>
      </c>
      <c r="SM1" s="46" t="s">
        <v>522</v>
      </c>
      <c r="SN1" s="46" t="s">
        <v>523</v>
      </c>
      <c r="SO1" s="46" t="s">
        <v>524</v>
      </c>
      <c r="SP1" s="46" t="s">
        <v>525</v>
      </c>
      <c r="SQ1" s="46" t="s">
        <v>526</v>
      </c>
      <c r="SR1" s="46" t="s">
        <v>527</v>
      </c>
      <c r="SS1" s="46" t="s">
        <v>528</v>
      </c>
      <c r="ST1" s="46" t="s">
        <v>529</v>
      </c>
      <c r="SU1" s="46" t="s">
        <v>530</v>
      </c>
      <c r="SV1" s="46" t="s">
        <v>531</v>
      </c>
      <c r="SW1" s="46" t="s">
        <v>532</v>
      </c>
      <c r="SX1" s="46" t="s">
        <v>533</v>
      </c>
      <c r="SY1" s="46" t="s">
        <v>534</v>
      </c>
      <c r="SZ1" s="46" t="s">
        <v>535</v>
      </c>
      <c r="TA1" s="46" t="s">
        <v>536</v>
      </c>
      <c r="TB1" s="46" t="s">
        <v>537</v>
      </c>
      <c r="TC1" s="46" t="s">
        <v>538</v>
      </c>
      <c r="TD1" s="46" t="s">
        <v>539</v>
      </c>
      <c r="TE1" s="46" t="s">
        <v>540</v>
      </c>
      <c r="TF1" s="46" t="s">
        <v>541</v>
      </c>
      <c r="TG1" s="46" t="s">
        <v>542</v>
      </c>
      <c r="TH1" s="46" t="s">
        <v>543</v>
      </c>
      <c r="TI1" s="46" t="s">
        <v>544</v>
      </c>
      <c r="TJ1" s="46" t="s">
        <v>545</v>
      </c>
      <c r="TK1" s="46" t="s">
        <v>546</v>
      </c>
      <c r="TL1" s="46" t="s">
        <v>547</v>
      </c>
      <c r="TM1" s="46" t="s">
        <v>548</v>
      </c>
      <c r="TN1" s="46" t="s">
        <v>549</v>
      </c>
      <c r="TO1" s="46" t="s">
        <v>550</v>
      </c>
      <c r="TP1" s="46" t="s">
        <v>551</v>
      </c>
      <c r="TQ1" s="46" t="s">
        <v>552</v>
      </c>
      <c r="TR1" s="46" t="s">
        <v>553</v>
      </c>
      <c r="TS1" s="46" t="s">
        <v>554</v>
      </c>
      <c r="TT1" s="46" t="s">
        <v>555</v>
      </c>
      <c r="TU1" s="46" t="s">
        <v>556</v>
      </c>
      <c r="TV1" s="46" t="s">
        <v>557</v>
      </c>
      <c r="TW1" s="46" t="s">
        <v>558</v>
      </c>
      <c r="TX1" s="46" t="s">
        <v>559</v>
      </c>
      <c r="TY1" s="46" t="s">
        <v>560</v>
      </c>
      <c r="TZ1" s="46" t="s">
        <v>561</v>
      </c>
      <c r="UA1" s="46" t="s">
        <v>562</v>
      </c>
      <c r="UB1" s="46" t="s">
        <v>563</v>
      </c>
      <c r="UC1" s="46" t="s">
        <v>564</v>
      </c>
      <c r="UD1" s="46" t="s">
        <v>565</v>
      </c>
      <c r="UE1" s="46" t="s">
        <v>566</v>
      </c>
      <c r="UF1" s="46" t="s">
        <v>567</v>
      </c>
      <c r="UG1" s="46" t="s">
        <v>568</v>
      </c>
      <c r="UH1" s="46" t="s">
        <v>569</v>
      </c>
      <c r="UI1" s="46" t="s">
        <v>570</v>
      </c>
      <c r="UJ1" s="46" t="s">
        <v>571</v>
      </c>
      <c r="UK1" s="46" t="s">
        <v>572</v>
      </c>
      <c r="UL1" s="46" t="s">
        <v>573</v>
      </c>
      <c r="UM1" s="46" t="s">
        <v>574</v>
      </c>
      <c r="UN1" s="46" t="s">
        <v>575</v>
      </c>
      <c r="UO1" s="46" t="s">
        <v>576</v>
      </c>
      <c r="UP1" s="46" t="s">
        <v>577</v>
      </c>
      <c r="UQ1" s="46" t="s">
        <v>578</v>
      </c>
      <c r="UR1" s="46" t="s">
        <v>579</v>
      </c>
      <c r="US1" s="46" t="s">
        <v>580</v>
      </c>
      <c r="UT1" s="46" t="s">
        <v>581</v>
      </c>
      <c r="UU1" s="46" t="s">
        <v>582</v>
      </c>
      <c r="UV1" s="46" t="s">
        <v>583</v>
      </c>
      <c r="UW1" s="46" t="s">
        <v>584</v>
      </c>
      <c r="UX1" s="46" t="s">
        <v>585</v>
      </c>
      <c r="UY1" s="46" t="s">
        <v>586</v>
      </c>
      <c r="UZ1" s="46" t="s">
        <v>587</v>
      </c>
      <c r="VA1" s="46" t="s">
        <v>588</v>
      </c>
      <c r="VB1" s="46" t="s">
        <v>589</v>
      </c>
      <c r="VC1" s="46" t="s">
        <v>590</v>
      </c>
      <c r="VD1" s="46" t="s">
        <v>591</v>
      </c>
      <c r="VE1" s="46" t="s">
        <v>592</v>
      </c>
      <c r="VF1" s="46" t="s">
        <v>593</v>
      </c>
      <c r="VG1" s="46" t="s">
        <v>594</v>
      </c>
      <c r="VH1" s="46" t="s">
        <v>595</v>
      </c>
      <c r="VI1" s="46" t="s">
        <v>596</v>
      </c>
      <c r="VJ1" s="46" t="s">
        <v>597</v>
      </c>
      <c r="VK1" s="46" t="s">
        <v>598</v>
      </c>
      <c r="VL1" s="46" t="s">
        <v>599</v>
      </c>
      <c r="VM1" s="46" t="s">
        <v>600</v>
      </c>
      <c r="VN1" s="46" t="s">
        <v>601</v>
      </c>
      <c r="VO1" s="46" t="s">
        <v>602</v>
      </c>
      <c r="VP1" s="46" t="s">
        <v>603</v>
      </c>
      <c r="VQ1" s="46" t="s">
        <v>604</v>
      </c>
      <c r="VR1" s="46" t="s">
        <v>605</v>
      </c>
      <c r="VS1" s="46" t="s">
        <v>606</v>
      </c>
      <c r="VT1" s="46" t="s">
        <v>607</v>
      </c>
      <c r="VU1" s="46" t="s">
        <v>608</v>
      </c>
      <c r="VV1" s="46" t="s">
        <v>609</v>
      </c>
      <c r="VW1" s="46" t="s">
        <v>610</v>
      </c>
      <c r="VX1" s="46" t="s">
        <v>611</v>
      </c>
      <c r="VY1" s="46" t="s">
        <v>612</v>
      </c>
      <c r="VZ1" s="46" t="s">
        <v>613</v>
      </c>
      <c r="WA1" s="46" t="s">
        <v>614</v>
      </c>
      <c r="WB1" s="46" t="s">
        <v>615</v>
      </c>
      <c r="WC1" s="46" t="s">
        <v>616</v>
      </c>
      <c r="WD1" s="46" t="s">
        <v>617</v>
      </c>
      <c r="WE1" s="46" t="s">
        <v>618</v>
      </c>
      <c r="WF1" s="46" t="s">
        <v>619</v>
      </c>
      <c r="WG1" s="46" t="s">
        <v>620</v>
      </c>
      <c r="WH1" s="46" t="s">
        <v>621</v>
      </c>
      <c r="WI1" s="46" t="s">
        <v>622</v>
      </c>
      <c r="WJ1" s="46" t="s">
        <v>623</v>
      </c>
      <c r="WK1" s="46" t="s">
        <v>624</v>
      </c>
      <c r="WL1" s="46" t="s">
        <v>625</v>
      </c>
      <c r="WM1" s="46" t="s">
        <v>626</v>
      </c>
      <c r="WN1" s="46" t="s">
        <v>627</v>
      </c>
      <c r="WO1" s="46" t="s">
        <v>628</v>
      </c>
      <c r="WP1" s="46" t="s">
        <v>629</v>
      </c>
      <c r="WQ1" s="46" t="s">
        <v>630</v>
      </c>
      <c r="WR1" s="46" t="s">
        <v>631</v>
      </c>
      <c r="WS1" s="46" t="s">
        <v>632</v>
      </c>
      <c r="WT1" s="46" t="s">
        <v>633</v>
      </c>
      <c r="WU1" s="46" t="s">
        <v>634</v>
      </c>
      <c r="WV1" s="46" t="s">
        <v>635</v>
      </c>
      <c r="WW1" s="46" t="s">
        <v>636</v>
      </c>
      <c r="WX1" s="46" t="s">
        <v>637</v>
      </c>
      <c r="WY1" s="46" t="s">
        <v>638</v>
      </c>
      <c r="WZ1" s="46" t="s">
        <v>639</v>
      </c>
      <c r="XA1" s="46" t="s">
        <v>640</v>
      </c>
      <c r="XB1" s="46" t="s">
        <v>641</v>
      </c>
      <c r="XC1" s="46" t="s">
        <v>642</v>
      </c>
      <c r="XD1" s="46" t="s">
        <v>643</v>
      </c>
      <c r="XE1" s="46" t="s">
        <v>644</v>
      </c>
      <c r="XF1" s="46" t="s">
        <v>645</v>
      </c>
      <c r="XG1" s="46" t="s">
        <v>646</v>
      </c>
      <c r="XH1" s="46" t="s">
        <v>647</v>
      </c>
      <c r="XI1" s="46" t="s">
        <v>648</v>
      </c>
      <c r="XJ1" s="46" t="s">
        <v>649</v>
      </c>
      <c r="XK1" s="46" t="s">
        <v>650</v>
      </c>
      <c r="XL1" s="46" t="s">
        <v>651</v>
      </c>
      <c r="XM1" s="46" t="s">
        <v>652</v>
      </c>
      <c r="XN1" s="46" t="s">
        <v>653</v>
      </c>
      <c r="XO1" s="46" t="s">
        <v>654</v>
      </c>
      <c r="XP1" s="46" t="s">
        <v>655</v>
      </c>
      <c r="XQ1" s="46" t="s">
        <v>656</v>
      </c>
      <c r="XR1" s="46" t="s">
        <v>657</v>
      </c>
      <c r="XS1" s="46" t="s">
        <v>658</v>
      </c>
      <c r="XT1" s="46" t="s">
        <v>659</v>
      </c>
      <c r="XU1" s="46" t="s">
        <v>660</v>
      </c>
      <c r="XV1" s="46" t="s">
        <v>661</v>
      </c>
      <c r="XW1" s="46" t="s">
        <v>662</v>
      </c>
      <c r="XX1" s="46" t="s">
        <v>663</v>
      </c>
      <c r="XY1" s="46" t="s">
        <v>664</v>
      </c>
      <c r="XZ1" s="46" t="s">
        <v>665</v>
      </c>
      <c r="YA1" s="46" t="s">
        <v>666</v>
      </c>
      <c r="YB1" s="46" t="s">
        <v>667</v>
      </c>
      <c r="YC1" s="46" t="s">
        <v>668</v>
      </c>
      <c r="YD1" s="46" t="s">
        <v>669</v>
      </c>
      <c r="YE1" s="46" t="s">
        <v>670</v>
      </c>
      <c r="YF1" s="46" t="s">
        <v>671</v>
      </c>
      <c r="YG1" s="46" t="s">
        <v>672</v>
      </c>
      <c r="YH1" s="46" t="s">
        <v>673</v>
      </c>
      <c r="YI1" s="46" t="s">
        <v>674</v>
      </c>
      <c r="YJ1" s="46" t="s">
        <v>675</v>
      </c>
      <c r="YK1" s="46" t="s">
        <v>676</v>
      </c>
      <c r="YL1" s="46" t="s">
        <v>677</v>
      </c>
      <c r="YM1" s="46" t="s">
        <v>678</v>
      </c>
      <c r="YN1" s="46" t="s">
        <v>679</v>
      </c>
      <c r="YO1" s="46" t="s">
        <v>680</v>
      </c>
      <c r="YP1" s="46" t="s">
        <v>681</v>
      </c>
      <c r="YQ1" s="46" t="s">
        <v>682</v>
      </c>
      <c r="YR1" s="46" t="s">
        <v>683</v>
      </c>
      <c r="YS1" s="46" t="s">
        <v>684</v>
      </c>
      <c r="YT1" s="46" t="s">
        <v>685</v>
      </c>
      <c r="YU1" s="46" t="s">
        <v>686</v>
      </c>
      <c r="YV1" s="46" t="s">
        <v>687</v>
      </c>
      <c r="YW1" s="46" t="s">
        <v>688</v>
      </c>
      <c r="YX1" s="46" t="s">
        <v>689</v>
      </c>
      <c r="YY1" s="46" t="s">
        <v>690</v>
      </c>
      <c r="YZ1" s="46" t="s">
        <v>691</v>
      </c>
      <c r="ZA1" s="46" t="s">
        <v>692</v>
      </c>
      <c r="ZB1" s="46" t="s">
        <v>693</v>
      </c>
      <c r="ZC1" s="46" t="s">
        <v>694</v>
      </c>
      <c r="ZD1" s="46" t="s">
        <v>695</v>
      </c>
      <c r="ZE1" s="46" t="s">
        <v>696</v>
      </c>
      <c r="ZF1" s="46" t="s">
        <v>697</v>
      </c>
      <c r="ZG1" s="46" t="s">
        <v>698</v>
      </c>
      <c r="ZH1" s="46" t="s">
        <v>699</v>
      </c>
      <c r="ZI1" s="46" t="s">
        <v>700</v>
      </c>
      <c r="ZJ1" s="46" t="s">
        <v>701</v>
      </c>
      <c r="ZK1" s="46" t="s">
        <v>702</v>
      </c>
      <c r="ZL1" s="46" t="s">
        <v>703</v>
      </c>
      <c r="ZM1" s="46" t="s">
        <v>704</v>
      </c>
      <c r="ZN1" s="46" t="s">
        <v>705</v>
      </c>
      <c r="ZO1" s="46" t="s">
        <v>706</v>
      </c>
      <c r="ZP1" s="46" t="s">
        <v>707</v>
      </c>
      <c r="ZQ1" s="46" t="s">
        <v>708</v>
      </c>
      <c r="ZR1" s="46" t="s">
        <v>709</v>
      </c>
      <c r="ZS1" s="46" t="s">
        <v>710</v>
      </c>
      <c r="ZT1" s="46" t="s">
        <v>711</v>
      </c>
      <c r="ZU1" s="46" t="s">
        <v>712</v>
      </c>
      <c r="ZV1" s="46" t="s">
        <v>713</v>
      </c>
      <c r="ZW1" s="46" t="s">
        <v>714</v>
      </c>
      <c r="ZX1" s="46" t="s">
        <v>715</v>
      </c>
      <c r="ZY1" s="46" t="s">
        <v>716</v>
      </c>
      <c r="ZZ1" s="46" t="s">
        <v>717</v>
      </c>
      <c r="AAA1" s="46" t="s">
        <v>718</v>
      </c>
      <c r="AAB1" s="46" t="s">
        <v>719</v>
      </c>
      <c r="AAC1" s="46" t="s">
        <v>720</v>
      </c>
      <c r="AAD1" s="46" t="s">
        <v>721</v>
      </c>
      <c r="AAE1" s="46" t="s">
        <v>722</v>
      </c>
      <c r="AAF1" s="46" t="s">
        <v>723</v>
      </c>
      <c r="AAG1" s="46" t="s">
        <v>724</v>
      </c>
      <c r="AAH1" s="46" t="s">
        <v>725</v>
      </c>
      <c r="AAI1" s="46" t="s">
        <v>726</v>
      </c>
      <c r="AAJ1" s="46" t="s">
        <v>727</v>
      </c>
      <c r="AAK1" s="46" t="s">
        <v>728</v>
      </c>
      <c r="AAL1" s="46" t="s">
        <v>729</v>
      </c>
      <c r="AAM1" s="46" t="s">
        <v>730</v>
      </c>
      <c r="AAN1" s="46" t="s">
        <v>731</v>
      </c>
      <c r="AAO1" s="46" t="s">
        <v>732</v>
      </c>
      <c r="AAP1" s="46" t="s">
        <v>733</v>
      </c>
      <c r="AAQ1" s="46" t="s">
        <v>734</v>
      </c>
      <c r="AAR1" s="46" t="s">
        <v>735</v>
      </c>
      <c r="AAS1" s="46" t="s">
        <v>736</v>
      </c>
      <c r="AAT1" s="46" t="s">
        <v>737</v>
      </c>
      <c r="AAU1" s="46" t="s">
        <v>738</v>
      </c>
      <c r="AAV1" s="46" t="s">
        <v>739</v>
      </c>
      <c r="AAW1" s="46" t="s">
        <v>740</v>
      </c>
      <c r="AAX1" s="46" t="s">
        <v>741</v>
      </c>
      <c r="AAY1" s="46" t="s">
        <v>742</v>
      </c>
      <c r="AAZ1" s="46" t="s">
        <v>743</v>
      </c>
      <c r="ABA1" s="46" t="s">
        <v>744</v>
      </c>
      <c r="ABB1" s="46" t="s">
        <v>745</v>
      </c>
      <c r="ABC1" s="46" t="s">
        <v>746</v>
      </c>
      <c r="ABD1" s="46" t="s">
        <v>747</v>
      </c>
      <c r="ABE1" s="46" t="s">
        <v>748</v>
      </c>
      <c r="ABF1" s="46" t="s">
        <v>749</v>
      </c>
      <c r="ABG1" s="46" t="s">
        <v>750</v>
      </c>
      <c r="ABH1" s="46" t="s">
        <v>751</v>
      </c>
      <c r="ABI1" s="46" t="s">
        <v>752</v>
      </c>
      <c r="ABJ1" s="46" t="s">
        <v>753</v>
      </c>
      <c r="ABK1" s="46" t="s">
        <v>754</v>
      </c>
      <c r="ABL1" s="46" t="s">
        <v>755</v>
      </c>
      <c r="ABM1" s="46" t="s">
        <v>756</v>
      </c>
      <c r="ABN1" s="46" t="s">
        <v>757</v>
      </c>
      <c r="ABO1" s="46" t="s">
        <v>758</v>
      </c>
      <c r="ABP1" s="46" t="s">
        <v>759</v>
      </c>
      <c r="ABQ1" s="46" t="s">
        <v>760</v>
      </c>
      <c r="ABR1" s="46" t="s">
        <v>761</v>
      </c>
      <c r="ABS1" s="46" t="s">
        <v>762</v>
      </c>
      <c r="ABT1" s="46" t="s">
        <v>763</v>
      </c>
      <c r="ABU1" s="46" t="s">
        <v>764</v>
      </c>
      <c r="ABV1" s="46" t="s">
        <v>765</v>
      </c>
      <c r="ABW1" s="46" t="s">
        <v>766</v>
      </c>
      <c r="ABX1" s="46" t="s">
        <v>767</v>
      </c>
      <c r="ABY1" s="46" t="s">
        <v>768</v>
      </c>
      <c r="ABZ1" s="46" t="s">
        <v>769</v>
      </c>
      <c r="ACA1" s="46" t="s">
        <v>770</v>
      </c>
      <c r="ACB1" s="46" t="s">
        <v>771</v>
      </c>
      <c r="ACC1" s="46" t="s">
        <v>772</v>
      </c>
      <c r="ACD1" s="46" t="s">
        <v>773</v>
      </c>
      <c r="ACE1" s="46" t="s">
        <v>774</v>
      </c>
      <c r="ACF1" s="46" t="s">
        <v>775</v>
      </c>
      <c r="ACG1" s="46" t="s">
        <v>776</v>
      </c>
      <c r="ACH1" s="46" t="s">
        <v>777</v>
      </c>
      <c r="ACI1" s="46" t="s">
        <v>778</v>
      </c>
      <c r="ACJ1" s="46" t="s">
        <v>779</v>
      </c>
      <c r="ACK1" s="46" t="s">
        <v>780</v>
      </c>
      <c r="ACL1" s="46" t="s">
        <v>781</v>
      </c>
      <c r="ACM1" s="46" t="s">
        <v>782</v>
      </c>
      <c r="ACN1" s="46" t="s">
        <v>783</v>
      </c>
      <c r="ACO1" s="46" t="s">
        <v>784</v>
      </c>
      <c r="ACP1" s="46" t="s">
        <v>785</v>
      </c>
      <c r="ACQ1" s="46" t="s">
        <v>786</v>
      </c>
      <c r="ACR1" s="46" t="s">
        <v>787</v>
      </c>
      <c r="ACS1" s="46" t="s">
        <v>788</v>
      </c>
      <c r="ACT1" s="46" t="s">
        <v>789</v>
      </c>
      <c r="ACU1" s="46" t="s">
        <v>790</v>
      </c>
      <c r="ACV1" s="46" t="s">
        <v>791</v>
      </c>
      <c r="ACW1" s="46" t="s">
        <v>792</v>
      </c>
      <c r="ACX1" s="46" t="s">
        <v>793</v>
      </c>
      <c r="ACY1" s="46" t="s">
        <v>794</v>
      </c>
      <c r="ACZ1" s="46" t="s">
        <v>795</v>
      </c>
      <c r="ADA1" s="46" t="s">
        <v>796</v>
      </c>
      <c r="ADB1" s="46" t="s">
        <v>797</v>
      </c>
      <c r="ADC1" s="46" t="s">
        <v>798</v>
      </c>
      <c r="ADD1" s="46" t="s">
        <v>799</v>
      </c>
      <c r="ADE1" s="46" t="s">
        <v>800</v>
      </c>
      <c r="ADF1" s="46" t="s">
        <v>801</v>
      </c>
      <c r="ADG1" s="46" t="s">
        <v>802</v>
      </c>
      <c r="ADH1" s="46" t="s">
        <v>803</v>
      </c>
      <c r="ADI1" s="46" t="s">
        <v>804</v>
      </c>
      <c r="ADJ1" s="46" t="s">
        <v>805</v>
      </c>
      <c r="ADK1" s="46" t="s">
        <v>806</v>
      </c>
      <c r="ADL1" s="46" t="s">
        <v>807</v>
      </c>
      <c r="ADM1" s="46" t="s">
        <v>808</v>
      </c>
      <c r="ADN1" s="46" t="s">
        <v>809</v>
      </c>
      <c r="ADO1" s="46" t="s">
        <v>810</v>
      </c>
      <c r="ADP1" s="46" t="s">
        <v>811</v>
      </c>
      <c r="ADQ1" s="46" t="s">
        <v>812</v>
      </c>
      <c r="ADR1" s="46" t="s">
        <v>813</v>
      </c>
      <c r="ADS1" s="46" t="s">
        <v>814</v>
      </c>
      <c r="ADT1" s="46" t="s">
        <v>815</v>
      </c>
      <c r="ADU1" s="46" t="s">
        <v>816</v>
      </c>
      <c r="ADV1" s="46" t="s">
        <v>817</v>
      </c>
      <c r="ADW1" s="46" t="s">
        <v>818</v>
      </c>
      <c r="ADX1" s="46" t="s">
        <v>819</v>
      </c>
      <c r="ADY1" s="46" t="s">
        <v>820</v>
      </c>
      <c r="ADZ1" s="46" t="s">
        <v>821</v>
      </c>
      <c r="AEA1" s="46" t="s">
        <v>822</v>
      </c>
      <c r="AEB1" s="46" t="s">
        <v>823</v>
      </c>
      <c r="AEC1" s="46" t="s">
        <v>824</v>
      </c>
      <c r="AED1" s="46" t="s">
        <v>825</v>
      </c>
      <c r="AEE1" s="46" t="s">
        <v>826</v>
      </c>
      <c r="AEF1" s="46" t="s">
        <v>827</v>
      </c>
      <c r="AEG1" s="46" t="s">
        <v>828</v>
      </c>
      <c r="AEH1" s="46" t="s">
        <v>829</v>
      </c>
      <c r="AEI1" s="46" t="s">
        <v>830</v>
      </c>
      <c r="AEJ1" s="46" t="s">
        <v>831</v>
      </c>
      <c r="AEK1" s="46" t="s">
        <v>832</v>
      </c>
      <c r="AEL1" s="46" t="s">
        <v>833</v>
      </c>
      <c r="AEM1" s="46" t="s">
        <v>834</v>
      </c>
      <c r="AEN1" s="46" t="s">
        <v>835</v>
      </c>
      <c r="AEO1" s="46" t="s">
        <v>836</v>
      </c>
      <c r="AEP1" s="46" t="s">
        <v>837</v>
      </c>
      <c r="AEQ1" s="46" t="s">
        <v>838</v>
      </c>
      <c r="AER1" s="46" t="s">
        <v>839</v>
      </c>
      <c r="AES1" s="46" t="s">
        <v>840</v>
      </c>
      <c r="AET1" s="46" t="s">
        <v>841</v>
      </c>
      <c r="AEU1" s="46" t="s">
        <v>842</v>
      </c>
      <c r="AEV1" s="46" t="s">
        <v>843</v>
      </c>
      <c r="AEW1" s="46" t="s">
        <v>844</v>
      </c>
      <c r="AEX1" s="46" t="s">
        <v>845</v>
      </c>
      <c r="AEY1" s="46" t="s">
        <v>846</v>
      </c>
      <c r="AEZ1" s="46" t="s">
        <v>847</v>
      </c>
      <c r="AFA1" s="46" t="s">
        <v>848</v>
      </c>
      <c r="AFB1" s="46" t="s">
        <v>849</v>
      </c>
      <c r="AFC1" s="46" t="s">
        <v>850</v>
      </c>
      <c r="AFD1" s="46" t="s">
        <v>851</v>
      </c>
      <c r="AFE1" s="46" t="s">
        <v>852</v>
      </c>
      <c r="AFF1" s="46" t="s">
        <v>853</v>
      </c>
      <c r="AFG1" s="46" t="s">
        <v>854</v>
      </c>
      <c r="AFH1" s="46" t="s">
        <v>855</v>
      </c>
      <c r="AFI1" s="46" t="s">
        <v>856</v>
      </c>
      <c r="AFJ1" s="46" t="s">
        <v>857</v>
      </c>
      <c r="AFK1" s="46" t="s">
        <v>858</v>
      </c>
      <c r="AFL1" s="46" t="s">
        <v>859</v>
      </c>
      <c r="AFM1" s="46" t="s">
        <v>860</v>
      </c>
      <c r="AFN1" s="46" t="s">
        <v>861</v>
      </c>
      <c r="AFO1" s="46" t="s">
        <v>862</v>
      </c>
      <c r="AFP1" s="46" t="s">
        <v>863</v>
      </c>
      <c r="AFQ1" s="46" t="s">
        <v>864</v>
      </c>
      <c r="AFR1" s="46" t="s">
        <v>865</v>
      </c>
      <c r="AFS1" s="46" t="s">
        <v>866</v>
      </c>
      <c r="AFT1" s="46" t="s">
        <v>867</v>
      </c>
      <c r="AFU1" s="46" t="s">
        <v>868</v>
      </c>
      <c r="AFV1" s="46" t="s">
        <v>869</v>
      </c>
      <c r="AFW1" s="46" t="s">
        <v>870</v>
      </c>
      <c r="AFX1" s="46" t="s">
        <v>871</v>
      </c>
      <c r="AFY1" s="46" t="s">
        <v>872</v>
      </c>
      <c r="AFZ1" s="46" t="s">
        <v>873</v>
      </c>
      <c r="AGA1" s="46" t="s">
        <v>874</v>
      </c>
      <c r="AGB1" s="46" t="s">
        <v>875</v>
      </c>
      <c r="AGC1" s="46" t="s">
        <v>876</v>
      </c>
      <c r="AGD1" s="46" t="s">
        <v>877</v>
      </c>
      <c r="AGE1" s="46" t="s">
        <v>878</v>
      </c>
      <c r="AGF1" s="46" t="s">
        <v>879</v>
      </c>
      <c r="AGG1" s="46" t="s">
        <v>880</v>
      </c>
      <c r="AGH1" s="46" t="s">
        <v>881</v>
      </c>
      <c r="AGI1" s="46" t="s">
        <v>882</v>
      </c>
      <c r="AGJ1" s="46" t="s">
        <v>883</v>
      </c>
      <c r="AGK1" s="46" t="s">
        <v>884</v>
      </c>
      <c r="AGL1" s="46" t="s">
        <v>885</v>
      </c>
      <c r="AGM1" s="46" t="s">
        <v>886</v>
      </c>
      <c r="AGN1" s="46" t="s">
        <v>887</v>
      </c>
      <c r="AGO1" s="46" t="s">
        <v>888</v>
      </c>
      <c r="AGP1" s="46" t="s">
        <v>889</v>
      </c>
      <c r="AGQ1" s="46" t="s">
        <v>890</v>
      </c>
      <c r="AGR1" s="46" t="s">
        <v>891</v>
      </c>
      <c r="AGS1" s="46" t="s">
        <v>892</v>
      </c>
      <c r="AGT1" s="46" t="s">
        <v>893</v>
      </c>
      <c r="AGU1" s="46" t="s">
        <v>894</v>
      </c>
      <c r="AGV1" s="46" t="s">
        <v>895</v>
      </c>
      <c r="AGW1" s="46" t="s">
        <v>896</v>
      </c>
      <c r="AGX1" s="46" t="s">
        <v>897</v>
      </c>
      <c r="AGY1" s="46" t="s">
        <v>898</v>
      </c>
      <c r="AGZ1" s="46" t="s">
        <v>899</v>
      </c>
      <c r="AHA1" s="46" t="s">
        <v>900</v>
      </c>
      <c r="AHB1" s="46" t="s">
        <v>901</v>
      </c>
      <c r="AHC1" s="46" t="s">
        <v>902</v>
      </c>
      <c r="AHD1" s="46" t="s">
        <v>903</v>
      </c>
      <c r="AHE1" s="46" t="s">
        <v>904</v>
      </c>
      <c r="AHF1" s="46" t="s">
        <v>905</v>
      </c>
      <c r="AHG1" s="46" t="s">
        <v>906</v>
      </c>
      <c r="AHH1" s="46" t="s">
        <v>907</v>
      </c>
      <c r="AHI1" s="46" t="s">
        <v>908</v>
      </c>
      <c r="AHJ1" s="46" t="s">
        <v>909</v>
      </c>
      <c r="AHK1" s="46" t="s">
        <v>910</v>
      </c>
      <c r="AHL1" s="46" t="s">
        <v>911</v>
      </c>
      <c r="AHM1" s="46" t="s">
        <v>912</v>
      </c>
      <c r="AHN1" s="46" t="s">
        <v>913</v>
      </c>
      <c r="AHO1" s="46" t="s">
        <v>914</v>
      </c>
      <c r="AHP1" s="46" t="s">
        <v>915</v>
      </c>
      <c r="AHQ1" s="46" t="s">
        <v>916</v>
      </c>
      <c r="AHR1" s="46" t="s">
        <v>917</v>
      </c>
      <c r="AHS1" s="46" t="s">
        <v>918</v>
      </c>
      <c r="AHT1" s="46" t="s">
        <v>919</v>
      </c>
      <c r="AHU1" s="46" t="s">
        <v>920</v>
      </c>
      <c r="AHV1" s="46" t="s">
        <v>921</v>
      </c>
      <c r="AHW1" s="46" t="s">
        <v>922</v>
      </c>
      <c r="AHX1" s="46" t="s">
        <v>923</v>
      </c>
      <c r="AHY1" s="46" t="s">
        <v>924</v>
      </c>
      <c r="AHZ1" s="46" t="s">
        <v>925</v>
      </c>
      <c r="AIA1" s="46" t="s">
        <v>926</v>
      </c>
      <c r="AIB1" s="46" t="s">
        <v>927</v>
      </c>
      <c r="AIC1" s="46" t="s">
        <v>928</v>
      </c>
      <c r="AID1" s="46" t="s">
        <v>929</v>
      </c>
      <c r="AIE1" s="46" t="s">
        <v>930</v>
      </c>
      <c r="AIF1" s="46" t="s">
        <v>931</v>
      </c>
      <c r="AIG1" s="46" t="s">
        <v>932</v>
      </c>
      <c r="AIH1" s="46" t="s">
        <v>933</v>
      </c>
      <c r="AII1" s="46" t="s">
        <v>934</v>
      </c>
      <c r="AIJ1" s="46" t="s">
        <v>935</v>
      </c>
      <c r="AIK1" s="46" t="s">
        <v>936</v>
      </c>
      <c r="AIL1" s="46" t="s">
        <v>937</v>
      </c>
      <c r="AIM1" s="46" t="s">
        <v>938</v>
      </c>
      <c r="AIN1" s="46" t="s">
        <v>939</v>
      </c>
      <c r="AIO1" s="46" t="s">
        <v>940</v>
      </c>
      <c r="AIP1" s="46" t="s">
        <v>941</v>
      </c>
      <c r="AIQ1" s="46" t="s">
        <v>942</v>
      </c>
      <c r="AIR1" s="46" t="s">
        <v>943</v>
      </c>
      <c r="AIS1" s="46" t="s">
        <v>944</v>
      </c>
      <c r="AIT1" s="46" t="s">
        <v>945</v>
      </c>
      <c r="AIU1" s="46" t="s">
        <v>946</v>
      </c>
      <c r="AIV1" s="46" t="s">
        <v>947</v>
      </c>
      <c r="AIW1" s="46" t="s">
        <v>948</v>
      </c>
      <c r="AIX1" s="46" t="s">
        <v>949</v>
      </c>
      <c r="AIY1" s="46" t="s">
        <v>950</v>
      </c>
      <c r="AIZ1" s="46" t="s">
        <v>951</v>
      </c>
      <c r="AJA1" s="46" t="s">
        <v>952</v>
      </c>
      <c r="AJB1" s="46" t="s">
        <v>953</v>
      </c>
      <c r="AJC1" s="46" t="s">
        <v>954</v>
      </c>
      <c r="AJD1" s="46" t="s">
        <v>955</v>
      </c>
      <c r="AJE1" s="46" t="s">
        <v>956</v>
      </c>
      <c r="AJF1" s="46" t="s">
        <v>957</v>
      </c>
      <c r="AJG1" s="46" t="s">
        <v>958</v>
      </c>
      <c r="AJH1" s="46" t="s">
        <v>959</v>
      </c>
      <c r="AJI1" s="46" t="s">
        <v>960</v>
      </c>
      <c r="AJJ1" s="46" t="s">
        <v>961</v>
      </c>
      <c r="AJK1" s="46" t="s">
        <v>962</v>
      </c>
      <c r="AJL1" s="46" t="s">
        <v>963</v>
      </c>
      <c r="AJM1" s="46" t="s">
        <v>964</v>
      </c>
      <c r="AJN1" s="46" t="s">
        <v>965</v>
      </c>
      <c r="AJO1" s="46" t="s">
        <v>966</v>
      </c>
      <c r="AJP1" s="46" t="s">
        <v>967</v>
      </c>
      <c r="AJQ1" s="46" t="s">
        <v>968</v>
      </c>
      <c r="AJR1" s="46" t="s">
        <v>969</v>
      </c>
      <c r="AJS1" s="46" t="s">
        <v>970</v>
      </c>
      <c r="AJT1" s="46" t="s">
        <v>971</v>
      </c>
      <c r="AJU1" s="46" t="s">
        <v>972</v>
      </c>
      <c r="AJV1" s="46" t="s">
        <v>973</v>
      </c>
      <c r="AJW1" s="46" t="s">
        <v>974</v>
      </c>
      <c r="AJX1" s="46" t="s">
        <v>975</v>
      </c>
      <c r="AJY1" s="46" t="s">
        <v>976</v>
      </c>
      <c r="AJZ1" s="46" t="s">
        <v>977</v>
      </c>
      <c r="AKA1" s="46" t="s">
        <v>978</v>
      </c>
      <c r="AKB1" s="46" t="s">
        <v>979</v>
      </c>
      <c r="AKC1" s="46" t="s">
        <v>980</v>
      </c>
      <c r="AKD1" s="46" t="s">
        <v>981</v>
      </c>
      <c r="AKE1" s="46" t="s">
        <v>982</v>
      </c>
      <c r="AKF1" s="46" t="s">
        <v>983</v>
      </c>
      <c r="AKG1" s="46" t="s">
        <v>984</v>
      </c>
      <c r="AKH1" s="46" t="s">
        <v>985</v>
      </c>
      <c r="AKI1" s="46" t="s">
        <v>986</v>
      </c>
      <c r="AKJ1" s="46" t="s">
        <v>987</v>
      </c>
      <c r="AKK1" s="46" t="s">
        <v>988</v>
      </c>
      <c r="AKL1" s="46" t="s">
        <v>989</v>
      </c>
      <c r="AKM1" s="46" t="s">
        <v>990</v>
      </c>
      <c r="AKN1" s="46" t="s">
        <v>991</v>
      </c>
      <c r="AKO1" s="46" t="s">
        <v>992</v>
      </c>
      <c r="AKP1" s="46" t="s">
        <v>993</v>
      </c>
      <c r="AKQ1" s="46" t="s">
        <v>994</v>
      </c>
      <c r="AKR1" s="46" t="s">
        <v>995</v>
      </c>
      <c r="AKS1" s="46" t="s">
        <v>996</v>
      </c>
      <c r="AKT1" s="46" t="s">
        <v>997</v>
      </c>
      <c r="AKU1" s="46" t="s">
        <v>998</v>
      </c>
      <c r="AKV1" s="46" t="s">
        <v>999</v>
      </c>
      <c r="AKW1" s="46" t="s">
        <v>1000</v>
      </c>
      <c r="AKX1" s="46" t="s">
        <v>1001</v>
      </c>
      <c r="AKY1" s="46" t="s">
        <v>1002</v>
      </c>
      <c r="AKZ1" s="46" t="s">
        <v>1003</v>
      </c>
      <c r="ALA1" s="46" t="s">
        <v>1004</v>
      </c>
      <c r="ALB1" s="46" t="s">
        <v>1005</v>
      </c>
      <c r="ALC1" s="46" t="s">
        <v>1006</v>
      </c>
      <c r="ALD1" s="46" t="s">
        <v>1007</v>
      </c>
      <c r="ALE1" s="46" t="s">
        <v>1008</v>
      </c>
      <c r="ALF1" s="46" t="s">
        <v>1009</v>
      </c>
      <c r="ALG1" s="46" t="s">
        <v>1010</v>
      </c>
      <c r="ALH1" s="46" t="s">
        <v>1011</v>
      </c>
      <c r="ALI1" s="46" t="s">
        <v>1012</v>
      </c>
      <c r="ALJ1" s="46" t="s">
        <v>1013</v>
      </c>
      <c r="ALK1" s="46" t="s">
        <v>1014</v>
      </c>
      <c r="ALL1" s="46" t="s">
        <v>1015</v>
      </c>
      <c r="ALM1" s="46" t="s">
        <v>1016</v>
      </c>
      <c r="ALN1" s="46" t="s">
        <v>1017</v>
      </c>
      <c r="ALO1" s="46" t="s">
        <v>1018</v>
      </c>
      <c r="ALP1" s="46" t="s">
        <v>1019</v>
      </c>
      <c r="ALQ1" s="46" t="s">
        <v>1020</v>
      </c>
      <c r="ALR1" s="46" t="s">
        <v>1021</v>
      </c>
      <c r="ALS1" s="46" t="s">
        <v>1022</v>
      </c>
      <c r="ALT1" s="46" t="s">
        <v>1023</v>
      </c>
      <c r="ALU1" s="46" t="s">
        <v>1024</v>
      </c>
      <c r="ALV1" s="46" t="s">
        <v>1025</v>
      </c>
      <c r="ALW1" s="46" t="s">
        <v>1026</v>
      </c>
      <c r="ALX1" s="46" t="s">
        <v>1027</v>
      </c>
      <c r="ALY1" s="46" t="s">
        <v>1028</v>
      </c>
      <c r="ALZ1" s="46" t="s">
        <v>1029</v>
      </c>
      <c r="AMA1" s="46" t="s">
        <v>1030</v>
      </c>
      <c r="AMB1" s="46" t="s">
        <v>1031</v>
      </c>
      <c r="AMC1" s="46" t="s">
        <v>1032</v>
      </c>
      <c r="AMD1" s="46" t="s">
        <v>1033</v>
      </c>
      <c r="AME1" s="46" t="s">
        <v>1034</v>
      </c>
      <c r="AMF1" s="46" t="s">
        <v>1035</v>
      </c>
      <c r="AMG1" s="46" t="s">
        <v>1036</v>
      </c>
      <c r="AMH1" s="46" t="s">
        <v>1037</v>
      </c>
      <c r="AMI1" s="46" t="s">
        <v>1038</v>
      </c>
      <c r="AMJ1" s="46" t="s">
        <v>1039</v>
      </c>
      <c r="AMK1" s="46" t="s">
        <v>1040</v>
      </c>
      <c r="AML1" s="46" t="s">
        <v>1041</v>
      </c>
      <c r="AMM1" s="46" t="s">
        <v>1042</v>
      </c>
      <c r="AMN1" s="46" t="s">
        <v>1043</v>
      </c>
      <c r="AMO1" s="46" t="s">
        <v>1044</v>
      </c>
      <c r="AMP1" s="46" t="s">
        <v>1045</v>
      </c>
      <c r="AMQ1" s="46" t="s">
        <v>1046</v>
      </c>
      <c r="AMR1" s="46" t="s">
        <v>1047</v>
      </c>
      <c r="AMS1" s="46" t="s">
        <v>1048</v>
      </c>
      <c r="AMT1" s="46" t="s">
        <v>1049</v>
      </c>
      <c r="AMU1" s="46" t="s">
        <v>1050</v>
      </c>
      <c r="AMV1" s="46" t="s">
        <v>1051</v>
      </c>
      <c r="AMW1" s="46" t="s">
        <v>1052</v>
      </c>
      <c r="AMX1" s="46" t="s">
        <v>1053</v>
      </c>
      <c r="AMY1" s="46" t="s">
        <v>1054</v>
      </c>
      <c r="AMZ1" s="46" t="s">
        <v>1055</v>
      </c>
      <c r="ANA1" s="46" t="s">
        <v>1056</v>
      </c>
      <c r="ANB1" s="46" t="s">
        <v>1057</v>
      </c>
      <c r="ANC1" s="46" t="s">
        <v>1058</v>
      </c>
      <c r="AND1" s="46" t="s">
        <v>1059</v>
      </c>
      <c r="ANE1" s="46" t="s">
        <v>1060</v>
      </c>
      <c r="ANF1" s="46" t="s">
        <v>1061</v>
      </c>
      <c r="ANG1" s="46" t="s">
        <v>1062</v>
      </c>
      <c r="ANH1" s="46" t="s">
        <v>1063</v>
      </c>
      <c r="ANI1" s="46" t="s">
        <v>1064</v>
      </c>
      <c r="ANJ1" s="46" t="s">
        <v>1065</v>
      </c>
      <c r="ANK1" s="46" t="s">
        <v>1066</v>
      </c>
      <c r="ANL1" s="46" t="s">
        <v>1067</v>
      </c>
      <c r="ANM1" s="46" t="s">
        <v>1068</v>
      </c>
      <c r="ANN1" s="46" t="s">
        <v>1069</v>
      </c>
      <c r="ANO1" s="46" t="s">
        <v>1070</v>
      </c>
      <c r="ANP1" s="46" t="s">
        <v>1071</v>
      </c>
      <c r="ANQ1" s="46" t="s">
        <v>1072</v>
      </c>
      <c r="ANR1" s="46" t="s">
        <v>1073</v>
      </c>
      <c r="ANS1" s="46" t="s">
        <v>1074</v>
      </c>
      <c r="ANT1" s="46" t="s">
        <v>1075</v>
      </c>
      <c r="ANU1" s="46" t="s">
        <v>1076</v>
      </c>
      <c r="ANV1" s="46" t="s">
        <v>1077</v>
      </c>
      <c r="ANW1" s="46" t="s">
        <v>1078</v>
      </c>
      <c r="ANX1" s="46" t="s">
        <v>1079</v>
      </c>
      <c r="ANY1" s="46" t="s">
        <v>1080</v>
      </c>
      <c r="ANZ1" s="46" t="s">
        <v>1081</v>
      </c>
      <c r="AOA1" s="46" t="s">
        <v>1082</v>
      </c>
      <c r="AOB1" s="46" t="s">
        <v>1083</v>
      </c>
      <c r="AOC1" s="46" t="s">
        <v>1084</v>
      </c>
      <c r="AOD1" s="46" t="s">
        <v>1085</v>
      </c>
      <c r="AOE1" s="46" t="s">
        <v>1086</v>
      </c>
      <c r="AOF1" s="46" t="s">
        <v>1087</v>
      </c>
      <c r="AOG1" s="46" t="s">
        <v>1088</v>
      </c>
      <c r="AOH1" s="46" t="s">
        <v>1089</v>
      </c>
      <c r="AOI1" s="46" t="s">
        <v>1090</v>
      </c>
      <c r="AOJ1" s="46" t="s">
        <v>1091</v>
      </c>
      <c r="AOK1" s="46" t="s">
        <v>1092</v>
      </c>
      <c r="AOL1" s="46" t="s">
        <v>1093</v>
      </c>
      <c r="AOM1" s="46" t="s">
        <v>1094</v>
      </c>
      <c r="AON1" s="46" t="s">
        <v>1095</v>
      </c>
      <c r="AOO1" s="46" t="s">
        <v>1096</v>
      </c>
      <c r="AOP1" s="46" t="s">
        <v>1097</v>
      </c>
      <c r="AOQ1" s="46" t="s">
        <v>1098</v>
      </c>
      <c r="AOR1" s="46" t="s">
        <v>1099</v>
      </c>
      <c r="AOS1" s="46" t="s">
        <v>1100</v>
      </c>
      <c r="AOT1" s="46" t="s">
        <v>1101</v>
      </c>
      <c r="AOU1" s="46" t="s">
        <v>1102</v>
      </c>
      <c r="AOV1" s="46" t="s">
        <v>1103</v>
      </c>
      <c r="AOW1" s="46" t="s">
        <v>1104</v>
      </c>
      <c r="AOX1" s="46" t="s">
        <v>1105</v>
      </c>
      <c r="AOY1" s="46" t="s">
        <v>1106</v>
      </c>
      <c r="AOZ1" s="46" t="s">
        <v>1107</v>
      </c>
      <c r="APA1" s="46" t="s">
        <v>1108</v>
      </c>
      <c r="APB1" s="46" t="s">
        <v>1109</v>
      </c>
      <c r="APC1" s="46" t="s">
        <v>1110</v>
      </c>
      <c r="APD1" s="46" t="s">
        <v>1111</v>
      </c>
      <c r="APE1" s="46" t="s">
        <v>1112</v>
      </c>
      <c r="APF1" s="46" t="s">
        <v>1113</v>
      </c>
      <c r="APG1" s="46" t="s">
        <v>1114</v>
      </c>
      <c r="APH1" s="46" t="s">
        <v>1115</v>
      </c>
      <c r="API1" s="46" t="s">
        <v>1116</v>
      </c>
      <c r="APJ1" s="46" t="s">
        <v>1117</v>
      </c>
      <c r="APK1" s="46" t="s">
        <v>1118</v>
      </c>
      <c r="APL1" s="46" t="s">
        <v>1119</v>
      </c>
      <c r="APM1" s="46" t="s">
        <v>1120</v>
      </c>
      <c r="APN1" s="46" t="s">
        <v>1121</v>
      </c>
      <c r="APO1" s="46" t="s">
        <v>1122</v>
      </c>
      <c r="APP1" s="46" t="s">
        <v>1123</v>
      </c>
      <c r="APQ1" s="46" t="s">
        <v>1124</v>
      </c>
      <c r="APR1" s="46" t="s">
        <v>1125</v>
      </c>
      <c r="APS1" s="46" t="s">
        <v>1126</v>
      </c>
      <c r="APT1" s="46" t="s">
        <v>1127</v>
      </c>
      <c r="APU1" s="46" t="s">
        <v>1128</v>
      </c>
      <c r="APV1" s="46" t="s">
        <v>1129</v>
      </c>
      <c r="APW1" s="46" t="s">
        <v>1130</v>
      </c>
      <c r="APX1" s="46" t="s">
        <v>1131</v>
      </c>
      <c r="APY1" s="46" t="s">
        <v>1132</v>
      </c>
      <c r="APZ1" s="46" t="s">
        <v>1133</v>
      </c>
      <c r="AQA1" s="46" t="s">
        <v>1134</v>
      </c>
      <c r="AQB1" s="46" t="s">
        <v>1135</v>
      </c>
      <c r="AQC1" s="46" t="s">
        <v>1136</v>
      </c>
      <c r="AQD1" s="46" t="s">
        <v>1137</v>
      </c>
      <c r="AQE1" s="46" t="s">
        <v>1138</v>
      </c>
      <c r="AQF1" s="46" t="s">
        <v>1139</v>
      </c>
      <c r="AQG1" s="46" t="s">
        <v>1140</v>
      </c>
      <c r="AQH1" s="46" t="s">
        <v>1141</v>
      </c>
      <c r="AQI1" s="46" t="s">
        <v>1142</v>
      </c>
      <c r="AQJ1" s="46" t="s">
        <v>1143</v>
      </c>
      <c r="AQK1" s="46" t="s">
        <v>1144</v>
      </c>
      <c r="AQL1" s="46" t="s">
        <v>1145</v>
      </c>
      <c r="AQM1" s="46" t="s">
        <v>1146</v>
      </c>
      <c r="AQN1" s="46" t="s">
        <v>1147</v>
      </c>
      <c r="AQO1" s="46" t="s">
        <v>1148</v>
      </c>
      <c r="AQP1" s="46" t="s">
        <v>1149</v>
      </c>
      <c r="AQQ1" s="46" t="s">
        <v>1150</v>
      </c>
      <c r="AQR1" s="46" t="s">
        <v>1151</v>
      </c>
      <c r="AQS1" s="46" t="s">
        <v>1152</v>
      </c>
      <c r="AQT1" s="46" t="s">
        <v>1153</v>
      </c>
      <c r="AQU1" s="46" t="s">
        <v>1154</v>
      </c>
      <c r="AQV1" s="46" t="s">
        <v>1155</v>
      </c>
      <c r="AQW1" s="46" t="s">
        <v>1156</v>
      </c>
      <c r="AQX1" s="46" t="s">
        <v>1157</v>
      </c>
      <c r="AQY1" s="46" t="s">
        <v>1158</v>
      </c>
      <c r="AQZ1" s="46" t="s">
        <v>1159</v>
      </c>
      <c r="ARA1" s="46" t="s">
        <v>1160</v>
      </c>
      <c r="ARB1" s="46" t="s">
        <v>1161</v>
      </c>
      <c r="ARC1" s="46" t="s">
        <v>1162</v>
      </c>
      <c r="ARD1" s="46" t="s">
        <v>1163</v>
      </c>
      <c r="ARE1" s="46" t="s">
        <v>1164</v>
      </c>
      <c r="ARF1" s="46" t="s">
        <v>1165</v>
      </c>
      <c r="ARG1" s="46" t="s">
        <v>1166</v>
      </c>
      <c r="ARH1" s="46" t="s">
        <v>1167</v>
      </c>
      <c r="ARI1" s="46" t="s">
        <v>1168</v>
      </c>
      <c r="ARJ1" s="46" t="s">
        <v>1169</v>
      </c>
      <c r="ARK1" s="46" t="s">
        <v>1170</v>
      </c>
      <c r="ARL1" s="46" t="s">
        <v>1171</v>
      </c>
      <c r="ARM1" s="46" t="s">
        <v>1172</v>
      </c>
      <c r="ARN1" s="46" t="s">
        <v>1173</v>
      </c>
      <c r="ARO1" s="46" t="s">
        <v>1174</v>
      </c>
      <c r="ARP1" s="46" t="s">
        <v>1175</v>
      </c>
      <c r="ARQ1" s="46" t="s">
        <v>1176</v>
      </c>
      <c r="ARR1" s="46" t="s">
        <v>1177</v>
      </c>
      <c r="ARS1" s="46" t="s">
        <v>1178</v>
      </c>
      <c r="ART1" s="46" t="s">
        <v>1179</v>
      </c>
      <c r="ARU1" s="46" t="s">
        <v>1180</v>
      </c>
      <c r="ARV1" s="46" t="s">
        <v>1181</v>
      </c>
      <c r="ARW1" s="46" t="s">
        <v>1182</v>
      </c>
      <c r="ARX1" s="46" t="s">
        <v>1183</v>
      </c>
      <c r="ARY1" s="46" t="s">
        <v>1184</v>
      </c>
      <c r="ARZ1" s="46" t="s">
        <v>1185</v>
      </c>
      <c r="ASA1" s="46" t="s">
        <v>1186</v>
      </c>
      <c r="ASB1" s="46" t="s">
        <v>1187</v>
      </c>
      <c r="ASC1" s="46" t="s">
        <v>1188</v>
      </c>
      <c r="ASD1" s="46" t="s">
        <v>1189</v>
      </c>
      <c r="ASE1" s="46" t="s">
        <v>1190</v>
      </c>
      <c r="ASF1" s="46" t="s">
        <v>1191</v>
      </c>
      <c r="ASG1" s="46" t="s">
        <v>1192</v>
      </c>
      <c r="ASH1" s="46" t="s">
        <v>1193</v>
      </c>
      <c r="ASI1" s="46" t="s">
        <v>1194</v>
      </c>
      <c r="ASJ1" s="46" t="s">
        <v>1195</v>
      </c>
      <c r="ASK1" s="46" t="s">
        <v>1196</v>
      </c>
      <c r="ASL1" s="46" t="s">
        <v>1197</v>
      </c>
      <c r="ASM1" s="46" t="s">
        <v>1198</v>
      </c>
      <c r="ASN1" s="46" t="s">
        <v>1199</v>
      </c>
      <c r="ASO1" s="46" t="s">
        <v>1200</v>
      </c>
      <c r="ASP1" s="46" t="s">
        <v>1201</v>
      </c>
      <c r="ASQ1" s="46" t="s">
        <v>1202</v>
      </c>
      <c r="ASR1" s="46" t="s">
        <v>1203</v>
      </c>
      <c r="ASS1" s="46" t="s">
        <v>1204</v>
      </c>
      <c r="AST1" s="46" t="s">
        <v>1205</v>
      </c>
      <c r="ASU1" s="46" t="s">
        <v>1206</v>
      </c>
      <c r="ASV1" s="46" t="s">
        <v>1207</v>
      </c>
      <c r="ASW1" s="46" t="s">
        <v>1208</v>
      </c>
      <c r="ASX1" s="46" t="s">
        <v>1209</v>
      </c>
      <c r="ASY1" s="46" t="s">
        <v>1210</v>
      </c>
      <c r="ASZ1" s="46" t="s">
        <v>1211</v>
      </c>
      <c r="ATA1" s="46" t="s">
        <v>1212</v>
      </c>
      <c r="ATB1" s="46" t="s">
        <v>1213</v>
      </c>
      <c r="ATC1" s="46" t="s">
        <v>1214</v>
      </c>
      <c r="ATD1" s="46" t="s">
        <v>1215</v>
      </c>
      <c r="ATE1" s="46" t="s">
        <v>1216</v>
      </c>
      <c r="ATF1" s="46" t="s">
        <v>1217</v>
      </c>
      <c r="ATG1" s="46" t="s">
        <v>1218</v>
      </c>
      <c r="ATH1" s="46" t="s">
        <v>1219</v>
      </c>
      <c r="ATI1" s="46" t="s">
        <v>1220</v>
      </c>
      <c r="ATJ1" s="46" t="s">
        <v>1221</v>
      </c>
      <c r="ATK1" s="46" t="s">
        <v>1222</v>
      </c>
      <c r="ATL1" s="46" t="s">
        <v>1223</v>
      </c>
      <c r="ATM1" s="46" t="s">
        <v>1224</v>
      </c>
      <c r="ATN1" s="46" t="s">
        <v>1225</v>
      </c>
      <c r="ATO1" s="46" t="s">
        <v>1226</v>
      </c>
      <c r="ATP1" s="46" t="s">
        <v>1227</v>
      </c>
      <c r="ATQ1" s="46" t="s">
        <v>1228</v>
      </c>
      <c r="ATR1" s="46" t="s">
        <v>1229</v>
      </c>
      <c r="ATS1" s="46" t="s">
        <v>1230</v>
      </c>
      <c r="ATT1" s="46" t="s">
        <v>1231</v>
      </c>
      <c r="ATU1" s="46" t="s">
        <v>1232</v>
      </c>
      <c r="ATV1" s="46" t="s">
        <v>1233</v>
      </c>
      <c r="ATW1" s="46" t="s">
        <v>1234</v>
      </c>
      <c r="ATX1" s="46" t="s">
        <v>1235</v>
      </c>
      <c r="ATY1" s="46" t="s">
        <v>1236</v>
      </c>
      <c r="ATZ1" s="46" t="s">
        <v>1237</v>
      </c>
      <c r="AUA1" s="46" t="s">
        <v>1238</v>
      </c>
      <c r="AUB1" s="46" t="s">
        <v>1239</v>
      </c>
      <c r="AUC1" s="46" t="s">
        <v>1240</v>
      </c>
      <c r="AUD1" s="46" t="s">
        <v>1241</v>
      </c>
      <c r="AUE1" s="46" t="s">
        <v>1242</v>
      </c>
      <c r="AUF1" s="46" t="s">
        <v>1243</v>
      </c>
      <c r="AUG1" s="46" t="s">
        <v>1244</v>
      </c>
      <c r="AUH1" s="46" t="s">
        <v>1245</v>
      </c>
      <c r="AUI1" s="46" t="s">
        <v>1246</v>
      </c>
      <c r="AUJ1" s="46" t="s">
        <v>1247</v>
      </c>
      <c r="AUK1" s="46" t="s">
        <v>1248</v>
      </c>
      <c r="AUL1" s="46" t="s">
        <v>1249</v>
      </c>
      <c r="AUM1" s="46" t="s">
        <v>1250</v>
      </c>
      <c r="AUN1" s="46" t="s">
        <v>1251</v>
      </c>
      <c r="AUO1" s="46" t="s">
        <v>1252</v>
      </c>
      <c r="AUP1" s="46" t="s">
        <v>1253</v>
      </c>
      <c r="AUQ1" s="46" t="s">
        <v>1254</v>
      </c>
      <c r="AUR1" s="46" t="s">
        <v>1255</v>
      </c>
      <c r="AUS1" s="46" t="s">
        <v>1256</v>
      </c>
      <c r="AUT1" s="46" t="s">
        <v>1257</v>
      </c>
      <c r="AUU1" s="46" t="s">
        <v>1258</v>
      </c>
      <c r="AUV1" s="46" t="s">
        <v>1259</v>
      </c>
      <c r="AUW1" s="46" t="s">
        <v>1260</v>
      </c>
      <c r="AUX1" s="46" t="s">
        <v>1261</v>
      </c>
      <c r="AUY1" s="46" t="s">
        <v>1262</v>
      </c>
      <c r="AUZ1" s="46" t="s">
        <v>1263</v>
      </c>
      <c r="AVA1" s="46" t="s">
        <v>1264</v>
      </c>
      <c r="AVB1" s="46" t="s">
        <v>1265</v>
      </c>
      <c r="AVC1" s="46" t="s">
        <v>1266</v>
      </c>
      <c r="AVD1" s="46" t="s">
        <v>1267</v>
      </c>
      <c r="AVE1" s="46" t="s">
        <v>1268</v>
      </c>
      <c r="AVF1" s="46" t="s">
        <v>1269</v>
      </c>
      <c r="AVG1" s="46" t="s">
        <v>1270</v>
      </c>
      <c r="AVH1" s="46" t="s">
        <v>1271</v>
      </c>
      <c r="AVI1" s="46" t="s">
        <v>1272</v>
      </c>
      <c r="AVJ1" s="46" t="s">
        <v>1273</v>
      </c>
      <c r="AVK1" s="46" t="s">
        <v>1274</v>
      </c>
      <c r="AVL1" s="46" t="s">
        <v>1275</v>
      </c>
      <c r="AVM1" s="46" t="s">
        <v>1276</v>
      </c>
      <c r="AVN1" s="46" t="s">
        <v>1277</v>
      </c>
      <c r="AVO1" s="46" t="s">
        <v>1278</v>
      </c>
      <c r="AVP1" s="46" t="s">
        <v>1279</v>
      </c>
      <c r="AVQ1" s="46" t="s">
        <v>1280</v>
      </c>
      <c r="AVR1" s="46" t="s">
        <v>1281</v>
      </c>
      <c r="AVS1" s="46" t="s">
        <v>1282</v>
      </c>
      <c r="AVT1" s="46" t="s">
        <v>1283</v>
      </c>
      <c r="AVU1" s="46" t="s">
        <v>1284</v>
      </c>
      <c r="AVV1" s="46" t="s">
        <v>1285</v>
      </c>
      <c r="AVW1" s="46" t="s">
        <v>1286</v>
      </c>
      <c r="AVX1" s="46" t="s">
        <v>1287</v>
      </c>
      <c r="AVY1" s="46" t="s">
        <v>1288</v>
      </c>
      <c r="AVZ1" s="46" t="s">
        <v>1289</v>
      </c>
      <c r="AWA1" s="46" t="s">
        <v>1290</v>
      </c>
      <c r="AWB1" s="46" t="s">
        <v>1291</v>
      </c>
      <c r="AWC1" s="46" t="s">
        <v>1292</v>
      </c>
      <c r="AWD1" s="46" t="s">
        <v>1293</v>
      </c>
      <c r="AWE1" s="46" t="s">
        <v>1294</v>
      </c>
      <c r="AWF1" s="46" t="s">
        <v>1295</v>
      </c>
      <c r="AWG1" s="46" t="s">
        <v>1296</v>
      </c>
      <c r="AWH1" s="46" t="s">
        <v>1297</v>
      </c>
      <c r="AWI1" s="46" t="s">
        <v>1298</v>
      </c>
      <c r="AWJ1" s="46" t="s">
        <v>1299</v>
      </c>
      <c r="AWK1" s="46" t="s">
        <v>1300</v>
      </c>
      <c r="AWL1" s="46" t="s">
        <v>1301</v>
      </c>
      <c r="AWM1" s="46" t="s">
        <v>1302</v>
      </c>
      <c r="AWN1" s="46" t="s">
        <v>1303</v>
      </c>
      <c r="AWO1" s="46" t="s">
        <v>1304</v>
      </c>
      <c r="AWP1" s="46" t="s">
        <v>1305</v>
      </c>
      <c r="AWQ1" s="46" t="s">
        <v>1306</v>
      </c>
      <c r="AWR1" s="46" t="s">
        <v>1307</v>
      </c>
      <c r="AWS1" s="46" t="s">
        <v>1308</v>
      </c>
      <c r="AWT1" s="46" t="s">
        <v>1309</v>
      </c>
      <c r="AWU1" s="46" t="s">
        <v>1310</v>
      </c>
      <c r="AWV1" s="46" t="s">
        <v>1311</v>
      </c>
      <c r="AWW1" s="46" t="s">
        <v>1312</v>
      </c>
      <c r="AWX1" s="46" t="s">
        <v>1313</v>
      </c>
      <c r="AWY1" s="46" t="s">
        <v>1314</v>
      </c>
      <c r="AWZ1" s="46" t="s">
        <v>1315</v>
      </c>
      <c r="AXA1" s="46" t="s">
        <v>1316</v>
      </c>
      <c r="AXB1" s="46" t="s">
        <v>1317</v>
      </c>
      <c r="AXC1" s="46" t="s">
        <v>1318</v>
      </c>
      <c r="AXD1" s="46" t="s">
        <v>1319</v>
      </c>
      <c r="AXE1" s="46" t="s">
        <v>1320</v>
      </c>
      <c r="AXF1" s="46" t="s">
        <v>1321</v>
      </c>
      <c r="AXG1" s="46" t="s">
        <v>1322</v>
      </c>
      <c r="AXH1" s="46" t="s">
        <v>1323</v>
      </c>
      <c r="AXI1" s="46" t="s">
        <v>1324</v>
      </c>
      <c r="AXJ1" s="46" t="s">
        <v>1325</v>
      </c>
      <c r="AXK1" s="46" t="s">
        <v>1326</v>
      </c>
      <c r="AXL1" s="46" t="s">
        <v>1327</v>
      </c>
      <c r="AXM1" s="46" t="s">
        <v>1328</v>
      </c>
      <c r="AXN1" s="46" t="s">
        <v>1329</v>
      </c>
      <c r="AXO1" s="46" t="s">
        <v>1330</v>
      </c>
      <c r="AXP1" s="46" t="s">
        <v>1331</v>
      </c>
      <c r="AXQ1" s="46" t="s">
        <v>1332</v>
      </c>
      <c r="AXR1" s="46" t="s">
        <v>1333</v>
      </c>
      <c r="AXS1" s="46" t="s">
        <v>1334</v>
      </c>
      <c r="AXT1" s="46" t="s">
        <v>1335</v>
      </c>
      <c r="AXU1" s="46" t="s">
        <v>1336</v>
      </c>
      <c r="AXV1" s="46" t="s">
        <v>1337</v>
      </c>
      <c r="AXW1" s="46" t="s">
        <v>1338</v>
      </c>
      <c r="AXX1" s="46" t="s">
        <v>1339</v>
      </c>
      <c r="AXY1" s="46" t="s">
        <v>1340</v>
      </c>
      <c r="AXZ1" s="46" t="s">
        <v>1341</v>
      </c>
      <c r="AYA1" s="46" t="s">
        <v>1342</v>
      </c>
      <c r="AYB1" s="46" t="s">
        <v>1343</v>
      </c>
      <c r="AYC1" s="46" t="s">
        <v>1344</v>
      </c>
      <c r="AYD1" s="46" t="s">
        <v>1345</v>
      </c>
      <c r="AYE1" s="46" t="s">
        <v>1346</v>
      </c>
      <c r="AYF1" s="46" t="s">
        <v>1347</v>
      </c>
      <c r="AYG1" s="46" t="s">
        <v>1348</v>
      </c>
      <c r="AYH1" s="46" t="s">
        <v>1349</v>
      </c>
      <c r="AYI1" s="46" t="s">
        <v>1350</v>
      </c>
      <c r="AYJ1" s="46" t="s">
        <v>1351</v>
      </c>
      <c r="AYK1" s="46" t="s">
        <v>1352</v>
      </c>
      <c r="AYL1" s="46" t="s">
        <v>1353</v>
      </c>
      <c r="AYM1" s="46" t="s">
        <v>1354</v>
      </c>
      <c r="AYN1" s="46" t="s">
        <v>1355</v>
      </c>
      <c r="AYO1" s="46" t="s">
        <v>1356</v>
      </c>
      <c r="AYP1" s="46" t="s">
        <v>1357</v>
      </c>
      <c r="AYQ1" s="46" t="s">
        <v>1358</v>
      </c>
      <c r="AYR1" s="46" t="s">
        <v>1359</v>
      </c>
      <c r="AYS1" s="46" t="s">
        <v>1360</v>
      </c>
      <c r="AYT1" s="46" t="s">
        <v>1361</v>
      </c>
      <c r="AYU1" s="46" t="s">
        <v>1362</v>
      </c>
      <c r="AYV1" s="46" t="s">
        <v>1363</v>
      </c>
      <c r="AYW1" s="46" t="s">
        <v>1364</v>
      </c>
      <c r="AYX1" s="46" t="s">
        <v>1365</v>
      </c>
      <c r="AYY1" s="46" t="s">
        <v>1366</v>
      </c>
      <c r="AYZ1" s="46" t="s">
        <v>1367</v>
      </c>
      <c r="AZA1" s="46" t="s">
        <v>1368</v>
      </c>
      <c r="AZB1" s="46" t="s">
        <v>1369</v>
      </c>
      <c r="AZC1" s="46" t="s">
        <v>1370</v>
      </c>
      <c r="AZD1" s="46" t="s">
        <v>1371</v>
      </c>
      <c r="AZE1" s="46" t="s">
        <v>1372</v>
      </c>
      <c r="AZF1" s="46" t="s">
        <v>1373</v>
      </c>
      <c r="AZG1" s="46" t="s">
        <v>1374</v>
      </c>
      <c r="AZH1" s="46" t="s">
        <v>1375</v>
      </c>
      <c r="AZI1" s="46" t="s">
        <v>1376</v>
      </c>
      <c r="AZJ1" s="46" t="s">
        <v>1377</v>
      </c>
      <c r="AZK1" s="46" t="s">
        <v>1378</v>
      </c>
      <c r="AZL1" s="46" t="s">
        <v>1379</v>
      </c>
      <c r="AZM1" s="46" t="s">
        <v>1380</v>
      </c>
      <c r="AZN1" s="46" t="s">
        <v>1381</v>
      </c>
      <c r="AZO1" s="46" t="s">
        <v>1382</v>
      </c>
      <c r="AZP1" s="46" t="s">
        <v>1383</v>
      </c>
      <c r="AZQ1" s="46" t="s">
        <v>1384</v>
      </c>
      <c r="AZR1" s="46" t="s">
        <v>1385</v>
      </c>
      <c r="AZS1" s="46" t="s">
        <v>1386</v>
      </c>
      <c r="AZT1" s="46" t="s">
        <v>1387</v>
      </c>
      <c r="AZU1" s="46" t="s">
        <v>1388</v>
      </c>
      <c r="AZV1" s="46" t="s">
        <v>1389</v>
      </c>
      <c r="AZW1" s="46" t="s">
        <v>1390</v>
      </c>
      <c r="AZX1" s="46" t="s">
        <v>1391</v>
      </c>
      <c r="AZY1" s="46" t="s">
        <v>1392</v>
      </c>
      <c r="AZZ1" s="46" t="s">
        <v>1393</v>
      </c>
      <c r="BAA1" s="46" t="s">
        <v>1394</v>
      </c>
      <c r="BAB1" s="46" t="s">
        <v>1395</v>
      </c>
      <c r="BAC1" s="46" t="s">
        <v>1396</v>
      </c>
      <c r="BAD1" s="46" t="s">
        <v>1397</v>
      </c>
      <c r="BAE1" s="46" t="s">
        <v>1398</v>
      </c>
      <c r="BAF1" s="46" t="s">
        <v>1399</v>
      </c>
      <c r="BAG1" s="46" t="s">
        <v>1400</v>
      </c>
      <c r="BAH1" s="46" t="s">
        <v>1401</v>
      </c>
      <c r="BAI1" s="46" t="s">
        <v>1402</v>
      </c>
      <c r="BAJ1" s="46" t="s">
        <v>1403</v>
      </c>
      <c r="BAK1" s="46" t="s">
        <v>1404</v>
      </c>
      <c r="BAL1" s="46" t="s">
        <v>1405</v>
      </c>
      <c r="BAM1" s="46" t="s">
        <v>1406</v>
      </c>
      <c r="BAN1" s="46" t="s">
        <v>1407</v>
      </c>
      <c r="BAO1" s="46" t="s">
        <v>1408</v>
      </c>
      <c r="BAP1" s="46" t="s">
        <v>1409</v>
      </c>
      <c r="BAQ1" s="46" t="s">
        <v>1410</v>
      </c>
      <c r="BAR1" s="46" t="s">
        <v>1411</v>
      </c>
      <c r="BAS1" s="46" t="s">
        <v>1412</v>
      </c>
      <c r="BAT1" s="46" t="s">
        <v>1413</v>
      </c>
      <c r="BAU1" s="46" t="s">
        <v>1414</v>
      </c>
      <c r="BAV1" s="46" t="s">
        <v>1415</v>
      </c>
      <c r="BAW1" s="46" t="s">
        <v>1416</v>
      </c>
      <c r="BAX1" s="46" t="s">
        <v>1417</v>
      </c>
      <c r="BAY1" s="46" t="s">
        <v>1418</v>
      </c>
      <c r="BAZ1" s="46" t="s">
        <v>1419</v>
      </c>
      <c r="BBA1" s="46" t="s">
        <v>1420</v>
      </c>
      <c r="BBB1" s="46" t="s">
        <v>1421</v>
      </c>
      <c r="BBC1" s="46" t="s">
        <v>1422</v>
      </c>
      <c r="BBD1" s="46" t="s">
        <v>1423</v>
      </c>
      <c r="BBE1" s="46" t="s">
        <v>1424</v>
      </c>
      <c r="BBF1" s="46" t="s">
        <v>1425</v>
      </c>
      <c r="BBG1" s="46" t="s">
        <v>1426</v>
      </c>
      <c r="BBH1" s="46" t="s">
        <v>1427</v>
      </c>
      <c r="BBI1" s="46" t="s">
        <v>1428</v>
      </c>
      <c r="BBJ1" s="46" t="s">
        <v>1429</v>
      </c>
      <c r="BBK1" s="46" t="s">
        <v>1430</v>
      </c>
      <c r="BBL1" s="46" t="s">
        <v>1431</v>
      </c>
      <c r="BBM1" s="46" t="s">
        <v>1432</v>
      </c>
      <c r="BBN1" s="46" t="s">
        <v>1433</v>
      </c>
      <c r="BBO1" s="46" t="s">
        <v>1434</v>
      </c>
      <c r="BBP1" s="46" t="s">
        <v>1435</v>
      </c>
      <c r="BBQ1" s="46" t="s">
        <v>1436</v>
      </c>
      <c r="BBR1" s="46" t="s">
        <v>1437</v>
      </c>
      <c r="BBS1" s="46" t="s">
        <v>1438</v>
      </c>
      <c r="BBT1" s="46" t="s">
        <v>1439</v>
      </c>
      <c r="BBU1" s="46" t="s">
        <v>1440</v>
      </c>
      <c r="BBV1" s="46" t="s">
        <v>1441</v>
      </c>
      <c r="BBW1" s="46" t="s">
        <v>1442</v>
      </c>
      <c r="BBX1" s="46" t="s">
        <v>1443</v>
      </c>
      <c r="BBY1" s="46" t="s">
        <v>1444</v>
      </c>
      <c r="BBZ1" s="46" t="s">
        <v>1445</v>
      </c>
      <c r="BCA1" s="46" t="s">
        <v>1446</v>
      </c>
      <c r="BCB1" s="46" t="s">
        <v>1447</v>
      </c>
      <c r="BCC1" s="46" t="s">
        <v>1448</v>
      </c>
      <c r="BCD1" s="46" t="s">
        <v>1449</v>
      </c>
      <c r="BCE1" s="46" t="s">
        <v>1450</v>
      </c>
      <c r="BCF1" s="46" t="s">
        <v>1451</v>
      </c>
      <c r="BCG1" s="46" t="s">
        <v>1452</v>
      </c>
      <c r="BCH1" s="46" t="s">
        <v>1453</v>
      </c>
      <c r="BCI1" s="46" t="s">
        <v>1454</v>
      </c>
      <c r="BCJ1" s="46" t="s">
        <v>1455</v>
      </c>
      <c r="BCK1" s="46" t="s">
        <v>1456</v>
      </c>
      <c r="BCL1" s="46" t="s">
        <v>1457</v>
      </c>
      <c r="BCM1" s="46" t="s">
        <v>1458</v>
      </c>
      <c r="BCN1" s="46" t="s">
        <v>1459</v>
      </c>
      <c r="BCO1" s="46" t="s">
        <v>1460</v>
      </c>
      <c r="BCP1" s="46" t="s">
        <v>1461</v>
      </c>
      <c r="BCQ1" s="46" t="s">
        <v>1462</v>
      </c>
      <c r="BCR1" s="46" t="s">
        <v>1463</v>
      </c>
      <c r="BCS1" s="46" t="s">
        <v>1464</v>
      </c>
      <c r="BCT1" s="46" t="s">
        <v>1465</v>
      </c>
      <c r="BCU1" s="46" t="s">
        <v>1466</v>
      </c>
      <c r="BCV1" s="46" t="s">
        <v>1467</v>
      </c>
      <c r="BCW1" s="46" t="s">
        <v>1468</v>
      </c>
      <c r="BCX1" s="46" t="s">
        <v>1469</v>
      </c>
      <c r="BCY1" s="46" t="s">
        <v>1470</v>
      </c>
      <c r="BCZ1" s="46" t="s">
        <v>1471</v>
      </c>
      <c r="BDA1" s="46" t="s">
        <v>1472</v>
      </c>
      <c r="BDB1" s="46" t="s">
        <v>1473</v>
      </c>
      <c r="BDC1" s="46" t="s">
        <v>1474</v>
      </c>
      <c r="BDD1" s="46" t="s">
        <v>1475</v>
      </c>
      <c r="BDE1" s="46" t="s">
        <v>1476</v>
      </c>
      <c r="BDF1" s="46" t="s">
        <v>1477</v>
      </c>
      <c r="BDG1" s="46" t="s">
        <v>1478</v>
      </c>
      <c r="BDH1" s="46" t="s">
        <v>1479</v>
      </c>
      <c r="BDI1" s="46" t="s">
        <v>1480</v>
      </c>
      <c r="BDJ1" s="46" t="s">
        <v>1481</v>
      </c>
      <c r="BDK1" s="46" t="s">
        <v>1482</v>
      </c>
      <c r="BDL1" s="46" t="s">
        <v>1483</v>
      </c>
      <c r="BDM1" s="46" t="s">
        <v>1484</v>
      </c>
      <c r="BDN1" s="46" t="s">
        <v>1485</v>
      </c>
      <c r="BDO1" s="46" t="s">
        <v>1486</v>
      </c>
      <c r="BDP1" s="46" t="s">
        <v>1487</v>
      </c>
      <c r="BDQ1" s="46" t="s">
        <v>1488</v>
      </c>
      <c r="BDR1" s="46" t="s">
        <v>1489</v>
      </c>
      <c r="BDS1" s="46" t="s">
        <v>1490</v>
      </c>
      <c r="BDT1" s="46" t="s">
        <v>1491</v>
      </c>
      <c r="BDU1" s="46" t="s">
        <v>1492</v>
      </c>
      <c r="BDV1" s="46" t="s">
        <v>1493</v>
      </c>
      <c r="BDW1" s="46" t="s">
        <v>1494</v>
      </c>
      <c r="BDX1" s="46" t="s">
        <v>1495</v>
      </c>
      <c r="BDY1" s="46" t="s">
        <v>1496</v>
      </c>
      <c r="BDZ1" s="46" t="s">
        <v>1497</v>
      </c>
      <c r="BEA1" s="46" t="s">
        <v>1498</v>
      </c>
      <c r="BEB1" s="46" t="s">
        <v>1499</v>
      </c>
      <c r="BEC1" s="46" t="s">
        <v>1500</v>
      </c>
      <c r="BED1" s="46" t="s">
        <v>1501</v>
      </c>
      <c r="BEE1" s="46" t="s">
        <v>1502</v>
      </c>
      <c r="BEF1" s="46" t="s">
        <v>1503</v>
      </c>
      <c r="BEG1" s="46" t="s">
        <v>1504</v>
      </c>
      <c r="BEH1" s="46" t="s">
        <v>1505</v>
      </c>
      <c r="BEI1" s="46" t="s">
        <v>1506</v>
      </c>
      <c r="BEJ1" s="46" t="s">
        <v>1507</v>
      </c>
      <c r="BEK1" s="46" t="s">
        <v>1508</v>
      </c>
      <c r="BEL1" s="46" t="s">
        <v>1509</v>
      </c>
      <c r="BEM1" s="46" t="s">
        <v>1510</v>
      </c>
      <c r="BEN1" s="46" t="s">
        <v>1511</v>
      </c>
      <c r="BEO1" s="46" t="s">
        <v>1512</v>
      </c>
      <c r="BEP1" s="46" t="s">
        <v>1513</v>
      </c>
      <c r="BEQ1" s="46" t="s">
        <v>1514</v>
      </c>
      <c r="BER1" s="46" t="s">
        <v>1515</v>
      </c>
      <c r="BES1" s="46" t="s">
        <v>1516</v>
      </c>
      <c r="BET1" s="46" t="s">
        <v>1517</v>
      </c>
      <c r="BEU1" s="46" t="s">
        <v>1518</v>
      </c>
      <c r="BEV1" s="46" t="s">
        <v>1519</v>
      </c>
      <c r="BEW1" s="46" t="s">
        <v>1520</v>
      </c>
      <c r="BEX1" s="46" t="s">
        <v>1521</v>
      </c>
      <c r="BEY1" s="46" t="s">
        <v>1522</v>
      </c>
      <c r="BEZ1" s="46" t="s">
        <v>1523</v>
      </c>
      <c r="BFA1" s="46" t="s">
        <v>1524</v>
      </c>
      <c r="BFB1" s="46" t="s">
        <v>1525</v>
      </c>
      <c r="BFC1" s="46" t="s">
        <v>1526</v>
      </c>
      <c r="BFD1" s="46" t="s">
        <v>1527</v>
      </c>
      <c r="BFE1" s="46" t="s">
        <v>1528</v>
      </c>
      <c r="BFF1" s="46" t="s">
        <v>1529</v>
      </c>
      <c r="BFG1" s="46" t="s">
        <v>1530</v>
      </c>
      <c r="BFH1" s="46" t="s">
        <v>1531</v>
      </c>
      <c r="BFI1" s="46" t="s">
        <v>1532</v>
      </c>
      <c r="BFJ1" s="46" t="s">
        <v>1533</v>
      </c>
      <c r="BFK1" s="46" t="s">
        <v>1534</v>
      </c>
      <c r="BFL1" s="46" t="s">
        <v>1535</v>
      </c>
      <c r="BFM1" s="46" t="s">
        <v>1536</v>
      </c>
      <c r="BFN1" s="46" t="s">
        <v>1537</v>
      </c>
      <c r="BFO1" s="46" t="s">
        <v>1538</v>
      </c>
      <c r="BFP1" s="46" t="s">
        <v>1539</v>
      </c>
      <c r="BFQ1" s="46" t="s">
        <v>1540</v>
      </c>
      <c r="BFR1" s="46" t="s">
        <v>1541</v>
      </c>
      <c r="BFS1" s="46" t="s">
        <v>1542</v>
      </c>
      <c r="BFT1" s="46" t="s">
        <v>1543</v>
      </c>
      <c r="BFU1" s="46" t="s">
        <v>1544</v>
      </c>
      <c r="BFV1" s="46" t="s">
        <v>1545</v>
      </c>
      <c r="BFW1" s="46" t="s">
        <v>1546</v>
      </c>
      <c r="BFX1" s="46" t="s">
        <v>1547</v>
      </c>
      <c r="BFY1" s="46" t="s">
        <v>1548</v>
      </c>
      <c r="BFZ1" s="46" t="s">
        <v>1549</v>
      </c>
      <c r="BGA1" s="46" t="s">
        <v>1550</v>
      </c>
      <c r="BGB1" s="46" t="s">
        <v>1551</v>
      </c>
      <c r="BGC1" s="46" t="s">
        <v>1552</v>
      </c>
      <c r="BGD1" s="46" t="s">
        <v>1553</v>
      </c>
      <c r="BGE1" s="46" t="s">
        <v>1554</v>
      </c>
      <c r="BGF1" s="46" t="s">
        <v>1555</v>
      </c>
      <c r="BGG1" s="46" t="s">
        <v>1556</v>
      </c>
      <c r="BGH1" s="46" t="s">
        <v>1557</v>
      </c>
      <c r="BGI1" s="46" t="s">
        <v>1558</v>
      </c>
      <c r="BGJ1" s="46" t="s">
        <v>1559</v>
      </c>
      <c r="BGK1" s="46" t="s">
        <v>1560</v>
      </c>
      <c r="BGL1" s="46" t="s">
        <v>1561</v>
      </c>
      <c r="BGM1" s="46" t="s">
        <v>1562</v>
      </c>
      <c r="BGN1" s="46" t="s">
        <v>1563</v>
      </c>
      <c r="BGO1" s="46" t="s">
        <v>1564</v>
      </c>
      <c r="BGP1" s="46" t="s">
        <v>1565</v>
      </c>
      <c r="BGQ1" s="46" t="s">
        <v>1566</v>
      </c>
      <c r="BGR1" s="46" t="s">
        <v>1567</v>
      </c>
      <c r="BGS1" s="46" t="s">
        <v>1568</v>
      </c>
      <c r="BGT1" s="46" t="s">
        <v>1569</v>
      </c>
      <c r="BGU1" s="46" t="s">
        <v>1570</v>
      </c>
      <c r="BGV1" s="46" t="s">
        <v>1571</v>
      </c>
      <c r="BGW1" s="46" t="s">
        <v>1572</v>
      </c>
      <c r="BGX1" s="46" t="s">
        <v>1573</v>
      </c>
      <c r="BGY1" s="46" t="s">
        <v>1574</v>
      </c>
      <c r="BGZ1" s="46" t="s">
        <v>1575</v>
      </c>
      <c r="BHA1" s="46" t="s">
        <v>1576</v>
      </c>
      <c r="BHB1" s="46" t="s">
        <v>1577</v>
      </c>
      <c r="BHC1" s="46" t="s">
        <v>1578</v>
      </c>
      <c r="BHD1" s="46" t="s">
        <v>1579</v>
      </c>
      <c r="BHE1" s="46" t="s">
        <v>1580</v>
      </c>
      <c r="BHF1" s="46" t="s">
        <v>1581</v>
      </c>
      <c r="BHG1" s="46" t="s">
        <v>1582</v>
      </c>
      <c r="BHH1" s="46" t="s">
        <v>1583</v>
      </c>
      <c r="BHI1" s="46" t="s">
        <v>1584</v>
      </c>
      <c r="BHJ1" s="46" t="s">
        <v>1585</v>
      </c>
      <c r="BHK1" s="46" t="s">
        <v>1586</v>
      </c>
      <c r="BHL1" s="46" t="s">
        <v>1587</v>
      </c>
      <c r="BHM1" s="46" t="s">
        <v>1588</v>
      </c>
      <c r="BHN1" s="46" t="s">
        <v>1589</v>
      </c>
      <c r="BHO1" s="46" t="s">
        <v>1590</v>
      </c>
      <c r="BHP1" s="46" t="s">
        <v>1591</v>
      </c>
      <c r="BHQ1" s="46" t="s">
        <v>1592</v>
      </c>
      <c r="BHR1" s="46" t="s">
        <v>1593</v>
      </c>
      <c r="BHS1" s="46" t="s">
        <v>1594</v>
      </c>
      <c r="BHT1" s="46" t="s">
        <v>1595</v>
      </c>
      <c r="BHU1" s="46" t="s">
        <v>1596</v>
      </c>
      <c r="BHV1" s="46" t="s">
        <v>1597</v>
      </c>
      <c r="BHW1" s="46" t="s">
        <v>1598</v>
      </c>
      <c r="BHX1" s="46" t="s">
        <v>1599</v>
      </c>
      <c r="BHY1" s="46" t="s">
        <v>1600</v>
      </c>
      <c r="BHZ1" s="46" t="s">
        <v>1601</v>
      </c>
      <c r="BIA1" s="46" t="s">
        <v>1602</v>
      </c>
      <c r="BIB1" s="46" t="s">
        <v>1603</v>
      </c>
      <c r="BIC1" s="46" t="s">
        <v>1604</v>
      </c>
      <c r="BID1" s="46" t="s">
        <v>1605</v>
      </c>
      <c r="BIE1" s="46" t="s">
        <v>1606</v>
      </c>
      <c r="BIF1" s="46" t="s">
        <v>1607</v>
      </c>
      <c r="BIG1" s="46" t="s">
        <v>1608</v>
      </c>
      <c r="BIH1" s="46" t="s">
        <v>1609</v>
      </c>
      <c r="BII1" s="46" t="s">
        <v>1610</v>
      </c>
      <c r="BIJ1" s="46" t="s">
        <v>1611</v>
      </c>
      <c r="BIK1" s="46" t="s">
        <v>1612</v>
      </c>
      <c r="BIL1" s="46" t="s">
        <v>1613</v>
      </c>
      <c r="BIM1" s="46" t="s">
        <v>1614</v>
      </c>
      <c r="BIN1" s="46" t="s">
        <v>1615</v>
      </c>
      <c r="BIO1" s="46" t="s">
        <v>1616</v>
      </c>
      <c r="BIP1" s="46" t="s">
        <v>1617</v>
      </c>
      <c r="BIQ1" s="46" t="s">
        <v>1618</v>
      </c>
      <c r="BIR1" s="46" t="s">
        <v>1619</v>
      </c>
      <c r="BIS1" s="46" t="s">
        <v>1620</v>
      </c>
      <c r="BIT1" s="46" t="s">
        <v>1621</v>
      </c>
      <c r="BIU1" s="46" t="s">
        <v>1622</v>
      </c>
      <c r="BIV1" s="46" t="s">
        <v>1623</v>
      </c>
      <c r="BIW1" s="46" t="s">
        <v>1624</v>
      </c>
      <c r="BIX1" s="46" t="s">
        <v>1625</v>
      </c>
      <c r="BIY1" s="46" t="s">
        <v>1626</v>
      </c>
      <c r="BIZ1" s="46" t="s">
        <v>1627</v>
      </c>
      <c r="BJA1" s="46" t="s">
        <v>1628</v>
      </c>
      <c r="BJB1" s="46" t="s">
        <v>1629</v>
      </c>
      <c r="BJC1" s="46" t="s">
        <v>1630</v>
      </c>
      <c r="BJD1" s="46" t="s">
        <v>1631</v>
      </c>
      <c r="BJE1" s="46" t="s">
        <v>1632</v>
      </c>
      <c r="BJF1" s="46" t="s">
        <v>1633</v>
      </c>
      <c r="BJG1" s="46" t="s">
        <v>1634</v>
      </c>
      <c r="BJH1" s="46" t="s">
        <v>1635</v>
      </c>
      <c r="BJI1" s="46" t="s">
        <v>1636</v>
      </c>
      <c r="BJJ1" s="46" t="s">
        <v>1637</v>
      </c>
      <c r="BJK1" s="46" t="s">
        <v>1638</v>
      </c>
      <c r="BJL1" s="46" t="s">
        <v>1639</v>
      </c>
      <c r="BJM1" s="46" t="s">
        <v>1640</v>
      </c>
      <c r="BJN1" s="46" t="s">
        <v>1641</v>
      </c>
      <c r="BJO1" s="46" t="s">
        <v>1642</v>
      </c>
      <c r="BJP1" s="46" t="s">
        <v>1643</v>
      </c>
      <c r="BJQ1" s="46" t="s">
        <v>1644</v>
      </c>
      <c r="BJR1" s="46" t="s">
        <v>1645</v>
      </c>
      <c r="BJS1" s="46" t="s">
        <v>1646</v>
      </c>
      <c r="BJT1" s="46" t="s">
        <v>1647</v>
      </c>
      <c r="BJU1" s="46" t="s">
        <v>1648</v>
      </c>
      <c r="BJV1" s="46" t="s">
        <v>1649</v>
      </c>
      <c r="BJW1" s="46" t="s">
        <v>1650</v>
      </c>
      <c r="BJX1" s="46" t="s">
        <v>1651</v>
      </c>
      <c r="BJY1" s="46" t="s">
        <v>1652</v>
      </c>
      <c r="BJZ1" s="46" t="s">
        <v>1653</v>
      </c>
      <c r="BKA1" s="46" t="s">
        <v>1654</v>
      </c>
      <c r="BKB1" s="46" t="s">
        <v>1655</v>
      </c>
      <c r="BKC1" s="46" t="s">
        <v>1656</v>
      </c>
      <c r="BKD1" s="46" t="s">
        <v>1657</v>
      </c>
      <c r="BKE1" s="46" t="s">
        <v>1658</v>
      </c>
      <c r="BKF1" s="46" t="s">
        <v>1659</v>
      </c>
      <c r="BKG1" s="46" t="s">
        <v>1660</v>
      </c>
      <c r="BKH1" s="46" t="s">
        <v>1661</v>
      </c>
      <c r="BKI1" s="46" t="s">
        <v>1662</v>
      </c>
      <c r="BKJ1" s="46" t="s">
        <v>1663</v>
      </c>
      <c r="BKK1" s="46" t="s">
        <v>1664</v>
      </c>
      <c r="BKL1" s="46" t="s">
        <v>1665</v>
      </c>
      <c r="BKM1" s="46" t="s">
        <v>1666</v>
      </c>
      <c r="BKN1" s="46" t="s">
        <v>1667</v>
      </c>
      <c r="BKO1" s="46" t="s">
        <v>1668</v>
      </c>
      <c r="BKP1" s="46" t="s">
        <v>1669</v>
      </c>
      <c r="BKQ1" s="46" t="s">
        <v>1670</v>
      </c>
      <c r="BKR1" s="46" t="s">
        <v>1671</v>
      </c>
      <c r="BKS1" s="46" t="s">
        <v>1672</v>
      </c>
      <c r="BKT1" s="46" t="s">
        <v>1673</v>
      </c>
      <c r="BKU1" s="46" t="s">
        <v>1674</v>
      </c>
      <c r="BKV1" s="46" t="s">
        <v>1675</v>
      </c>
      <c r="BKW1" s="46" t="s">
        <v>1676</v>
      </c>
      <c r="BKX1" s="46" t="s">
        <v>1677</v>
      </c>
      <c r="BKY1" s="46" t="s">
        <v>1678</v>
      </c>
      <c r="BKZ1" s="46" t="s">
        <v>1679</v>
      </c>
      <c r="BLA1" s="46" t="s">
        <v>1680</v>
      </c>
      <c r="BLB1" s="46" t="s">
        <v>1681</v>
      </c>
      <c r="BLC1" s="46" t="s">
        <v>1682</v>
      </c>
      <c r="BLD1" s="46" t="s">
        <v>1683</v>
      </c>
      <c r="BLE1" s="46" t="s">
        <v>1684</v>
      </c>
      <c r="BLF1" s="46" t="s">
        <v>1685</v>
      </c>
      <c r="BLG1" s="46" t="s">
        <v>1686</v>
      </c>
      <c r="BLH1" s="46" t="s">
        <v>1687</v>
      </c>
      <c r="BLI1" s="46" t="s">
        <v>1688</v>
      </c>
      <c r="BLJ1" s="46" t="s">
        <v>1689</v>
      </c>
      <c r="BLK1" s="46" t="s">
        <v>1690</v>
      </c>
      <c r="BLL1" s="46" t="s">
        <v>1691</v>
      </c>
      <c r="BLM1" s="46" t="s">
        <v>1692</v>
      </c>
      <c r="BLN1" s="46" t="s">
        <v>1693</v>
      </c>
      <c r="BLO1" s="46" t="s">
        <v>1694</v>
      </c>
      <c r="BLP1" s="46" t="s">
        <v>1695</v>
      </c>
      <c r="BLQ1" s="46" t="s">
        <v>1696</v>
      </c>
      <c r="BLR1" s="46" t="s">
        <v>1697</v>
      </c>
      <c r="BLS1" s="46" t="s">
        <v>1698</v>
      </c>
      <c r="BLT1" s="46" t="s">
        <v>1699</v>
      </c>
      <c r="BLU1" s="46" t="s">
        <v>1700</v>
      </c>
      <c r="BLV1" s="46" t="s">
        <v>1701</v>
      </c>
      <c r="BLW1" s="46" t="s">
        <v>1702</v>
      </c>
      <c r="BLX1" s="46" t="s">
        <v>1703</v>
      </c>
      <c r="BLY1" s="46" t="s">
        <v>1704</v>
      </c>
      <c r="BLZ1" s="46" t="s">
        <v>1705</v>
      </c>
      <c r="BMA1" s="46" t="s">
        <v>1706</v>
      </c>
      <c r="BMB1" s="46" t="s">
        <v>1707</v>
      </c>
      <c r="BMC1" s="46" t="s">
        <v>1708</v>
      </c>
      <c r="BMD1" s="46" t="s">
        <v>1709</v>
      </c>
      <c r="BME1" s="46" t="s">
        <v>1710</v>
      </c>
      <c r="BMF1" s="46" t="s">
        <v>1711</v>
      </c>
      <c r="BMG1" s="46" t="s">
        <v>1712</v>
      </c>
      <c r="BMH1" s="46" t="s">
        <v>1713</v>
      </c>
      <c r="BMI1" s="46" t="s">
        <v>1714</v>
      </c>
      <c r="BMJ1" s="46" t="s">
        <v>1715</v>
      </c>
      <c r="BMK1" s="46" t="s">
        <v>1716</v>
      </c>
      <c r="BML1" s="46" t="s">
        <v>1717</v>
      </c>
      <c r="BMM1" s="46" t="s">
        <v>1718</v>
      </c>
      <c r="BMN1" s="46" t="s">
        <v>1719</v>
      </c>
      <c r="BMO1" s="46" t="s">
        <v>1720</v>
      </c>
      <c r="BMP1" s="46" t="s">
        <v>1721</v>
      </c>
      <c r="BMQ1" s="46" t="s">
        <v>1722</v>
      </c>
      <c r="BMR1" s="46" t="s">
        <v>1723</v>
      </c>
      <c r="BMS1" s="46" t="s">
        <v>1724</v>
      </c>
      <c r="BMT1" s="46" t="s">
        <v>1725</v>
      </c>
      <c r="BMU1" s="46" t="s">
        <v>1726</v>
      </c>
      <c r="BMV1" s="46" t="s">
        <v>1727</v>
      </c>
      <c r="BMW1" s="46" t="s">
        <v>1728</v>
      </c>
      <c r="BMX1" s="46" t="s">
        <v>1729</v>
      </c>
      <c r="BMY1" s="46" t="s">
        <v>1730</v>
      </c>
      <c r="BMZ1" s="46" t="s">
        <v>1731</v>
      </c>
      <c r="BNA1" s="46" t="s">
        <v>1732</v>
      </c>
      <c r="BNB1" s="46" t="s">
        <v>1733</v>
      </c>
      <c r="BNC1" s="46" t="s">
        <v>1734</v>
      </c>
      <c r="BND1" s="46" t="s">
        <v>1735</v>
      </c>
      <c r="BNE1" s="46" t="s">
        <v>1736</v>
      </c>
      <c r="BNF1" s="46" t="s">
        <v>1737</v>
      </c>
      <c r="BNG1" s="46" t="s">
        <v>1738</v>
      </c>
      <c r="BNH1" s="46" t="s">
        <v>1739</v>
      </c>
      <c r="BNI1" s="46" t="s">
        <v>1740</v>
      </c>
      <c r="BNJ1" s="46" t="s">
        <v>1741</v>
      </c>
      <c r="BNK1" s="46" t="s">
        <v>1742</v>
      </c>
      <c r="BNL1" s="46" t="s">
        <v>1743</v>
      </c>
      <c r="BNM1" s="46" t="s">
        <v>1744</v>
      </c>
      <c r="BNN1" s="46" t="s">
        <v>1745</v>
      </c>
      <c r="BNO1" s="46" t="s">
        <v>1746</v>
      </c>
      <c r="BNP1" s="46" t="s">
        <v>1747</v>
      </c>
      <c r="BNQ1" s="46" t="s">
        <v>1748</v>
      </c>
      <c r="BNR1" s="46" t="s">
        <v>1749</v>
      </c>
      <c r="BNS1" s="46" t="s">
        <v>1750</v>
      </c>
      <c r="BNT1" s="46" t="s">
        <v>1751</v>
      </c>
      <c r="BNU1" s="46" t="s">
        <v>1752</v>
      </c>
      <c r="BNV1" s="46" t="s">
        <v>1753</v>
      </c>
      <c r="BNW1" s="46" t="s">
        <v>1754</v>
      </c>
      <c r="BNX1" s="46" t="s">
        <v>1755</v>
      </c>
      <c r="BNY1" s="46" t="s">
        <v>1756</v>
      </c>
      <c r="BNZ1" s="46" t="s">
        <v>1757</v>
      </c>
      <c r="BOA1" s="46" t="s">
        <v>1758</v>
      </c>
      <c r="BOB1" s="46" t="s">
        <v>1759</v>
      </c>
      <c r="BOC1" s="46" t="s">
        <v>1760</v>
      </c>
      <c r="BOD1" s="46" t="s">
        <v>1761</v>
      </c>
      <c r="BOE1" s="46" t="s">
        <v>1762</v>
      </c>
      <c r="BOF1" s="46" t="s">
        <v>1763</v>
      </c>
      <c r="BOG1" s="46" t="s">
        <v>1764</v>
      </c>
      <c r="BOH1" s="46" t="s">
        <v>1765</v>
      </c>
      <c r="BOI1" s="46" t="s">
        <v>1766</v>
      </c>
      <c r="BOJ1" s="46" t="s">
        <v>1767</v>
      </c>
      <c r="BOK1" s="46" t="s">
        <v>1768</v>
      </c>
      <c r="BOL1" s="46" t="s">
        <v>1769</v>
      </c>
      <c r="BOM1" s="46" t="s">
        <v>1770</v>
      </c>
      <c r="BON1" s="46" t="s">
        <v>1771</v>
      </c>
      <c r="BOO1" s="46" t="s">
        <v>1772</v>
      </c>
      <c r="BOP1" s="46" t="s">
        <v>1773</v>
      </c>
      <c r="BOQ1" s="46" t="s">
        <v>1774</v>
      </c>
      <c r="BOR1" s="46" t="s">
        <v>1775</v>
      </c>
      <c r="BOS1" s="46" t="s">
        <v>1776</v>
      </c>
      <c r="BOT1" s="46" t="s">
        <v>1777</v>
      </c>
      <c r="BOU1" s="46" t="s">
        <v>1778</v>
      </c>
      <c r="BOV1" s="46" t="s">
        <v>1779</v>
      </c>
      <c r="BOW1" s="46" t="s">
        <v>1780</v>
      </c>
      <c r="BOX1" s="46" t="s">
        <v>1781</v>
      </c>
      <c r="BOY1" s="46" t="s">
        <v>1782</v>
      </c>
      <c r="BOZ1" s="46" t="s">
        <v>1783</v>
      </c>
      <c r="BPA1" s="46" t="s">
        <v>1784</v>
      </c>
      <c r="BPB1" s="46" t="s">
        <v>1785</v>
      </c>
      <c r="BPC1" s="46" t="s">
        <v>1786</v>
      </c>
      <c r="BPD1" s="46" t="s">
        <v>1787</v>
      </c>
      <c r="BPE1" s="46" t="s">
        <v>1788</v>
      </c>
      <c r="BPF1" s="46" t="s">
        <v>1789</v>
      </c>
      <c r="BPG1" s="46" t="s">
        <v>1790</v>
      </c>
      <c r="BPH1" s="46" t="s">
        <v>1791</v>
      </c>
      <c r="BPI1" s="46" t="s">
        <v>1792</v>
      </c>
      <c r="BPJ1" s="46" t="s">
        <v>1793</v>
      </c>
      <c r="BPK1" s="46" t="s">
        <v>1794</v>
      </c>
      <c r="BPL1" s="46" t="s">
        <v>1795</v>
      </c>
      <c r="BPM1" s="46" t="s">
        <v>1796</v>
      </c>
      <c r="BPN1" s="46" t="s">
        <v>1797</v>
      </c>
      <c r="BPO1" s="46" t="s">
        <v>1798</v>
      </c>
      <c r="BPP1" s="46" t="s">
        <v>1799</v>
      </c>
      <c r="BPQ1" s="46" t="s">
        <v>1800</v>
      </c>
      <c r="BPR1" s="46" t="s">
        <v>1801</v>
      </c>
      <c r="BPS1" s="46" t="s">
        <v>1802</v>
      </c>
      <c r="BPT1" s="46" t="s">
        <v>1803</v>
      </c>
      <c r="BPU1" s="46" t="s">
        <v>1804</v>
      </c>
      <c r="BPV1" s="46" t="s">
        <v>1805</v>
      </c>
      <c r="BPW1" s="46" t="s">
        <v>1806</v>
      </c>
      <c r="BPX1" s="46" t="s">
        <v>1807</v>
      </c>
      <c r="BPY1" s="46" t="s">
        <v>1808</v>
      </c>
      <c r="BPZ1" s="46" t="s">
        <v>1809</v>
      </c>
      <c r="BQA1" s="46" t="s">
        <v>1810</v>
      </c>
      <c r="BQB1" s="46" t="s">
        <v>1811</v>
      </c>
      <c r="BQC1" s="46" t="s">
        <v>1812</v>
      </c>
      <c r="BQD1" s="46" t="s">
        <v>1813</v>
      </c>
      <c r="BQE1" s="46" t="s">
        <v>1814</v>
      </c>
      <c r="BQF1" s="46" t="s">
        <v>1815</v>
      </c>
      <c r="BQG1" s="46" t="s">
        <v>1816</v>
      </c>
      <c r="BQH1" s="46" t="s">
        <v>1817</v>
      </c>
      <c r="BQI1" s="46" t="s">
        <v>1818</v>
      </c>
      <c r="BQJ1" s="46" t="s">
        <v>1819</v>
      </c>
      <c r="BQK1" s="46" t="s">
        <v>1820</v>
      </c>
      <c r="BQL1" s="46" t="s">
        <v>1821</v>
      </c>
      <c r="BQM1" s="46" t="s">
        <v>1822</v>
      </c>
      <c r="BQN1" s="46" t="s">
        <v>1823</v>
      </c>
      <c r="BQO1" s="46" t="s">
        <v>1824</v>
      </c>
      <c r="BQP1" s="46" t="s">
        <v>1825</v>
      </c>
      <c r="BQQ1" s="46" t="s">
        <v>1826</v>
      </c>
      <c r="BQR1" s="46" t="s">
        <v>1827</v>
      </c>
      <c r="BQS1" s="46" t="s">
        <v>1828</v>
      </c>
      <c r="BQT1" s="46" t="s">
        <v>1829</v>
      </c>
      <c r="BQU1" s="46" t="s">
        <v>1830</v>
      </c>
      <c r="BQV1" s="46" t="s">
        <v>1831</v>
      </c>
      <c r="BQW1" s="46" t="s">
        <v>1832</v>
      </c>
      <c r="BQX1" s="46" t="s">
        <v>1833</v>
      </c>
      <c r="BQY1" s="46" t="s">
        <v>1834</v>
      </c>
      <c r="BQZ1" s="46" t="s">
        <v>1835</v>
      </c>
      <c r="BRA1" s="46" t="s">
        <v>1836</v>
      </c>
      <c r="BRB1" s="46" t="s">
        <v>1837</v>
      </c>
      <c r="BRC1" s="46" t="s">
        <v>1838</v>
      </c>
      <c r="BRD1" s="46" t="s">
        <v>1839</v>
      </c>
      <c r="BRE1" s="46" t="s">
        <v>1840</v>
      </c>
      <c r="BRF1" s="46" t="s">
        <v>1841</v>
      </c>
      <c r="BRG1" s="46" t="s">
        <v>1842</v>
      </c>
      <c r="BRH1" s="46" t="s">
        <v>1843</v>
      </c>
      <c r="BRI1" s="46" t="s">
        <v>1844</v>
      </c>
      <c r="BRJ1" s="46" t="s">
        <v>1845</v>
      </c>
      <c r="BRK1" s="46" t="s">
        <v>1846</v>
      </c>
      <c r="BRL1" s="46" t="s">
        <v>1847</v>
      </c>
      <c r="BRM1" s="46" t="s">
        <v>1848</v>
      </c>
      <c r="BRN1" s="46" t="s">
        <v>1849</v>
      </c>
      <c r="BRO1" s="46" t="s">
        <v>1850</v>
      </c>
      <c r="BRP1" s="46" t="s">
        <v>1851</v>
      </c>
      <c r="BRQ1" s="46" t="s">
        <v>1852</v>
      </c>
      <c r="BRR1" s="46" t="s">
        <v>1853</v>
      </c>
      <c r="BRS1" s="46" t="s">
        <v>1854</v>
      </c>
      <c r="BRT1" s="46" t="s">
        <v>1855</v>
      </c>
      <c r="BRU1" s="46" t="s">
        <v>1856</v>
      </c>
      <c r="BRV1" s="46" t="s">
        <v>1857</v>
      </c>
      <c r="BRW1" s="46" t="s">
        <v>1858</v>
      </c>
      <c r="BRX1" s="46" t="s">
        <v>1859</v>
      </c>
      <c r="BRY1" s="46" t="s">
        <v>1860</v>
      </c>
      <c r="BRZ1" s="46" t="s">
        <v>1861</v>
      </c>
      <c r="BSA1" s="46" t="s">
        <v>1862</v>
      </c>
      <c r="BSB1" s="46" t="s">
        <v>1863</v>
      </c>
      <c r="BSC1" s="46" t="s">
        <v>1864</v>
      </c>
      <c r="BSD1" s="46" t="s">
        <v>1865</v>
      </c>
      <c r="BSE1" s="46" t="s">
        <v>1866</v>
      </c>
      <c r="BSF1" s="46" t="s">
        <v>1867</v>
      </c>
      <c r="BSG1" s="46" t="s">
        <v>1868</v>
      </c>
      <c r="BSH1" s="46" t="s">
        <v>1869</v>
      </c>
      <c r="BSI1" s="46" t="s">
        <v>1870</v>
      </c>
      <c r="BSJ1" s="46" t="s">
        <v>1871</v>
      </c>
      <c r="BSK1" s="46" t="s">
        <v>1872</v>
      </c>
      <c r="BSL1" s="46" t="s">
        <v>1873</v>
      </c>
      <c r="BSM1" s="46" t="s">
        <v>1874</v>
      </c>
      <c r="BSN1" s="46" t="s">
        <v>1875</v>
      </c>
      <c r="BSO1" s="46" t="s">
        <v>1876</v>
      </c>
      <c r="BSP1" s="46" t="s">
        <v>1877</v>
      </c>
      <c r="BSQ1" s="46" t="s">
        <v>1878</v>
      </c>
      <c r="BSR1" s="46" t="s">
        <v>1879</v>
      </c>
      <c r="BSS1" s="46" t="s">
        <v>1880</v>
      </c>
      <c r="BST1" s="46" t="s">
        <v>1881</v>
      </c>
      <c r="BSU1" s="46" t="s">
        <v>1882</v>
      </c>
      <c r="BSV1" s="46" t="s">
        <v>1883</v>
      </c>
      <c r="BSW1" s="46" t="s">
        <v>1884</v>
      </c>
      <c r="BSX1" s="46" t="s">
        <v>1885</v>
      </c>
      <c r="BSY1" s="46" t="s">
        <v>1886</v>
      </c>
      <c r="BSZ1" s="46" t="s">
        <v>1887</v>
      </c>
      <c r="BTA1" s="46" t="s">
        <v>1888</v>
      </c>
      <c r="BTB1" s="46" t="s">
        <v>1889</v>
      </c>
      <c r="BTC1" s="46" t="s">
        <v>1890</v>
      </c>
      <c r="BTD1" s="46" t="s">
        <v>1891</v>
      </c>
      <c r="BTE1" s="46" t="s">
        <v>1892</v>
      </c>
      <c r="BTF1" s="46" t="s">
        <v>1893</v>
      </c>
      <c r="BTG1" s="46" t="s">
        <v>1894</v>
      </c>
      <c r="BTH1" s="46" t="s">
        <v>1895</v>
      </c>
      <c r="BTI1" s="46" t="s">
        <v>1896</v>
      </c>
      <c r="BTJ1" s="46" t="s">
        <v>1897</v>
      </c>
      <c r="BTK1" s="46" t="s">
        <v>1898</v>
      </c>
      <c r="BTL1" s="46" t="s">
        <v>1899</v>
      </c>
      <c r="BTM1" s="46" t="s">
        <v>1900</v>
      </c>
      <c r="BTN1" s="46" t="s">
        <v>1901</v>
      </c>
      <c r="BTO1" s="46" t="s">
        <v>1902</v>
      </c>
      <c r="BTP1" s="46" t="s">
        <v>1903</v>
      </c>
      <c r="BTQ1" s="46" t="s">
        <v>1904</v>
      </c>
      <c r="BTR1" s="46" t="s">
        <v>1905</v>
      </c>
      <c r="BTS1" s="46" t="s">
        <v>1906</v>
      </c>
      <c r="BTT1" s="46" t="s">
        <v>1907</v>
      </c>
      <c r="BTU1" s="46" t="s">
        <v>1908</v>
      </c>
      <c r="BTV1" s="46" t="s">
        <v>1909</v>
      </c>
      <c r="BTW1" s="46" t="s">
        <v>1910</v>
      </c>
      <c r="BTX1" s="46" t="s">
        <v>1911</v>
      </c>
      <c r="BTY1" s="46" t="s">
        <v>1912</v>
      </c>
      <c r="BTZ1" s="46" t="s">
        <v>1913</v>
      </c>
      <c r="BUA1" s="46" t="s">
        <v>1914</v>
      </c>
      <c r="BUB1" s="46" t="s">
        <v>1915</v>
      </c>
      <c r="BUC1" s="46" t="s">
        <v>1916</v>
      </c>
      <c r="BUD1" s="46" t="s">
        <v>1917</v>
      </c>
      <c r="BUE1" s="46" t="s">
        <v>1918</v>
      </c>
      <c r="BUF1" s="46" t="s">
        <v>1919</v>
      </c>
      <c r="BUG1" s="46" t="s">
        <v>1920</v>
      </c>
      <c r="BUH1" s="46" t="s">
        <v>1921</v>
      </c>
      <c r="BUI1" s="46" t="s">
        <v>1922</v>
      </c>
      <c r="BUJ1" s="46" t="s">
        <v>1923</v>
      </c>
      <c r="BUK1" s="46" t="s">
        <v>1924</v>
      </c>
      <c r="BUL1" s="46" t="s">
        <v>1925</v>
      </c>
      <c r="BUM1" s="46" t="s">
        <v>1926</v>
      </c>
      <c r="BUN1" s="46" t="s">
        <v>1927</v>
      </c>
      <c r="BUO1" s="46" t="s">
        <v>1928</v>
      </c>
      <c r="BUP1" s="46" t="s">
        <v>1929</v>
      </c>
      <c r="BUQ1" s="46" t="s">
        <v>1930</v>
      </c>
      <c r="BUR1" s="46" t="s">
        <v>1931</v>
      </c>
      <c r="BUS1" s="46" t="s">
        <v>1932</v>
      </c>
      <c r="BUT1" s="46" t="s">
        <v>1933</v>
      </c>
      <c r="BUU1" s="46" t="s">
        <v>1934</v>
      </c>
      <c r="BUV1" s="46" t="s">
        <v>1935</v>
      </c>
      <c r="BUW1" s="46" t="s">
        <v>1936</v>
      </c>
      <c r="BUX1" s="46" t="s">
        <v>1937</v>
      </c>
      <c r="BUY1" s="46" t="s">
        <v>1938</v>
      </c>
      <c r="BUZ1" s="46" t="s">
        <v>1939</v>
      </c>
      <c r="BVA1" s="46" t="s">
        <v>1940</v>
      </c>
      <c r="BVB1" s="46" t="s">
        <v>1941</v>
      </c>
      <c r="BVC1" s="46" t="s">
        <v>1942</v>
      </c>
      <c r="BVD1" s="46" t="s">
        <v>1943</v>
      </c>
      <c r="BVE1" s="46" t="s">
        <v>1944</v>
      </c>
      <c r="BVF1" s="46" t="s">
        <v>1945</v>
      </c>
      <c r="BVG1" s="46" t="s">
        <v>1946</v>
      </c>
      <c r="BVH1" s="46" t="s">
        <v>1947</v>
      </c>
      <c r="BVI1" s="46" t="s">
        <v>1948</v>
      </c>
      <c r="BVJ1" s="46" t="s">
        <v>1949</v>
      </c>
      <c r="BVK1" s="46" t="s">
        <v>1950</v>
      </c>
      <c r="BVL1" s="46" t="s">
        <v>1951</v>
      </c>
      <c r="BVM1" s="46" t="s">
        <v>1952</v>
      </c>
      <c r="BVN1" s="46" t="s">
        <v>1953</v>
      </c>
      <c r="BVO1" s="46" t="s">
        <v>1954</v>
      </c>
      <c r="BVP1" s="46" t="s">
        <v>1955</v>
      </c>
      <c r="BVQ1" s="46" t="s">
        <v>1956</v>
      </c>
      <c r="BVR1" s="46" t="s">
        <v>1957</v>
      </c>
      <c r="BVS1" s="46" t="s">
        <v>1958</v>
      </c>
      <c r="BVT1" s="46" t="s">
        <v>1959</v>
      </c>
      <c r="BVU1" s="46" t="s">
        <v>1960</v>
      </c>
      <c r="BVV1" s="46" t="s">
        <v>1961</v>
      </c>
      <c r="BVW1" s="46" t="s">
        <v>1962</v>
      </c>
      <c r="BVX1" s="46" t="s">
        <v>1963</v>
      </c>
      <c r="BVY1" s="46" t="s">
        <v>1964</v>
      </c>
      <c r="BVZ1" s="46" t="s">
        <v>1965</v>
      </c>
      <c r="BWA1" s="46" t="s">
        <v>1966</v>
      </c>
      <c r="BWB1" s="46" t="s">
        <v>1967</v>
      </c>
      <c r="BWC1" s="46" t="s">
        <v>1968</v>
      </c>
      <c r="BWD1" s="46" t="s">
        <v>1969</v>
      </c>
      <c r="BWE1" s="46" t="s">
        <v>1970</v>
      </c>
      <c r="BWF1" s="46" t="s">
        <v>1971</v>
      </c>
      <c r="BWG1" s="46" t="s">
        <v>1972</v>
      </c>
      <c r="BWH1" s="46" t="s">
        <v>1973</v>
      </c>
      <c r="BWI1" s="46" t="s">
        <v>1974</v>
      </c>
      <c r="BWJ1" s="46" t="s">
        <v>1975</v>
      </c>
      <c r="BWK1" s="46" t="s">
        <v>1976</v>
      </c>
      <c r="BWL1" s="46" t="s">
        <v>1977</v>
      </c>
      <c r="BWM1" s="46" t="s">
        <v>1978</v>
      </c>
      <c r="BWN1" s="46" t="s">
        <v>1979</v>
      </c>
      <c r="BWO1" s="46" t="s">
        <v>1980</v>
      </c>
      <c r="BWP1" s="46" t="s">
        <v>1981</v>
      </c>
      <c r="BWQ1" s="46" t="s">
        <v>1982</v>
      </c>
      <c r="BWR1" s="46" t="s">
        <v>1983</v>
      </c>
      <c r="BWS1" s="46" t="s">
        <v>1984</v>
      </c>
      <c r="BWT1" s="46" t="s">
        <v>1985</v>
      </c>
      <c r="BWU1" s="46" t="s">
        <v>1986</v>
      </c>
      <c r="BWV1" s="46" t="s">
        <v>1987</v>
      </c>
      <c r="BWW1" s="46" t="s">
        <v>1988</v>
      </c>
      <c r="BWX1" s="46" t="s">
        <v>1989</v>
      </c>
      <c r="BWY1" s="46" t="s">
        <v>1990</v>
      </c>
      <c r="BWZ1" s="46" t="s">
        <v>1991</v>
      </c>
      <c r="BXA1" s="46" t="s">
        <v>1992</v>
      </c>
      <c r="BXB1" s="46" t="s">
        <v>1993</v>
      </c>
      <c r="BXC1" s="46" t="s">
        <v>1994</v>
      </c>
      <c r="BXD1" s="46" t="s">
        <v>1995</v>
      </c>
      <c r="BXE1" s="46" t="s">
        <v>1996</v>
      </c>
      <c r="BXF1" s="46" t="s">
        <v>1997</v>
      </c>
      <c r="BXG1" s="46" t="s">
        <v>1998</v>
      </c>
      <c r="BXH1" s="46" t="s">
        <v>1999</v>
      </c>
      <c r="BXI1" s="46" t="s">
        <v>2000</v>
      </c>
      <c r="BXJ1" s="46" t="s">
        <v>2001</v>
      </c>
      <c r="BXK1" s="46" t="s">
        <v>2002</v>
      </c>
      <c r="BXL1" s="46" t="s">
        <v>2003</v>
      </c>
      <c r="BXM1" s="46" t="s">
        <v>2004</v>
      </c>
      <c r="BXN1" s="46" t="s">
        <v>2005</v>
      </c>
      <c r="BXO1" s="46" t="s">
        <v>2006</v>
      </c>
      <c r="BXP1" s="46" t="s">
        <v>2007</v>
      </c>
      <c r="BXQ1" s="46" t="s">
        <v>2008</v>
      </c>
      <c r="BXR1" s="46" t="s">
        <v>2009</v>
      </c>
      <c r="BXS1" s="46" t="s">
        <v>2010</v>
      </c>
      <c r="BXT1" s="46" t="s">
        <v>2011</v>
      </c>
      <c r="BXU1" s="46" t="s">
        <v>2012</v>
      </c>
      <c r="BXV1" s="46" t="s">
        <v>2013</v>
      </c>
      <c r="BXW1" s="46" t="s">
        <v>2014</v>
      </c>
      <c r="BXX1" s="46" t="s">
        <v>2015</v>
      </c>
      <c r="BXY1" s="46" t="s">
        <v>2016</v>
      </c>
      <c r="BXZ1" s="46" t="s">
        <v>2017</v>
      </c>
      <c r="BYA1" s="46" t="s">
        <v>2018</v>
      </c>
      <c r="BYB1" s="46" t="s">
        <v>2019</v>
      </c>
      <c r="BYC1" s="46" t="s">
        <v>2020</v>
      </c>
      <c r="BYD1" s="46" t="s">
        <v>2021</v>
      </c>
      <c r="BYE1" s="46" t="s">
        <v>2022</v>
      </c>
      <c r="BYF1" s="46" t="s">
        <v>2023</v>
      </c>
      <c r="BYG1" s="46" t="s">
        <v>2024</v>
      </c>
      <c r="BYH1" s="46" t="s">
        <v>2025</v>
      </c>
      <c r="BYI1" s="46" t="s">
        <v>2026</v>
      </c>
      <c r="BYJ1" s="46" t="s">
        <v>2027</v>
      </c>
      <c r="BYK1" s="46" t="s">
        <v>2028</v>
      </c>
      <c r="BYL1" s="46" t="s">
        <v>2029</v>
      </c>
      <c r="BYM1" s="46" t="s">
        <v>2030</v>
      </c>
      <c r="BYN1" s="46" t="s">
        <v>2031</v>
      </c>
      <c r="BYO1" s="46" t="s">
        <v>2032</v>
      </c>
      <c r="BYP1" s="46" t="s">
        <v>2033</v>
      </c>
      <c r="BYQ1" s="46" t="s">
        <v>2034</v>
      </c>
      <c r="BYR1" s="46" t="s">
        <v>2035</v>
      </c>
      <c r="BYS1" s="46" t="s">
        <v>2036</v>
      </c>
      <c r="BYT1" s="46" t="s">
        <v>2037</v>
      </c>
      <c r="BYU1" s="46" t="s">
        <v>2038</v>
      </c>
      <c r="BYV1" s="46" t="s">
        <v>2039</v>
      </c>
      <c r="BYW1" s="46" t="s">
        <v>2040</v>
      </c>
      <c r="BYX1" s="46" t="s">
        <v>2041</v>
      </c>
      <c r="BYY1" s="46" t="s">
        <v>2042</v>
      </c>
      <c r="BYZ1" s="46" t="s">
        <v>2043</v>
      </c>
      <c r="BZA1" s="46" t="s">
        <v>2044</v>
      </c>
      <c r="BZB1" s="46" t="s">
        <v>2045</v>
      </c>
      <c r="BZC1" s="46" t="s">
        <v>2046</v>
      </c>
      <c r="BZD1" s="46" t="s">
        <v>2047</v>
      </c>
      <c r="BZE1" s="46" t="s">
        <v>2048</v>
      </c>
      <c r="BZF1" s="46" t="s">
        <v>2049</v>
      </c>
      <c r="BZG1" s="46" t="s">
        <v>2050</v>
      </c>
      <c r="BZH1" s="46" t="s">
        <v>2051</v>
      </c>
      <c r="BZI1" s="46" t="s">
        <v>2052</v>
      </c>
      <c r="BZJ1" s="46" t="s">
        <v>2053</v>
      </c>
      <c r="BZK1" s="46" t="s">
        <v>2054</v>
      </c>
      <c r="BZL1" s="46" t="s">
        <v>2055</v>
      </c>
      <c r="BZM1" s="46" t="s">
        <v>2056</v>
      </c>
      <c r="BZN1" s="46" t="s">
        <v>2057</v>
      </c>
      <c r="BZO1" s="46" t="s">
        <v>2058</v>
      </c>
      <c r="BZP1" s="46" t="s">
        <v>2059</v>
      </c>
      <c r="BZQ1" s="46" t="s">
        <v>2060</v>
      </c>
      <c r="BZR1" s="46" t="s">
        <v>2061</v>
      </c>
      <c r="BZS1" s="46" t="s">
        <v>2062</v>
      </c>
      <c r="BZT1" s="46" t="s">
        <v>2063</v>
      </c>
      <c r="BZU1" s="46" t="s">
        <v>2064</v>
      </c>
      <c r="BZV1" s="46" t="s">
        <v>2065</v>
      </c>
      <c r="BZW1" s="46" t="s">
        <v>2066</v>
      </c>
      <c r="BZX1" s="46" t="s">
        <v>2067</v>
      </c>
      <c r="BZY1" s="46" t="s">
        <v>2068</v>
      </c>
      <c r="BZZ1" s="46" t="s">
        <v>2069</v>
      </c>
      <c r="CAA1" s="46" t="s">
        <v>2070</v>
      </c>
      <c r="CAB1" s="46" t="s">
        <v>2071</v>
      </c>
      <c r="CAC1" s="46" t="s">
        <v>2072</v>
      </c>
      <c r="CAD1" s="46" t="s">
        <v>2073</v>
      </c>
      <c r="CAE1" s="46" t="s">
        <v>2074</v>
      </c>
      <c r="CAF1" s="46" t="s">
        <v>2075</v>
      </c>
      <c r="CAG1" s="46" t="s">
        <v>2076</v>
      </c>
      <c r="CAH1" s="46" t="s">
        <v>2077</v>
      </c>
      <c r="CAI1" s="46" t="s">
        <v>2078</v>
      </c>
      <c r="CAJ1" s="46" t="s">
        <v>2079</v>
      </c>
      <c r="CAK1" s="46" t="s">
        <v>2080</v>
      </c>
      <c r="CAL1" s="46" t="s">
        <v>2081</v>
      </c>
      <c r="CAM1" s="46" t="s">
        <v>2082</v>
      </c>
      <c r="CAN1" s="46" t="s">
        <v>2083</v>
      </c>
      <c r="CAO1" s="46" t="s">
        <v>2084</v>
      </c>
      <c r="CAP1" s="46" t="s">
        <v>2085</v>
      </c>
      <c r="CAQ1" s="46" t="s">
        <v>2086</v>
      </c>
      <c r="CAR1" s="46" t="s">
        <v>2087</v>
      </c>
      <c r="CAS1" s="46" t="s">
        <v>2088</v>
      </c>
      <c r="CAT1" s="46" t="s">
        <v>2089</v>
      </c>
      <c r="CAU1" s="46" t="s">
        <v>2090</v>
      </c>
      <c r="CAV1" s="46" t="s">
        <v>2091</v>
      </c>
      <c r="CAW1" s="46" t="s">
        <v>2092</v>
      </c>
      <c r="CAX1" s="46" t="s">
        <v>2093</v>
      </c>
      <c r="CAY1" s="46" t="s">
        <v>2094</v>
      </c>
      <c r="CAZ1" s="46" t="s">
        <v>2095</v>
      </c>
      <c r="CBA1" s="46" t="s">
        <v>2096</v>
      </c>
      <c r="CBB1" s="46" t="s">
        <v>2097</v>
      </c>
      <c r="CBC1" s="46" t="s">
        <v>2098</v>
      </c>
      <c r="CBD1" s="46" t="s">
        <v>2099</v>
      </c>
      <c r="CBE1" s="46" t="s">
        <v>2100</v>
      </c>
      <c r="CBF1" s="46" t="s">
        <v>2101</v>
      </c>
      <c r="CBG1" s="46" t="s">
        <v>2102</v>
      </c>
      <c r="CBH1" s="46" t="s">
        <v>2103</v>
      </c>
      <c r="CBI1" s="46" t="s">
        <v>2104</v>
      </c>
      <c r="CBJ1" s="46" t="s">
        <v>2105</v>
      </c>
      <c r="CBK1" s="46" t="s">
        <v>2106</v>
      </c>
      <c r="CBL1" s="46" t="s">
        <v>2107</v>
      </c>
      <c r="CBM1" s="46" t="s">
        <v>2108</v>
      </c>
      <c r="CBN1" s="46" t="s">
        <v>2109</v>
      </c>
      <c r="CBO1" s="46" t="s">
        <v>2110</v>
      </c>
      <c r="CBP1" s="46" t="s">
        <v>2111</v>
      </c>
      <c r="CBQ1" s="46" t="s">
        <v>2112</v>
      </c>
      <c r="CBR1" s="46" t="s">
        <v>2113</v>
      </c>
      <c r="CBS1" s="46" t="s">
        <v>2114</v>
      </c>
      <c r="CBT1" s="46" t="s">
        <v>2115</v>
      </c>
      <c r="CBU1" s="46" t="s">
        <v>2116</v>
      </c>
      <c r="CBV1" s="46" t="s">
        <v>2117</v>
      </c>
      <c r="CBW1" s="46" t="s">
        <v>2118</v>
      </c>
      <c r="CBX1" s="46" t="s">
        <v>2119</v>
      </c>
      <c r="CBY1" s="46" t="s">
        <v>2120</v>
      </c>
      <c r="CBZ1" s="46" t="s">
        <v>2121</v>
      </c>
      <c r="CCA1" s="46" t="s">
        <v>2122</v>
      </c>
      <c r="CCB1" s="46" t="s">
        <v>2123</v>
      </c>
      <c r="CCC1" s="46" t="s">
        <v>2124</v>
      </c>
      <c r="CCD1" s="46" t="s">
        <v>2125</v>
      </c>
      <c r="CCE1" s="46" t="s">
        <v>2126</v>
      </c>
      <c r="CCF1" s="46" t="s">
        <v>2127</v>
      </c>
      <c r="CCG1" s="46" t="s">
        <v>2128</v>
      </c>
      <c r="CCH1" s="46" t="s">
        <v>2129</v>
      </c>
      <c r="CCI1" s="46" t="s">
        <v>2130</v>
      </c>
      <c r="CCJ1" s="46" t="s">
        <v>2131</v>
      </c>
      <c r="CCK1" s="46" t="s">
        <v>2132</v>
      </c>
      <c r="CCL1" s="46" t="s">
        <v>2133</v>
      </c>
      <c r="CCM1" s="46" t="s">
        <v>2134</v>
      </c>
      <c r="CCN1" s="46" t="s">
        <v>2135</v>
      </c>
      <c r="CCO1" s="46" t="s">
        <v>2136</v>
      </c>
      <c r="CCP1" s="46" t="s">
        <v>2137</v>
      </c>
      <c r="CCQ1" s="46" t="s">
        <v>2138</v>
      </c>
      <c r="CCR1" s="46" t="s">
        <v>2139</v>
      </c>
      <c r="CCS1" s="46" t="s">
        <v>2140</v>
      </c>
      <c r="CCT1" s="46" t="s">
        <v>2141</v>
      </c>
      <c r="CCU1" s="46" t="s">
        <v>2142</v>
      </c>
      <c r="CCV1" s="46" t="s">
        <v>2143</v>
      </c>
      <c r="CCW1" s="46" t="s">
        <v>2144</v>
      </c>
      <c r="CCX1" s="46" t="s">
        <v>2145</v>
      </c>
      <c r="CCY1" s="46" t="s">
        <v>2146</v>
      </c>
      <c r="CCZ1" s="46" t="s">
        <v>2147</v>
      </c>
      <c r="CDA1" s="46" t="s">
        <v>2148</v>
      </c>
      <c r="CDB1" s="46" t="s">
        <v>2149</v>
      </c>
      <c r="CDC1" s="46" t="s">
        <v>2150</v>
      </c>
      <c r="CDD1" s="46" t="s">
        <v>2151</v>
      </c>
      <c r="CDE1" s="46" t="s">
        <v>2152</v>
      </c>
      <c r="CDF1" s="46" t="s">
        <v>2153</v>
      </c>
      <c r="CDG1" s="46" t="s">
        <v>2154</v>
      </c>
      <c r="CDH1" s="46" t="s">
        <v>2155</v>
      </c>
      <c r="CDI1" s="46" t="s">
        <v>2156</v>
      </c>
      <c r="CDJ1" s="46" t="s">
        <v>2157</v>
      </c>
      <c r="CDK1" s="46" t="s">
        <v>2158</v>
      </c>
      <c r="CDL1" s="46" t="s">
        <v>2159</v>
      </c>
      <c r="CDM1" s="46" t="s">
        <v>2160</v>
      </c>
      <c r="CDN1" s="46" t="s">
        <v>2161</v>
      </c>
      <c r="CDO1" s="46" t="s">
        <v>2162</v>
      </c>
      <c r="CDP1" s="46" t="s">
        <v>2163</v>
      </c>
      <c r="CDQ1" s="46" t="s">
        <v>2164</v>
      </c>
      <c r="CDR1" s="46" t="s">
        <v>2165</v>
      </c>
      <c r="CDS1" s="46" t="s">
        <v>2166</v>
      </c>
      <c r="CDT1" s="46" t="s">
        <v>2167</v>
      </c>
      <c r="CDU1" s="46" t="s">
        <v>2168</v>
      </c>
      <c r="CDV1" s="46" t="s">
        <v>2169</v>
      </c>
      <c r="CDW1" s="46" t="s">
        <v>2170</v>
      </c>
      <c r="CDX1" s="46" t="s">
        <v>2171</v>
      </c>
      <c r="CDY1" s="46" t="s">
        <v>2172</v>
      </c>
      <c r="CDZ1" s="46" t="s">
        <v>2173</v>
      </c>
      <c r="CEA1" s="46" t="s">
        <v>2174</v>
      </c>
      <c r="CEB1" s="46" t="s">
        <v>2175</v>
      </c>
      <c r="CEC1" s="46" t="s">
        <v>2176</v>
      </c>
      <c r="CED1" s="46" t="s">
        <v>2177</v>
      </c>
      <c r="CEE1" s="46" t="s">
        <v>2178</v>
      </c>
      <c r="CEF1" s="46" t="s">
        <v>2179</v>
      </c>
      <c r="CEG1" s="46" t="s">
        <v>2180</v>
      </c>
      <c r="CEH1" s="46" t="s">
        <v>2181</v>
      </c>
      <c r="CEI1" s="46" t="s">
        <v>2182</v>
      </c>
      <c r="CEJ1" s="46" t="s">
        <v>2183</v>
      </c>
      <c r="CEK1" s="46" t="s">
        <v>2184</v>
      </c>
      <c r="CEL1" s="46" t="s">
        <v>2185</v>
      </c>
      <c r="CEM1" s="46" t="s">
        <v>2186</v>
      </c>
      <c r="CEN1" s="46" t="s">
        <v>2187</v>
      </c>
      <c r="CEO1" s="46" t="s">
        <v>2188</v>
      </c>
      <c r="CEP1" s="46" t="s">
        <v>2189</v>
      </c>
      <c r="CEQ1" s="46" t="s">
        <v>2190</v>
      </c>
      <c r="CER1" s="46" t="s">
        <v>2191</v>
      </c>
      <c r="CES1" s="46" t="s">
        <v>2192</v>
      </c>
      <c r="CET1" s="46" t="s">
        <v>2193</v>
      </c>
      <c r="CEU1" s="46" t="s">
        <v>2194</v>
      </c>
      <c r="CEV1" s="46" t="s">
        <v>2195</v>
      </c>
      <c r="CEW1" s="46" t="s">
        <v>2196</v>
      </c>
      <c r="CEX1" s="46" t="s">
        <v>2197</v>
      </c>
      <c r="CEY1" s="46" t="s">
        <v>2198</v>
      </c>
      <c r="CEZ1" s="46" t="s">
        <v>2199</v>
      </c>
      <c r="CFA1" s="46" t="s">
        <v>2200</v>
      </c>
      <c r="CFB1" s="46" t="s">
        <v>2201</v>
      </c>
      <c r="CFC1" s="46" t="s">
        <v>2202</v>
      </c>
      <c r="CFD1" s="46" t="s">
        <v>2203</v>
      </c>
      <c r="CFE1" s="46" t="s">
        <v>2204</v>
      </c>
      <c r="CFF1" s="46" t="s">
        <v>2205</v>
      </c>
      <c r="CFG1" s="46" t="s">
        <v>2206</v>
      </c>
      <c r="CFH1" s="46" t="s">
        <v>2207</v>
      </c>
      <c r="CFI1" s="46" t="s">
        <v>2208</v>
      </c>
      <c r="CFJ1" s="46" t="s">
        <v>2209</v>
      </c>
      <c r="CFK1" s="46" t="s">
        <v>2210</v>
      </c>
      <c r="CFL1" s="46" t="s">
        <v>2211</v>
      </c>
      <c r="CFM1" s="46" t="s">
        <v>2212</v>
      </c>
      <c r="CFN1" s="46" t="s">
        <v>2213</v>
      </c>
      <c r="CFO1" s="46" t="s">
        <v>2214</v>
      </c>
      <c r="CFP1" s="46" t="s">
        <v>2215</v>
      </c>
      <c r="CFQ1" s="46" t="s">
        <v>2216</v>
      </c>
      <c r="CFR1" s="46" t="s">
        <v>2217</v>
      </c>
      <c r="CFS1" s="46" t="s">
        <v>2218</v>
      </c>
      <c r="CFT1" s="46" t="s">
        <v>2219</v>
      </c>
      <c r="CFU1" s="46" t="s">
        <v>2220</v>
      </c>
      <c r="CFV1" s="46" t="s">
        <v>2221</v>
      </c>
      <c r="CFW1" s="46" t="s">
        <v>2222</v>
      </c>
      <c r="CFX1" s="46" t="s">
        <v>2223</v>
      </c>
      <c r="CFY1" s="46" t="s">
        <v>2224</v>
      </c>
      <c r="CFZ1" s="46" t="s">
        <v>2225</v>
      </c>
      <c r="CGA1" s="46" t="s">
        <v>2226</v>
      </c>
      <c r="CGB1" s="46" t="s">
        <v>2227</v>
      </c>
      <c r="CGC1" s="46" t="s">
        <v>2228</v>
      </c>
      <c r="CGD1" s="46" t="s">
        <v>2229</v>
      </c>
      <c r="CGE1" s="46" t="s">
        <v>2230</v>
      </c>
      <c r="CGF1" s="46" t="s">
        <v>2231</v>
      </c>
      <c r="CGG1" s="46" t="s">
        <v>2232</v>
      </c>
      <c r="CGH1" s="46" t="s">
        <v>2233</v>
      </c>
      <c r="CGI1" s="46" t="s">
        <v>2234</v>
      </c>
      <c r="CGJ1" s="46" t="s">
        <v>2235</v>
      </c>
      <c r="CGK1" s="46" t="s">
        <v>2236</v>
      </c>
      <c r="CGL1" s="46" t="s">
        <v>2237</v>
      </c>
      <c r="CGM1" s="46" t="s">
        <v>2238</v>
      </c>
      <c r="CGN1" s="46" t="s">
        <v>2239</v>
      </c>
      <c r="CGO1" s="46" t="s">
        <v>2240</v>
      </c>
      <c r="CGP1" s="46" t="s">
        <v>2241</v>
      </c>
      <c r="CGQ1" s="46" t="s">
        <v>2242</v>
      </c>
      <c r="CGR1" s="46" t="s">
        <v>2243</v>
      </c>
      <c r="CGS1" s="46" t="s">
        <v>2244</v>
      </c>
      <c r="CGT1" s="46" t="s">
        <v>2245</v>
      </c>
      <c r="CGU1" s="46" t="s">
        <v>2246</v>
      </c>
      <c r="CGV1" s="46" t="s">
        <v>2247</v>
      </c>
      <c r="CGW1" s="46" t="s">
        <v>2248</v>
      </c>
      <c r="CGX1" s="46" t="s">
        <v>2249</v>
      </c>
      <c r="CGY1" s="46" t="s">
        <v>2250</v>
      </c>
      <c r="CGZ1" s="46" t="s">
        <v>2251</v>
      </c>
      <c r="CHA1" s="46" t="s">
        <v>2252</v>
      </c>
      <c r="CHB1" s="46" t="s">
        <v>2253</v>
      </c>
      <c r="CHC1" s="46" t="s">
        <v>2254</v>
      </c>
      <c r="CHD1" s="46" t="s">
        <v>2255</v>
      </c>
      <c r="CHE1" s="46" t="s">
        <v>2256</v>
      </c>
      <c r="CHF1" s="46" t="s">
        <v>2257</v>
      </c>
      <c r="CHG1" s="46" t="s">
        <v>2258</v>
      </c>
      <c r="CHH1" s="46" t="s">
        <v>2259</v>
      </c>
      <c r="CHI1" s="46" t="s">
        <v>2260</v>
      </c>
      <c r="CHJ1" s="46" t="s">
        <v>2261</v>
      </c>
      <c r="CHK1" s="46" t="s">
        <v>2262</v>
      </c>
      <c r="CHL1" s="46" t="s">
        <v>2263</v>
      </c>
      <c r="CHM1" s="46" t="s">
        <v>2264</v>
      </c>
      <c r="CHN1" s="46" t="s">
        <v>2265</v>
      </c>
      <c r="CHO1" s="46" t="s">
        <v>2266</v>
      </c>
      <c r="CHP1" s="46" t="s">
        <v>2267</v>
      </c>
      <c r="CHQ1" s="46" t="s">
        <v>2268</v>
      </c>
      <c r="CHR1" s="46" t="s">
        <v>2269</v>
      </c>
      <c r="CHS1" s="46" t="s">
        <v>2270</v>
      </c>
      <c r="CHT1" s="46" t="s">
        <v>2271</v>
      </c>
      <c r="CHU1" s="46" t="s">
        <v>2272</v>
      </c>
      <c r="CHV1" s="46" t="s">
        <v>2273</v>
      </c>
      <c r="CHW1" s="46" t="s">
        <v>2274</v>
      </c>
      <c r="CHX1" s="46" t="s">
        <v>2275</v>
      </c>
      <c r="CHY1" s="46" t="s">
        <v>2276</v>
      </c>
      <c r="CHZ1" s="46" t="s">
        <v>2277</v>
      </c>
      <c r="CIA1" s="46" t="s">
        <v>2278</v>
      </c>
      <c r="CIB1" s="46" t="s">
        <v>2279</v>
      </c>
      <c r="CIC1" s="46" t="s">
        <v>2280</v>
      </c>
      <c r="CID1" s="46" t="s">
        <v>2281</v>
      </c>
      <c r="CIE1" s="46" t="s">
        <v>2282</v>
      </c>
      <c r="CIF1" s="46" t="s">
        <v>2283</v>
      </c>
      <c r="CIG1" s="46" t="s">
        <v>2284</v>
      </c>
      <c r="CIH1" s="46" t="s">
        <v>2285</v>
      </c>
      <c r="CII1" s="46" t="s">
        <v>2286</v>
      </c>
      <c r="CIJ1" s="46" t="s">
        <v>2287</v>
      </c>
      <c r="CIK1" s="46" t="s">
        <v>2288</v>
      </c>
      <c r="CIL1" s="46" t="s">
        <v>2289</v>
      </c>
      <c r="CIM1" s="46" t="s">
        <v>2290</v>
      </c>
      <c r="CIN1" s="46" t="s">
        <v>2291</v>
      </c>
      <c r="CIO1" s="46" t="s">
        <v>2292</v>
      </c>
      <c r="CIP1" s="46" t="s">
        <v>2293</v>
      </c>
      <c r="CIQ1" s="46" t="s">
        <v>2294</v>
      </c>
      <c r="CIR1" s="46" t="s">
        <v>2295</v>
      </c>
      <c r="CIS1" s="46" t="s">
        <v>2296</v>
      </c>
      <c r="CIT1" s="46" t="s">
        <v>2297</v>
      </c>
      <c r="CIU1" s="46" t="s">
        <v>2298</v>
      </c>
      <c r="CIV1" s="46" t="s">
        <v>2299</v>
      </c>
      <c r="CIW1" s="46" t="s">
        <v>2300</v>
      </c>
      <c r="CIX1" s="46" t="s">
        <v>2301</v>
      </c>
      <c r="CIY1" s="46" t="s">
        <v>2302</v>
      </c>
      <c r="CIZ1" s="46" t="s">
        <v>2303</v>
      </c>
      <c r="CJA1" s="46" t="s">
        <v>2304</v>
      </c>
      <c r="CJB1" s="46" t="s">
        <v>2305</v>
      </c>
      <c r="CJC1" s="46" t="s">
        <v>2306</v>
      </c>
      <c r="CJD1" s="46" t="s">
        <v>2307</v>
      </c>
      <c r="CJE1" s="46" t="s">
        <v>2308</v>
      </c>
      <c r="CJF1" s="46" t="s">
        <v>2309</v>
      </c>
      <c r="CJG1" s="46" t="s">
        <v>2310</v>
      </c>
      <c r="CJH1" s="46" t="s">
        <v>2311</v>
      </c>
      <c r="CJI1" s="46" t="s">
        <v>2312</v>
      </c>
      <c r="CJJ1" s="46" t="s">
        <v>2313</v>
      </c>
      <c r="CJK1" s="46" t="s">
        <v>2314</v>
      </c>
      <c r="CJL1" s="46" t="s">
        <v>2315</v>
      </c>
      <c r="CJM1" s="46" t="s">
        <v>2316</v>
      </c>
      <c r="CJN1" s="46" t="s">
        <v>2317</v>
      </c>
      <c r="CJO1" s="46" t="s">
        <v>2318</v>
      </c>
      <c r="CJP1" s="46" t="s">
        <v>2319</v>
      </c>
      <c r="CJQ1" s="46" t="s">
        <v>2320</v>
      </c>
      <c r="CJR1" s="46" t="s">
        <v>2321</v>
      </c>
      <c r="CJS1" s="46" t="s">
        <v>2322</v>
      </c>
      <c r="CJT1" s="46" t="s">
        <v>2323</v>
      </c>
      <c r="CJU1" s="46" t="s">
        <v>2324</v>
      </c>
      <c r="CJV1" s="46" t="s">
        <v>2325</v>
      </c>
      <c r="CJW1" s="46" t="s">
        <v>2326</v>
      </c>
      <c r="CJX1" s="46" t="s">
        <v>2327</v>
      </c>
      <c r="CJY1" s="46" t="s">
        <v>2328</v>
      </c>
      <c r="CJZ1" s="46" t="s">
        <v>2329</v>
      </c>
      <c r="CKA1" s="46" t="s">
        <v>2330</v>
      </c>
      <c r="CKB1" s="46" t="s">
        <v>2331</v>
      </c>
      <c r="CKC1" s="46" t="s">
        <v>2332</v>
      </c>
      <c r="CKD1" s="46" t="s">
        <v>2333</v>
      </c>
      <c r="CKE1" s="46" t="s">
        <v>2334</v>
      </c>
      <c r="CKF1" s="46" t="s">
        <v>2335</v>
      </c>
      <c r="CKG1" s="46" t="s">
        <v>2336</v>
      </c>
      <c r="CKH1" s="46" t="s">
        <v>2337</v>
      </c>
      <c r="CKI1" s="46" t="s">
        <v>2338</v>
      </c>
      <c r="CKJ1" s="46" t="s">
        <v>2339</v>
      </c>
      <c r="CKK1" s="46" t="s">
        <v>2340</v>
      </c>
      <c r="CKL1" s="46" t="s">
        <v>2341</v>
      </c>
      <c r="CKM1" s="46" t="s">
        <v>2342</v>
      </c>
      <c r="CKN1" s="46" t="s">
        <v>2343</v>
      </c>
      <c r="CKO1" s="46" t="s">
        <v>2344</v>
      </c>
      <c r="CKP1" s="46" t="s">
        <v>2345</v>
      </c>
      <c r="CKQ1" s="46" t="s">
        <v>2346</v>
      </c>
      <c r="CKR1" s="46" t="s">
        <v>2347</v>
      </c>
      <c r="CKS1" s="46" t="s">
        <v>2348</v>
      </c>
      <c r="CKT1" s="46" t="s">
        <v>2349</v>
      </c>
      <c r="CKU1" s="46" t="s">
        <v>2350</v>
      </c>
      <c r="CKV1" s="46" t="s">
        <v>2351</v>
      </c>
      <c r="CKW1" s="46" t="s">
        <v>2352</v>
      </c>
      <c r="CKX1" s="46" t="s">
        <v>2353</v>
      </c>
      <c r="CKY1" s="46" t="s">
        <v>2354</v>
      </c>
      <c r="CKZ1" s="46" t="s">
        <v>2355</v>
      </c>
      <c r="CLA1" s="46" t="s">
        <v>2356</v>
      </c>
      <c r="CLB1" s="46" t="s">
        <v>2357</v>
      </c>
      <c r="CLC1" s="46" t="s">
        <v>2358</v>
      </c>
      <c r="CLD1" s="46" t="s">
        <v>2359</v>
      </c>
      <c r="CLE1" s="46" t="s">
        <v>2360</v>
      </c>
      <c r="CLF1" s="46" t="s">
        <v>2361</v>
      </c>
      <c r="CLG1" s="46" t="s">
        <v>2362</v>
      </c>
      <c r="CLH1" s="46" t="s">
        <v>2363</v>
      </c>
      <c r="CLI1" s="46" t="s">
        <v>2364</v>
      </c>
      <c r="CLJ1" s="46" t="s">
        <v>2365</v>
      </c>
      <c r="CLK1" s="46" t="s">
        <v>2366</v>
      </c>
      <c r="CLL1" s="46" t="s">
        <v>2367</v>
      </c>
      <c r="CLM1" s="46" t="s">
        <v>2368</v>
      </c>
      <c r="CLN1" s="46" t="s">
        <v>2369</v>
      </c>
      <c r="CLO1" s="46" t="s">
        <v>2370</v>
      </c>
      <c r="CLP1" s="46" t="s">
        <v>2371</v>
      </c>
      <c r="CLQ1" s="46" t="s">
        <v>2372</v>
      </c>
      <c r="CLR1" s="46" t="s">
        <v>2373</v>
      </c>
      <c r="CLS1" s="46" t="s">
        <v>2374</v>
      </c>
      <c r="CLT1" s="46" t="s">
        <v>2375</v>
      </c>
      <c r="CLU1" s="46" t="s">
        <v>2376</v>
      </c>
      <c r="CLV1" s="46" t="s">
        <v>2377</v>
      </c>
      <c r="CLW1" s="46" t="s">
        <v>2378</v>
      </c>
      <c r="CLX1" s="46" t="s">
        <v>2379</v>
      </c>
      <c r="CLY1" s="46" t="s">
        <v>2380</v>
      </c>
      <c r="CLZ1" s="46" t="s">
        <v>2381</v>
      </c>
      <c r="CMA1" s="46" t="s">
        <v>2382</v>
      </c>
      <c r="CMB1" s="46" t="s">
        <v>2383</v>
      </c>
      <c r="CMC1" s="46" t="s">
        <v>2384</v>
      </c>
      <c r="CMD1" s="46" t="s">
        <v>2385</v>
      </c>
      <c r="CME1" s="46" t="s">
        <v>2386</v>
      </c>
      <c r="CMF1" s="46" t="s">
        <v>2387</v>
      </c>
      <c r="CMG1" s="46" t="s">
        <v>2388</v>
      </c>
      <c r="CMH1" s="46" t="s">
        <v>2389</v>
      </c>
      <c r="CMI1" s="46" t="s">
        <v>2390</v>
      </c>
      <c r="CMJ1" s="46" t="s">
        <v>2391</v>
      </c>
      <c r="CMK1" s="46" t="s">
        <v>2392</v>
      </c>
      <c r="CML1" s="46" t="s">
        <v>2393</v>
      </c>
      <c r="CMM1" s="46" t="s">
        <v>2394</v>
      </c>
      <c r="CMN1" s="46" t="s">
        <v>2395</v>
      </c>
      <c r="CMO1" s="46" t="s">
        <v>2396</v>
      </c>
      <c r="CMP1" s="46" t="s">
        <v>2397</v>
      </c>
      <c r="CMQ1" s="46" t="s">
        <v>2398</v>
      </c>
      <c r="CMR1" s="46" t="s">
        <v>2399</v>
      </c>
      <c r="CMS1" s="46" t="s">
        <v>2400</v>
      </c>
      <c r="CMT1" s="46" t="s">
        <v>2401</v>
      </c>
      <c r="CMU1" s="46" t="s">
        <v>2402</v>
      </c>
      <c r="CMV1" s="46" t="s">
        <v>2403</v>
      </c>
      <c r="CMW1" s="46" t="s">
        <v>2404</v>
      </c>
      <c r="CMX1" s="46" t="s">
        <v>2405</v>
      </c>
      <c r="CMY1" s="46" t="s">
        <v>2406</v>
      </c>
      <c r="CMZ1" s="46" t="s">
        <v>2407</v>
      </c>
      <c r="CNA1" s="46" t="s">
        <v>2408</v>
      </c>
      <c r="CNB1" s="46" t="s">
        <v>2409</v>
      </c>
      <c r="CNC1" s="46" t="s">
        <v>2410</v>
      </c>
      <c r="CND1" s="46" t="s">
        <v>2411</v>
      </c>
      <c r="CNE1" s="46" t="s">
        <v>2412</v>
      </c>
      <c r="CNF1" s="46" t="s">
        <v>2413</v>
      </c>
      <c r="CNG1" s="46" t="s">
        <v>2414</v>
      </c>
      <c r="CNH1" s="46" t="s">
        <v>2415</v>
      </c>
      <c r="CNI1" s="46" t="s">
        <v>2416</v>
      </c>
      <c r="CNJ1" s="46" t="s">
        <v>2417</v>
      </c>
      <c r="CNK1" s="46" t="s">
        <v>2418</v>
      </c>
      <c r="CNL1" s="46" t="s">
        <v>2419</v>
      </c>
      <c r="CNM1" s="46" t="s">
        <v>2420</v>
      </c>
      <c r="CNN1" s="46" t="s">
        <v>2421</v>
      </c>
      <c r="CNO1" s="46" t="s">
        <v>2422</v>
      </c>
      <c r="CNP1" s="46" t="s">
        <v>2423</v>
      </c>
      <c r="CNQ1" s="46" t="s">
        <v>2424</v>
      </c>
      <c r="CNR1" s="46" t="s">
        <v>2425</v>
      </c>
      <c r="CNS1" s="46" t="s">
        <v>2426</v>
      </c>
      <c r="CNT1" s="46" t="s">
        <v>2427</v>
      </c>
      <c r="CNU1" s="46" t="s">
        <v>2428</v>
      </c>
      <c r="CNV1" s="46" t="s">
        <v>2429</v>
      </c>
      <c r="CNW1" s="46" t="s">
        <v>2430</v>
      </c>
      <c r="CNX1" s="46" t="s">
        <v>2431</v>
      </c>
      <c r="CNY1" s="46" t="s">
        <v>2432</v>
      </c>
      <c r="CNZ1" s="46" t="s">
        <v>2433</v>
      </c>
      <c r="COA1" s="46" t="s">
        <v>2434</v>
      </c>
      <c r="COB1" s="46" t="s">
        <v>2435</v>
      </c>
      <c r="COC1" s="46" t="s">
        <v>2436</v>
      </c>
      <c r="COD1" s="46" t="s">
        <v>2437</v>
      </c>
      <c r="COE1" s="46" t="s">
        <v>2438</v>
      </c>
      <c r="COF1" s="46" t="s">
        <v>2439</v>
      </c>
      <c r="COG1" s="46" t="s">
        <v>2440</v>
      </c>
      <c r="COH1" s="46" t="s">
        <v>2441</v>
      </c>
      <c r="COI1" s="46" t="s">
        <v>2442</v>
      </c>
      <c r="COJ1" s="46" t="s">
        <v>2443</v>
      </c>
      <c r="COK1" s="46" t="s">
        <v>2444</v>
      </c>
      <c r="COL1" s="46" t="s">
        <v>2445</v>
      </c>
      <c r="COM1" s="46" t="s">
        <v>2446</v>
      </c>
      <c r="CON1" s="46" t="s">
        <v>2447</v>
      </c>
      <c r="COO1" s="46" t="s">
        <v>2448</v>
      </c>
      <c r="COP1" s="46" t="s">
        <v>2449</v>
      </c>
      <c r="COQ1" s="46" t="s">
        <v>2450</v>
      </c>
      <c r="COR1" s="46" t="s">
        <v>2451</v>
      </c>
      <c r="COS1" s="46" t="s">
        <v>2452</v>
      </c>
      <c r="COT1" s="46" t="s">
        <v>2453</v>
      </c>
      <c r="COU1" s="46" t="s">
        <v>2454</v>
      </c>
      <c r="COV1" s="46" t="s">
        <v>2455</v>
      </c>
      <c r="COW1" s="46" t="s">
        <v>2456</v>
      </c>
      <c r="COX1" s="46" t="s">
        <v>2457</v>
      </c>
      <c r="COY1" s="46" t="s">
        <v>2458</v>
      </c>
      <c r="COZ1" s="46" t="s">
        <v>2459</v>
      </c>
      <c r="CPA1" s="46" t="s">
        <v>2460</v>
      </c>
      <c r="CPB1" s="46" t="s">
        <v>2461</v>
      </c>
      <c r="CPC1" s="46" t="s">
        <v>2462</v>
      </c>
      <c r="CPD1" s="46" t="s">
        <v>2463</v>
      </c>
      <c r="CPE1" s="46" t="s">
        <v>2464</v>
      </c>
      <c r="CPF1" s="46" t="s">
        <v>2465</v>
      </c>
      <c r="CPG1" s="46" t="s">
        <v>2466</v>
      </c>
      <c r="CPH1" s="46" t="s">
        <v>2467</v>
      </c>
      <c r="CPI1" s="46" t="s">
        <v>2468</v>
      </c>
      <c r="CPJ1" s="46" t="s">
        <v>2469</v>
      </c>
      <c r="CPK1" s="46" t="s">
        <v>2470</v>
      </c>
      <c r="CPL1" s="46" t="s">
        <v>2471</v>
      </c>
      <c r="CPM1" s="46" t="s">
        <v>2472</v>
      </c>
      <c r="CPN1" s="46" t="s">
        <v>2473</v>
      </c>
      <c r="CPO1" s="46" t="s">
        <v>2474</v>
      </c>
      <c r="CPP1" s="46" t="s">
        <v>2475</v>
      </c>
      <c r="CPQ1" s="46" t="s">
        <v>2476</v>
      </c>
      <c r="CPR1" s="46" t="s">
        <v>2477</v>
      </c>
      <c r="CPS1" s="46" t="s">
        <v>2478</v>
      </c>
      <c r="CPT1" s="46" t="s">
        <v>2479</v>
      </c>
      <c r="CPU1" s="46" t="s">
        <v>2480</v>
      </c>
      <c r="CPV1" s="46" t="s">
        <v>2481</v>
      </c>
      <c r="CPW1" s="46" t="s">
        <v>2482</v>
      </c>
      <c r="CPX1" s="46" t="s">
        <v>2483</v>
      </c>
      <c r="CPY1" s="46" t="s">
        <v>2484</v>
      </c>
      <c r="CPZ1" s="46" t="s">
        <v>2485</v>
      </c>
      <c r="CQA1" s="46" t="s">
        <v>2486</v>
      </c>
      <c r="CQB1" s="46" t="s">
        <v>2487</v>
      </c>
      <c r="CQC1" s="46" t="s">
        <v>2488</v>
      </c>
      <c r="CQD1" s="46" t="s">
        <v>2489</v>
      </c>
      <c r="CQE1" s="46" t="s">
        <v>2490</v>
      </c>
      <c r="CQF1" s="46" t="s">
        <v>2491</v>
      </c>
      <c r="CQG1" s="46" t="s">
        <v>2492</v>
      </c>
      <c r="CQH1" s="46" t="s">
        <v>2493</v>
      </c>
      <c r="CQI1" s="46" t="s">
        <v>2494</v>
      </c>
      <c r="CQJ1" s="46" t="s">
        <v>2495</v>
      </c>
      <c r="CQK1" s="46" t="s">
        <v>2496</v>
      </c>
      <c r="CQL1" s="46" t="s">
        <v>2497</v>
      </c>
      <c r="CQM1" s="46" t="s">
        <v>2498</v>
      </c>
      <c r="CQN1" s="46" t="s">
        <v>2499</v>
      </c>
      <c r="CQO1" s="46" t="s">
        <v>2500</v>
      </c>
      <c r="CQP1" s="46" t="s">
        <v>2501</v>
      </c>
      <c r="CQQ1" s="46" t="s">
        <v>2502</v>
      </c>
      <c r="CQR1" s="46" t="s">
        <v>2503</v>
      </c>
      <c r="CQS1" s="46" t="s">
        <v>2504</v>
      </c>
      <c r="CQT1" s="46" t="s">
        <v>2505</v>
      </c>
      <c r="CQU1" s="46" t="s">
        <v>2506</v>
      </c>
      <c r="CQV1" s="46" t="s">
        <v>2507</v>
      </c>
      <c r="CQW1" s="46" t="s">
        <v>2508</v>
      </c>
      <c r="CQX1" s="46" t="s">
        <v>2509</v>
      </c>
      <c r="CQY1" s="46" t="s">
        <v>2510</v>
      </c>
      <c r="CQZ1" s="46" t="s">
        <v>2511</v>
      </c>
      <c r="CRA1" s="46" t="s">
        <v>2512</v>
      </c>
      <c r="CRB1" s="46" t="s">
        <v>2513</v>
      </c>
      <c r="CRC1" s="46" t="s">
        <v>2514</v>
      </c>
      <c r="CRD1" s="46" t="s">
        <v>2515</v>
      </c>
      <c r="CRE1" s="46" t="s">
        <v>2516</v>
      </c>
      <c r="CRF1" s="46" t="s">
        <v>2517</v>
      </c>
      <c r="CRG1" s="46" t="s">
        <v>2518</v>
      </c>
      <c r="CRH1" s="46" t="s">
        <v>2519</v>
      </c>
      <c r="CRI1" s="46" t="s">
        <v>2520</v>
      </c>
      <c r="CRJ1" s="46" t="s">
        <v>2521</v>
      </c>
      <c r="CRK1" s="46" t="s">
        <v>2522</v>
      </c>
      <c r="CRL1" s="46" t="s">
        <v>2523</v>
      </c>
      <c r="CRM1" s="46" t="s">
        <v>2524</v>
      </c>
      <c r="CRN1" s="46" t="s">
        <v>2525</v>
      </c>
      <c r="CRO1" s="46" t="s">
        <v>2526</v>
      </c>
      <c r="CRP1" s="46" t="s">
        <v>2527</v>
      </c>
      <c r="CRQ1" s="46" t="s">
        <v>2528</v>
      </c>
      <c r="CRR1" s="46" t="s">
        <v>2529</v>
      </c>
      <c r="CRS1" s="46" t="s">
        <v>2530</v>
      </c>
      <c r="CRT1" s="46" t="s">
        <v>2531</v>
      </c>
      <c r="CRU1" s="46" t="s">
        <v>2532</v>
      </c>
      <c r="CRV1" s="46" t="s">
        <v>2533</v>
      </c>
      <c r="CRW1" s="46" t="s">
        <v>2534</v>
      </c>
      <c r="CRX1" s="46" t="s">
        <v>2535</v>
      </c>
      <c r="CRY1" s="46" t="s">
        <v>2536</v>
      </c>
      <c r="CRZ1" s="46" t="s">
        <v>2537</v>
      </c>
      <c r="CSA1" s="46" t="s">
        <v>2538</v>
      </c>
      <c r="CSB1" s="46" t="s">
        <v>2539</v>
      </c>
      <c r="CSC1" s="46" t="s">
        <v>2540</v>
      </c>
      <c r="CSD1" s="46" t="s">
        <v>2541</v>
      </c>
      <c r="CSE1" s="46" t="s">
        <v>2542</v>
      </c>
      <c r="CSF1" s="46" t="s">
        <v>2543</v>
      </c>
      <c r="CSG1" s="46" t="s">
        <v>2544</v>
      </c>
      <c r="CSH1" s="46" t="s">
        <v>2545</v>
      </c>
      <c r="CSI1" s="46" t="s">
        <v>2546</v>
      </c>
      <c r="CSJ1" s="46" t="s">
        <v>2547</v>
      </c>
      <c r="CSK1" s="46" t="s">
        <v>2548</v>
      </c>
      <c r="CSL1" s="46" t="s">
        <v>2549</v>
      </c>
      <c r="CSM1" s="46" t="s">
        <v>2550</v>
      </c>
      <c r="CSN1" s="46" t="s">
        <v>2551</v>
      </c>
      <c r="CSO1" s="46" t="s">
        <v>2552</v>
      </c>
      <c r="CSP1" s="46" t="s">
        <v>2553</v>
      </c>
      <c r="CSQ1" s="46" t="s">
        <v>2554</v>
      </c>
      <c r="CSR1" s="46" t="s">
        <v>2555</v>
      </c>
      <c r="CSS1" s="46" t="s">
        <v>2556</v>
      </c>
      <c r="CST1" s="46" t="s">
        <v>2557</v>
      </c>
      <c r="CSU1" s="46" t="s">
        <v>2558</v>
      </c>
      <c r="CSV1" s="46" t="s">
        <v>2559</v>
      </c>
      <c r="CSW1" s="46" t="s">
        <v>2560</v>
      </c>
      <c r="CSX1" s="46" t="s">
        <v>2561</v>
      </c>
      <c r="CSY1" s="46" t="s">
        <v>2562</v>
      </c>
      <c r="CSZ1" s="46" t="s">
        <v>2563</v>
      </c>
      <c r="CTA1" s="46" t="s">
        <v>2564</v>
      </c>
      <c r="CTB1" s="46" t="s">
        <v>2565</v>
      </c>
      <c r="CTC1" s="46" t="s">
        <v>2566</v>
      </c>
      <c r="CTD1" s="46" t="s">
        <v>2567</v>
      </c>
      <c r="CTE1" s="46" t="s">
        <v>2568</v>
      </c>
      <c r="CTF1" s="46" t="s">
        <v>2569</v>
      </c>
      <c r="CTG1" s="46" t="s">
        <v>2570</v>
      </c>
      <c r="CTH1" s="46" t="s">
        <v>2571</v>
      </c>
      <c r="CTI1" s="46" t="s">
        <v>2572</v>
      </c>
      <c r="CTJ1" s="46" t="s">
        <v>2573</v>
      </c>
      <c r="CTK1" s="46" t="s">
        <v>2574</v>
      </c>
      <c r="CTL1" s="46" t="s">
        <v>2575</v>
      </c>
      <c r="CTM1" s="46" t="s">
        <v>2576</v>
      </c>
      <c r="CTN1" s="46" t="s">
        <v>2577</v>
      </c>
      <c r="CTO1" s="46" t="s">
        <v>2578</v>
      </c>
      <c r="CTP1" s="46" t="s">
        <v>2579</v>
      </c>
      <c r="CTQ1" s="46" t="s">
        <v>2580</v>
      </c>
      <c r="CTR1" s="46" t="s">
        <v>2581</v>
      </c>
      <c r="CTS1" s="46" t="s">
        <v>2582</v>
      </c>
      <c r="CTT1" s="46" t="s">
        <v>2583</v>
      </c>
      <c r="CTU1" s="46" t="s">
        <v>2584</v>
      </c>
      <c r="CTV1" s="46" t="s">
        <v>2585</v>
      </c>
      <c r="CTW1" s="46" t="s">
        <v>2586</v>
      </c>
      <c r="CTX1" s="46" t="s">
        <v>2587</v>
      </c>
      <c r="CTY1" s="46" t="s">
        <v>2588</v>
      </c>
      <c r="CTZ1" s="46" t="s">
        <v>2589</v>
      </c>
      <c r="CUA1" s="46" t="s">
        <v>2590</v>
      </c>
      <c r="CUB1" s="46" t="s">
        <v>2591</v>
      </c>
      <c r="CUC1" s="46" t="s">
        <v>2592</v>
      </c>
      <c r="CUD1" s="46" t="s">
        <v>2593</v>
      </c>
      <c r="CUE1" s="46" t="s">
        <v>2594</v>
      </c>
      <c r="CUF1" s="46" t="s">
        <v>2595</v>
      </c>
      <c r="CUG1" s="46" t="s">
        <v>2596</v>
      </c>
      <c r="CUH1" s="46" t="s">
        <v>2597</v>
      </c>
      <c r="CUI1" s="46" t="s">
        <v>2598</v>
      </c>
      <c r="CUJ1" s="46" t="s">
        <v>2599</v>
      </c>
      <c r="CUK1" s="46" t="s">
        <v>2600</v>
      </c>
      <c r="CUL1" s="46" t="s">
        <v>2601</v>
      </c>
      <c r="CUM1" s="46" t="s">
        <v>2602</v>
      </c>
      <c r="CUN1" s="46" t="s">
        <v>2603</v>
      </c>
      <c r="CUO1" s="46" t="s">
        <v>2604</v>
      </c>
      <c r="CUP1" s="46" t="s">
        <v>2605</v>
      </c>
      <c r="CUQ1" s="46" t="s">
        <v>2606</v>
      </c>
      <c r="CUR1" s="46" t="s">
        <v>2607</v>
      </c>
      <c r="CUS1" s="46" t="s">
        <v>2608</v>
      </c>
      <c r="CUT1" s="46" t="s">
        <v>2609</v>
      </c>
      <c r="CUU1" s="46" t="s">
        <v>2610</v>
      </c>
      <c r="CUV1" s="46" t="s">
        <v>2611</v>
      </c>
      <c r="CUW1" s="46" t="s">
        <v>2612</v>
      </c>
      <c r="CUX1" s="46" t="s">
        <v>2613</v>
      </c>
      <c r="CUY1" s="46" t="s">
        <v>2614</v>
      </c>
      <c r="CUZ1" s="46" t="s">
        <v>2615</v>
      </c>
      <c r="CVA1" s="46" t="s">
        <v>2616</v>
      </c>
      <c r="CVB1" s="46" t="s">
        <v>2617</v>
      </c>
      <c r="CVC1" s="46" t="s">
        <v>2618</v>
      </c>
      <c r="CVD1" s="46" t="s">
        <v>2619</v>
      </c>
      <c r="CVE1" s="46" t="s">
        <v>2620</v>
      </c>
      <c r="CVF1" s="46" t="s">
        <v>2621</v>
      </c>
      <c r="CVG1" s="46" t="s">
        <v>2622</v>
      </c>
      <c r="CVH1" s="46" t="s">
        <v>2623</v>
      </c>
      <c r="CVI1" s="46" t="s">
        <v>2624</v>
      </c>
      <c r="CVJ1" s="46" t="s">
        <v>2625</v>
      </c>
      <c r="CVK1" s="46" t="s">
        <v>2626</v>
      </c>
      <c r="CVL1" s="46" t="s">
        <v>2627</v>
      </c>
      <c r="CVM1" s="46" t="s">
        <v>2628</v>
      </c>
      <c r="CVN1" s="46" t="s">
        <v>2629</v>
      </c>
      <c r="CVO1" s="46" t="s">
        <v>2630</v>
      </c>
      <c r="CVP1" s="46" t="s">
        <v>2631</v>
      </c>
      <c r="CVQ1" s="46" t="s">
        <v>2632</v>
      </c>
      <c r="CVR1" s="46" t="s">
        <v>2633</v>
      </c>
      <c r="CVS1" s="46" t="s">
        <v>2634</v>
      </c>
      <c r="CVT1" s="46" t="s">
        <v>2635</v>
      </c>
      <c r="CVU1" s="46" t="s">
        <v>2636</v>
      </c>
      <c r="CVV1" s="46" t="s">
        <v>2637</v>
      </c>
      <c r="CVW1" s="46" t="s">
        <v>2638</v>
      </c>
      <c r="CVX1" s="46" t="s">
        <v>2639</v>
      </c>
      <c r="CVY1" s="46" t="s">
        <v>2640</v>
      </c>
      <c r="CVZ1" s="46" t="s">
        <v>2641</v>
      </c>
      <c r="CWA1" s="46" t="s">
        <v>2642</v>
      </c>
      <c r="CWB1" s="46" t="s">
        <v>2643</v>
      </c>
      <c r="CWC1" s="46" t="s">
        <v>2644</v>
      </c>
      <c r="CWD1" s="46" t="s">
        <v>2645</v>
      </c>
      <c r="CWE1" s="46" t="s">
        <v>2646</v>
      </c>
      <c r="CWF1" s="46" t="s">
        <v>2647</v>
      </c>
      <c r="CWG1" s="46" t="s">
        <v>2648</v>
      </c>
      <c r="CWH1" s="46" t="s">
        <v>2649</v>
      </c>
      <c r="CWI1" s="46" t="s">
        <v>2650</v>
      </c>
      <c r="CWJ1" s="46" t="s">
        <v>2651</v>
      </c>
      <c r="CWK1" s="46" t="s">
        <v>2652</v>
      </c>
      <c r="CWL1" s="46" t="s">
        <v>2653</v>
      </c>
      <c r="CWM1" s="46" t="s">
        <v>2654</v>
      </c>
      <c r="CWN1" s="46" t="s">
        <v>2655</v>
      </c>
      <c r="CWO1" s="46" t="s">
        <v>2656</v>
      </c>
      <c r="CWP1" s="46" t="s">
        <v>2657</v>
      </c>
      <c r="CWQ1" s="46" t="s">
        <v>2658</v>
      </c>
      <c r="CWR1" s="46" t="s">
        <v>2659</v>
      </c>
      <c r="CWS1" s="46" t="s">
        <v>2660</v>
      </c>
      <c r="CWT1" s="46" t="s">
        <v>2661</v>
      </c>
      <c r="CWU1" s="46" t="s">
        <v>2662</v>
      </c>
      <c r="CWV1" s="46" t="s">
        <v>2663</v>
      </c>
      <c r="CWW1" s="46" t="s">
        <v>2664</v>
      </c>
      <c r="CWX1" s="46" t="s">
        <v>2665</v>
      </c>
      <c r="CWY1" s="46" t="s">
        <v>2666</v>
      </c>
      <c r="CWZ1" s="46" t="s">
        <v>2667</v>
      </c>
      <c r="CXA1" s="46" t="s">
        <v>2668</v>
      </c>
      <c r="CXB1" s="46" t="s">
        <v>2669</v>
      </c>
      <c r="CXC1" s="46" t="s">
        <v>2670</v>
      </c>
      <c r="CXD1" s="46" t="s">
        <v>2671</v>
      </c>
      <c r="CXE1" s="46" t="s">
        <v>2672</v>
      </c>
      <c r="CXF1" s="46" t="s">
        <v>2673</v>
      </c>
      <c r="CXG1" s="46" t="s">
        <v>2674</v>
      </c>
      <c r="CXH1" s="46" t="s">
        <v>2675</v>
      </c>
      <c r="CXI1" s="46" t="s">
        <v>2676</v>
      </c>
      <c r="CXJ1" s="46" t="s">
        <v>2677</v>
      </c>
      <c r="CXK1" s="46" t="s">
        <v>2678</v>
      </c>
      <c r="CXL1" s="46" t="s">
        <v>2679</v>
      </c>
      <c r="CXM1" s="46" t="s">
        <v>2680</v>
      </c>
      <c r="CXN1" s="46" t="s">
        <v>2681</v>
      </c>
      <c r="CXO1" s="46" t="s">
        <v>2682</v>
      </c>
      <c r="CXP1" s="46" t="s">
        <v>2683</v>
      </c>
      <c r="CXQ1" s="46" t="s">
        <v>2684</v>
      </c>
      <c r="CXR1" s="46" t="s">
        <v>2685</v>
      </c>
      <c r="CXS1" s="46" t="s">
        <v>2686</v>
      </c>
      <c r="CXT1" s="46" t="s">
        <v>2687</v>
      </c>
      <c r="CXU1" s="46" t="s">
        <v>2688</v>
      </c>
      <c r="CXV1" s="46" t="s">
        <v>2689</v>
      </c>
      <c r="CXW1" s="46" t="s">
        <v>2690</v>
      </c>
      <c r="CXX1" s="46" t="s">
        <v>2691</v>
      </c>
      <c r="CXY1" s="46" t="s">
        <v>2692</v>
      </c>
      <c r="CXZ1" s="46" t="s">
        <v>2693</v>
      </c>
      <c r="CYA1" s="46" t="s">
        <v>2694</v>
      </c>
      <c r="CYB1" s="46" t="s">
        <v>2695</v>
      </c>
      <c r="CYC1" s="46" t="s">
        <v>2696</v>
      </c>
      <c r="CYD1" s="46" t="s">
        <v>2697</v>
      </c>
      <c r="CYE1" s="46" t="s">
        <v>2698</v>
      </c>
      <c r="CYF1" s="46" t="s">
        <v>2699</v>
      </c>
      <c r="CYG1" s="46" t="s">
        <v>2700</v>
      </c>
      <c r="CYH1" s="46" t="s">
        <v>2701</v>
      </c>
      <c r="CYI1" s="46" t="s">
        <v>2702</v>
      </c>
      <c r="CYJ1" s="46" t="s">
        <v>2703</v>
      </c>
      <c r="CYK1" s="46" t="s">
        <v>2704</v>
      </c>
      <c r="CYL1" s="46" t="s">
        <v>2705</v>
      </c>
      <c r="CYM1" s="46" t="s">
        <v>2706</v>
      </c>
      <c r="CYN1" s="46" t="s">
        <v>2707</v>
      </c>
      <c r="CYO1" s="46" t="s">
        <v>2708</v>
      </c>
      <c r="CYP1" s="46" t="s">
        <v>2709</v>
      </c>
      <c r="CYQ1" s="46" t="s">
        <v>2710</v>
      </c>
      <c r="CYR1" s="46" t="s">
        <v>2711</v>
      </c>
      <c r="CYS1" s="46" t="s">
        <v>2712</v>
      </c>
      <c r="CYT1" s="46" t="s">
        <v>2713</v>
      </c>
      <c r="CYU1" s="46" t="s">
        <v>2714</v>
      </c>
      <c r="CYV1" s="46" t="s">
        <v>2715</v>
      </c>
      <c r="CYW1" s="46" t="s">
        <v>2716</v>
      </c>
      <c r="CYX1" s="46" t="s">
        <v>2717</v>
      </c>
      <c r="CYY1" s="46" t="s">
        <v>2718</v>
      </c>
      <c r="CYZ1" s="46" t="s">
        <v>2719</v>
      </c>
      <c r="CZA1" s="46" t="s">
        <v>2720</v>
      </c>
      <c r="CZB1" s="46" t="s">
        <v>2721</v>
      </c>
      <c r="CZC1" s="46" t="s">
        <v>2722</v>
      </c>
      <c r="CZD1" s="46" t="s">
        <v>2723</v>
      </c>
      <c r="CZE1" s="46" t="s">
        <v>2724</v>
      </c>
      <c r="CZF1" s="46" t="s">
        <v>2725</v>
      </c>
      <c r="CZG1" s="46" t="s">
        <v>2726</v>
      </c>
      <c r="CZH1" s="46" t="s">
        <v>2727</v>
      </c>
      <c r="CZI1" s="46" t="s">
        <v>2728</v>
      </c>
      <c r="CZJ1" s="46" t="s">
        <v>2729</v>
      </c>
      <c r="CZK1" s="46" t="s">
        <v>2730</v>
      </c>
      <c r="CZL1" s="46" t="s">
        <v>2731</v>
      </c>
      <c r="CZM1" s="46" t="s">
        <v>2732</v>
      </c>
      <c r="CZN1" s="46" t="s">
        <v>2733</v>
      </c>
      <c r="CZO1" s="46" t="s">
        <v>2734</v>
      </c>
      <c r="CZP1" s="46" t="s">
        <v>2735</v>
      </c>
      <c r="CZQ1" s="46" t="s">
        <v>2736</v>
      </c>
      <c r="CZR1" s="46" t="s">
        <v>2737</v>
      </c>
      <c r="CZS1" s="46" t="s">
        <v>2738</v>
      </c>
      <c r="CZT1" s="46" t="s">
        <v>2739</v>
      </c>
      <c r="CZU1" s="46" t="s">
        <v>2740</v>
      </c>
      <c r="CZV1" s="46" t="s">
        <v>2741</v>
      </c>
      <c r="CZW1" s="46" t="s">
        <v>2742</v>
      </c>
      <c r="CZX1" s="46" t="s">
        <v>2743</v>
      </c>
      <c r="CZY1" s="46" t="s">
        <v>2744</v>
      </c>
      <c r="CZZ1" s="46" t="s">
        <v>2745</v>
      </c>
      <c r="DAA1" s="46" t="s">
        <v>2746</v>
      </c>
      <c r="DAB1" s="46" t="s">
        <v>2747</v>
      </c>
      <c r="DAC1" s="46" t="s">
        <v>2748</v>
      </c>
      <c r="DAD1" s="46" t="s">
        <v>2749</v>
      </c>
      <c r="DAE1" s="46" t="s">
        <v>2750</v>
      </c>
      <c r="DAF1" s="46" t="s">
        <v>2751</v>
      </c>
      <c r="DAG1" s="46" t="s">
        <v>2752</v>
      </c>
      <c r="DAH1" s="46" t="s">
        <v>2753</v>
      </c>
      <c r="DAI1" s="46" t="s">
        <v>2754</v>
      </c>
      <c r="DAJ1" s="46" t="s">
        <v>2755</v>
      </c>
      <c r="DAK1" s="46" t="s">
        <v>2756</v>
      </c>
      <c r="DAL1" s="46" t="s">
        <v>2757</v>
      </c>
      <c r="DAM1" s="46" t="s">
        <v>2758</v>
      </c>
      <c r="DAN1" s="46" t="s">
        <v>2759</v>
      </c>
      <c r="DAO1" s="46" t="s">
        <v>2760</v>
      </c>
      <c r="DAP1" s="46" t="s">
        <v>2761</v>
      </c>
      <c r="DAQ1" s="46" t="s">
        <v>2762</v>
      </c>
      <c r="DAR1" s="46" t="s">
        <v>2763</v>
      </c>
      <c r="DAS1" s="46" t="s">
        <v>2764</v>
      </c>
      <c r="DAT1" s="46" t="s">
        <v>2765</v>
      </c>
      <c r="DAU1" s="46" t="s">
        <v>2766</v>
      </c>
      <c r="DAV1" s="46" t="s">
        <v>2767</v>
      </c>
      <c r="DAW1" s="46" t="s">
        <v>2768</v>
      </c>
      <c r="DAX1" s="46" t="s">
        <v>2769</v>
      </c>
      <c r="DAY1" s="46" t="s">
        <v>2770</v>
      </c>
      <c r="DAZ1" s="46" t="s">
        <v>2771</v>
      </c>
      <c r="DBA1" s="46" t="s">
        <v>2772</v>
      </c>
      <c r="DBB1" s="46" t="s">
        <v>2773</v>
      </c>
      <c r="DBC1" s="46" t="s">
        <v>2774</v>
      </c>
      <c r="DBD1" s="46" t="s">
        <v>2775</v>
      </c>
      <c r="DBE1" s="46" t="s">
        <v>2776</v>
      </c>
      <c r="DBF1" s="46" t="s">
        <v>2777</v>
      </c>
      <c r="DBG1" s="46" t="s">
        <v>2778</v>
      </c>
      <c r="DBH1" s="46" t="s">
        <v>2779</v>
      </c>
      <c r="DBI1" s="46" t="s">
        <v>2780</v>
      </c>
      <c r="DBJ1" s="46" t="s">
        <v>2781</v>
      </c>
      <c r="DBK1" s="46" t="s">
        <v>2782</v>
      </c>
      <c r="DBL1" s="46" t="s">
        <v>2783</v>
      </c>
      <c r="DBM1" s="46" t="s">
        <v>2784</v>
      </c>
      <c r="DBN1" s="46" t="s">
        <v>2785</v>
      </c>
      <c r="DBO1" s="46" t="s">
        <v>2786</v>
      </c>
      <c r="DBP1" s="46" t="s">
        <v>2787</v>
      </c>
      <c r="DBQ1" s="46" t="s">
        <v>2788</v>
      </c>
      <c r="DBR1" s="46" t="s">
        <v>2789</v>
      </c>
      <c r="DBS1" s="46" t="s">
        <v>2790</v>
      </c>
      <c r="DBT1" s="46" t="s">
        <v>2791</v>
      </c>
      <c r="DBU1" s="46" t="s">
        <v>2792</v>
      </c>
      <c r="DBV1" s="46" t="s">
        <v>2793</v>
      </c>
      <c r="DBW1" s="46" t="s">
        <v>2794</v>
      </c>
      <c r="DBX1" s="46" t="s">
        <v>2795</v>
      </c>
      <c r="DBY1" s="46" t="s">
        <v>2796</v>
      </c>
      <c r="DBZ1" s="46" t="s">
        <v>2797</v>
      </c>
      <c r="DCA1" s="46" t="s">
        <v>2798</v>
      </c>
      <c r="DCB1" s="46" t="s">
        <v>2799</v>
      </c>
      <c r="DCC1" s="46" t="s">
        <v>2800</v>
      </c>
      <c r="DCD1" s="46" t="s">
        <v>2801</v>
      </c>
      <c r="DCE1" s="46" t="s">
        <v>2802</v>
      </c>
      <c r="DCF1" s="46" t="s">
        <v>2803</v>
      </c>
      <c r="DCG1" s="46" t="s">
        <v>2804</v>
      </c>
      <c r="DCH1" s="46" t="s">
        <v>2805</v>
      </c>
      <c r="DCI1" s="46" t="s">
        <v>2806</v>
      </c>
      <c r="DCJ1" s="46" t="s">
        <v>2807</v>
      </c>
      <c r="DCK1" s="46" t="s">
        <v>2808</v>
      </c>
      <c r="DCL1" s="46" t="s">
        <v>2809</v>
      </c>
      <c r="DCM1" s="46" t="s">
        <v>2810</v>
      </c>
      <c r="DCN1" s="46" t="s">
        <v>2811</v>
      </c>
      <c r="DCO1" s="46" t="s">
        <v>2812</v>
      </c>
      <c r="DCP1" s="46" t="s">
        <v>2813</v>
      </c>
      <c r="DCQ1" s="46" t="s">
        <v>2814</v>
      </c>
      <c r="DCR1" s="46" t="s">
        <v>2815</v>
      </c>
      <c r="DCS1" s="46" t="s">
        <v>2816</v>
      </c>
      <c r="DCT1" s="46" t="s">
        <v>2817</v>
      </c>
      <c r="DCU1" s="46" t="s">
        <v>2818</v>
      </c>
      <c r="DCV1" s="46" t="s">
        <v>2819</v>
      </c>
      <c r="DCW1" s="46" t="s">
        <v>2820</v>
      </c>
      <c r="DCX1" s="46" t="s">
        <v>2821</v>
      </c>
      <c r="DCY1" s="46" t="s">
        <v>2822</v>
      </c>
      <c r="DCZ1" s="46" t="s">
        <v>2823</v>
      </c>
      <c r="DDA1" s="46" t="s">
        <v>2824</v>
      </c>
      <c r="DDB1" s="46" t="s">
        <v>2825</v>
      </c>
      <c r="DDC1" s="46" t="s">
        <v>2826</v>
      </c>
      <c r="DDD1" s="46" t="s">
        <v>2827</v>
      </c>
      <c r="DDE1" s="46" t="s">
        <v>2828</v>
      </c>
      <c r="DDF1" s="46" t="s">
        <v>2829</v>
      </c>
      <c r="DDG1" s="46" t="s">
        <v>2830</v>
      </c>
      <c r="DDH1" s="46" t="s">
        <v>2831</v>
      </c>
      <c r="DDI1" s="46" t="s">
        <v>2832</v>
      </c>
      <c r="DDJ1" s="46" t="s">
        <v>2833</v>
      </c>
      <c r="DDK1" s="46" t="s">
        <v>2834</v>
      </c>
      <c r="DDL1" s="46" t="s">
        <v>2835</v>
      </c>
      <c r="DDM1" s="46" t="s">
        <v>2836</v>
      </c>
      <c r="DDN1" s="46" t="s">
        <v>2837</v>
      </c>
      <c r="DDO1" s="46" t="s">
        <v>2838</v>
      </c>
      <c r="DDP1" s="46" t="s">
        <v>2839</v>
      </c>
      <c r="DDQ1" s="46" t="s">
        <v>2840</v>
      </c>
      <c r="DDR1" s="46" t="s">
        <v>2841</v>
      </c>
      <c r="DDS1" s="46" t="s">
        <v>2842</v>
      </c>
      <c r="DDT1" s="46" t="s">
        <v>2843</v>
      </c>
      <c r="DDU1" s="46" t="s">
        <v>2844</v>
      </c>
      <c r="DDV1" s="46" t="s">
        <v>2845</v>
      </c>
      <c r="DDW1" s="46" t="s">
        <v>2846</v>
      </c>
      <c r="DDX1" s="46" t="s">
        <v>2847</v>
      </c>
      <c r="DDY1" s="46" t="s">
        <v>2848</v>
      </c>
      <c r="DDZ1" s="46" t="s">
        <v>2849</v>
      </c>
      <c r="DEA1" s="46" t="s">
        <v>2850</v>
      </c>
      <c r="DEB1" s="46" t="s">
        <v>2851</v>
      </c>
      <c r="DEC1" s="46" t="s">
        <v>2852</v>
      </c>
      <c r="DED1" s="46" t="s">
        <v>2853</v>
      </c>
      <c r="DEE1" s="46" t="s">
        <v>2854</v>
      </c>
      <c r="DEF1" s="46" t="s">
        <v>2855</v>
      </c>
      <c r="DEG1" s="46" t="s">
        <v>2856</v>
      </c>
      <c r="DEH1" s="46" t="s">
        <v>2857</v>
      </c>
      <c r="DEI1" s="46" t="s">
        <v>2858</v>
      </c>
      <c r="DEJ1" s="46" t="s">
        <v>2859</v>
      </c>
      <c r="DEK1" s="46" t="s">
        <v>2860</v>
      </c>
      <c r="DEL1" s="46" t="s">
        <v>2861</v>
      </c>
      <c r="DEM1" s="46" t="s">
        <v>2862</v>
      </c>
      <c r="DEN1" s="46" t="s">
        <v>2863</v>
      </c>
      <c r="DEO1" s="46" t="s">
        <v>2864</v>
      </c>
      <c r="DEP1" s="46" t="s">
        <v>2865</v>
      </c>
      <c r="DEQ1" s="46" t="s">
        <v>2866</v>
      </c>
      <c r="DER1" s="46" t="s">
        <v>2867</v>
      </c>
      <c r="DES1" s="46" t="s">
        <v>2868</v>
      </c>
      <c r="DET1" s="46" t="s">
        <v>2869</v>
      </c>
      <c r="DEU1" s="46" t="s">
        <v>2870</v>
      </c>
      <c r="DEV1" s="46" t="s">
        <v>2871</v>
      </c>
      <c r="DEW1" s="46" t="s">
        <v>2872</v>
      </c>
      <c r="DEX1" s="46" t="s">
        <v>2873</v>
      </c>
      <c r="DEY1" s="46" t="s">
        <v>2874</v>
      </c>
      <c r="DEZ1" s="46" t="s">
        <v>2875</v>
      </c>
      <c r="DFA1" s="46" t="s">
        <v>2876</v>
      </c>
      <c r="DFB1" s="46" t="s">
        <v>2877</v>
      </c>
      <c r="DFC1" s="46" t="s">
        <v>2878</v>
      </c>
      <c r="DFD1" s="46" t="s">
        <v>2879</v>
      </c>
      <c r="DFE1" s="46" t="s">
        <v>2880</v>
      </c>
      <c r="DFF1" s="46" t="s">
        <v>2881</v>
      </c>
      <c r="DFG1" s="46" t="s">
        <v>2882</v>
      </c>
      <c r="DFH1" s="46" t="s">
        <v>2883</v>
      </c>
      <c r="DFI1" s="46" t="s">
        <v>2884</v>
      </c>
      <c r="DFJ1" s="46" t="s">
        <v>2885</v>
      </c>
      <c r="DFK1" s="46" t="s">
        <v>2886</v>
      </c>
      <c r="DFL1" s="46" t="s">
        <v>2887</v>
      </c>
      <c r="DFM1" s="46" t="s">
        <v>2888</v>
      </c>
      <c r="DFN1" s="46" t="s">
        <v>2889</v>
      </c>
      <c r="DFO1" s="46" t="s">
        <v>2890</v>
      </c>
      <c r="DFP1" s="46" t="s">
        <v>2891</v>
      </c>
      <c r="DFQ1" s="46" t="s">
        <v>2892</v>
      </c>
      <c r="DFR1" s="46" t="s">
        <v>2893</v>
      </c>
      <c r="DFS1" s="46" t="s">
        <v>2894</v>
      </c>
      <c r="DFT1" s="46" t="s">
        <v>2895</v>
      </c>
      <c r="DFU1" s="46" t="s">
        <v>2896</v>
      </c>
      <c r="DFV1" s="46" t="s">
        <v>2897</v>
      </c>
      <c r="DFW1" s="46" t="s">
        <v>2898</v>
      </c>
      <c r="DFX1" s="46" t="s">
        <v>2899</v>
      </c>
      <c r="DFY1" s="46" t="s">
        <v>2900</v>
      </c>
      <c r="DFZ1" s="46" t="s">
        <v>2901</v>
      </c>
      <c r="DGA1" s="46" t="s">
        <v>2902</v>
      </c>
      <c r="DGB1" s="46" t="s">
        <v>2903</v>
      </c>
      <c r="DGC1" s="46" t="s">
        <v>2904</v>
      </c>
      <c r="DGD1" s="46" t="s">
        <v>2905</v>
      </c>
      <c r="DGE1" s="46" t="s">
        <v>2906</v>
      </c>
      <c r="DGF1" s="46" t="s">
        <v>2907</v>
      </c>
      <c r="DGG1" s="46" t="s">
        <v>2908</v>
      </c>
      <c r="DGH1" s="46" t="s">
        <v>2909</v>
      </c>
      <c r="DGI1" s="46" t="s">
        <v>2910</v>
      </c>
      <c r="DGJ1" s="46" t="s">
        <v>2911</v>
      </c>
      <c r="DGK1" s="46" t="s">
        <v>2912</v>
      </c>
      <c r="DGL1" s="46" t="s">
        <v>2913</v>
      </c>
      <c r="DGM1" s="46" t="s">
        <v>2914</v>
      </c>
      <c r="DGN1" s="46" t="s">
        <v>2915</v>
      </c>
      <c r="DGO1" s="46" t="s">
        <v>2916</v>
      </c>
      <c r="DGP1" s="46" t="s">
        <v>2917</v>
      </c>
      <c r="DGQ1" s="46" t="s">
        <v>2918</v>
      </c>
      <c r="DGR1" s="46" t="s">
        <v>2919</v>
      </c>
      <c r="DGS1" s="46" t="s">
        <v>2920</v>
      </c>
      <c r="DGT1" s="46" t="s">
        <v>2921</v>
      </c>
      <c r="DGU1" s="46" t="s">
        <v>2922</v>
      </c>
      <c r="DGV1" s="46" t="s">
        <v>2923</v>
      </c>
      <c r="DGW1" s="46" t="s">
        <v>2924</v>
      </c>
      <c r="DGX1" s="46" t="s">
        <v>2925</v>
      </c>
      <c r="DGY1" s="46" t="s">
        <v>2926</v>
      </c>
      <c r="DGZ1" s="46" t="s">
        <v>2927</v>
      </c>
      <c r="DHA1" s="46" t="s">
        <v>2928</v>
      </c>
      <c r="DHB1" s="46" t="s">
        <v>2929</v>
      </c>
      <c r="DHC1" s="46" t="s">
        <v>2930</v>
      </c>
      <c r="DHD1" s="46" t="s">
        <v>2931</v>
      </c>
      <c r="DHE1" s="46" t="s">
        <v>2932</v>
      </c>
      <c r="DHF1" s="46" t="s">
        <v>2933</v>
      </c>
      <c r="DHG1" s="46" t="s">
        <v>2934</v>
      </c>
      <c r="DHH1" s="46" t="s">
        <v>2935</v>
      </c>
      <c r="DHI1" s="46" t="s">
        <v>2936</v>
      </c>
      <c r="DHJ1" s="46" t="s">
        <v>2937</v>
      </c>
      <c r="DHK1" s="46" t="s">
        <v>2938</v>
      </c>
      <c r="DHL1" s="46" t="s">
        <v>2939</v>
      </c>
      <c r="DHM1" s="46" t="s">
        <v>2940</v>
      </c>
      <c r="DHN1" s="46" t="s">
        <v>2941</v>
      </c>
      <c r="DHO1" s="46" t="s">
        <v>2942</v>
      </c>
      <c r="DHP1" s="46" t="s">
        <v>2943</v>
      </c>
      <c r="DHQ1" s="46" t="s">
        <v>2944</v>
      </c>
      <c r="DHR1" s="46" t="s">
        <v>2945</v>
      </c>
      <c r="DHS1" s="46" t="s">
        <v>2946</v>
      </c>
      <c r="DHT1" s="46" t="s">
        <v>2947</v>
      </c>
      <c r="DHU1" s="46" t="s">
        <v>2948</v>
      </c>
      <c r="DHV1" s="46" t="s">
        <v>2949</v>
      </c>
      <c r="DHW1" s="46" t="s">
        <v>2950</v>
      </c>
      <c r="DHX1" s="46" t="s">
        <v>2951</v>
      </c>
      <c r="DHY1" s="46" t="s">
        <v>2952</v>
      </c>
      <c r="DHZ1" s="46" t="s">
        <v>2953</v>
      </c>
      <c r="DIA1" s="46" t="s">
        <v>2954</v>
      </c>
      <c r="DIB1" s="46" t="s">
        <v>2955</v>
      </c>
      <c r="DIC1" s="46" t="s">
        <v>2956</v>
      </c>
      <c r="DID1" s="46" t="s">
        <v>2957</v>
      </c>
      <c r="DIE1" s="46" t="s">
        <v>2958</v>
      </c>
      <c r="DIF1" s="46" t="s">
        <v>2959</v>
      </c>
      <c r="DIG1" s="46" t="s">
        <v>2960</v>
      </c>
      <c r="DIH1" s="46" t="s">
        <v>2961</v>
      </c>
      <c r="DII1" s="46" t="s">
        <v>2962</v>
      </c>
      <c r="DIJ1" s="46" t="s">
        <v>2963</v>
      </c>
      <c r="DIK1" s="46" t="s">
        <v>2964</v>
      </c>
      <c r="DIL1" s="46" t="s">
        <v>2965</v>
      </c>
      <c r="DIM1" s="46" t="s">
        <v>2966</v>
      </c>
      <c r="DIN1" s="46" t="s">
        <v>2967</v>
      </c>
      <c r="DIO1" s="46" t="s">
        <v>2968</v>
      </c>
      <c r="DIP1" s="46" t="s">
        <v>2969</v>
      </c>
      <c r="DIQ1" s="46" t="s">
        <v>2970</v>
      </c>
      <c r="DIR1" s="46" t="s">
        <v>2971</v>
      </c>
      <c r="DIS1" s="46" t="s">
        <v>2972</v>
      </c>
      <c r="DIT1" s="46" t="s">
        <v>2973</v>
      </c>
      <c r="DIU1" s="46" t="s">
        <v>2974</v>
      </c>
      <c r="DIV1" s="46" t="s">
        <v>2975</v>
      </c>
      <c r="DIW1" s="46" t="s">
        <v>2976</v>
      </c>
      <c r="DIX1" s="46" t="s">
        <v>2977</v>
      </c>
      <c r="DIY1" s="46" t="s">
        <v>2978</v>
      </c>
      <c r="DIZ1" s="46" t="s">
        <v>2979</v>
      </c>
      <c r="DJA1" s="46" t="s">
        <v>2980</v>
      </c>
      <c r="DJB1" s="46" t="s">
        <v>2981</v>
      </c>
      <c r="DJC1" s="46" t="s">
        <v>2982</v>
      </c>
      <c r="DJD1" s="46" t="s">
        <v>2983</v>
      </c>
      <c r="DJE1" s="46" t="s">
        <v>2984</v>
      </c>
      <c r="DJF1" s="46" t="s">
        <v>2985</v>
      </c>
      <c r="DJG1" s="46" t="s">
        <v>2986</v>
      </c>
      <c r="DJH1" s="46" t="s">
        <v>2987</v>
      </c>
      <c r="DJI1" s="46" t="s">
        <v>2988</v>
      </c>
      <c r="DJJ1" s="46" t="s">
        <v>2989</v>
      </c>
      <c r="DJK1" s="46" t="s">
        <v>2990</v>
      </c>
      <c r="DJL1" s="46" t="s">
        <v>2991</v>
      </c>
      <c r="DJM1" s="46" t="s">
        <v>2992</v>
      </c>
      <c r="DJN1" s="46" t="s">
        <v>2993</v>
      </c>
      <c r="DJO1" s="46" t="s">
        <v>2994</v>
      </c>
      <c r="DJP1" s="46" t="s">
        <v>2995</v>
      </c>
      <c r="DJQ1" s="46" t="s">
        <v>2996</v>
      </c>
      <c r="DJR1" s="46" t="s">
        <v>2997</v>
      </c>
      <c r="DJS1" s="46" t="s">
        <v>2998</v>
      </c>
      <c r="DJT1" s="46" t="s">
        <v>2999</v>
      </c>
      <c r="DJU1" s="46" t="s">
        <v>3000</v>
      </c>
      <c r="DJV1" s="46" t="s">
        <v>3001</v>
      </c>
      <c r="DJW1" s="46" t="s">
        <v>3002</v>
      </c>
      <c r="DJX1" s="46" t="s">
        <v>3003</v>
      </c>
      <c r="DJY1" s="46" t="s">
        <v>3004</v>
      </c>
      <c r="DJZ1" s="46" t="s">
        <v>3005</v>
      </c>
      <c r="DKA1" s="46" t="s">
        <v>3006</v>
      </c>
      <c r="DKB1" s="46" t="s">
        <v>3007</v>
      </c>
      <c r="DKC1" s="46" t="s">
        <v>3008</v>
      </c>
      <c r="DKD1" s="46" t="s">
        <v>3009</v>
      </c>
      <c r="DKE1" s="46" t="s">
        <v>3010</v>
      </c>
      <c r="DKF1" s="46" t="s">
        <v>3011</v>
      </c>
      <c r="DKG1" s="46" t="s">
        <v>3012</v>
      </c>
      <c r="DKH1" s="46" t="s">
        <v>3013</v>
      </c>
      <c r="DKI1" s="46" t="s">
        <v>3014</v>
      </c>
      <c r="DKJ1" s="46" t="s">
        <v>3015</v>
      </c>
      <c r="DKK1" s="46" t="s">
        <v>3016</v>
      </c>
      <c r="DKL1" s="46" t="s">
        <v>3017</v>
      </c>
      <c r="DKM1" s="46" t="s">
        <v>3018</v>
      </c>
      <c r="DKN1" s="46" t="s">
        <v>3019</v>
      </c>
      <c r="DKO1" s="46" t="s">
        <v>3020</v>
      </c>
      <c r="DKP1" s="46" t="s">
        <v>3021</v>
      </c>
      <c r="DKQ1" s="46" t="s">
        <v>3022</v>
      </c>
      <c r="DKR1" s="46" t="s">
        <v>3023</v>
      </c>
      <c r="DKS1" s="46" t="s">
        <v>3024</v>
      </c>
      <c r="DKT1" s="46" t="s">
        <v>3025</v>
      </c>
      <c r="DKU1" s="46" t="s">
        <v>3026</v>
      </c>
      <c r="DKV1" s="46" t="s">
        <v>3027</v>
      </c>
      <c r="DKW1" s="46" t="s">
        <v>3028</v>
      </c>
      <c r="DKX1" s="46" t="s">
        <v>3029</v>
      </c>
      <c r="DKY1" s="46" t="s">
        <v>3030</v>
      </c>
      <c r="DKZ1" s="46" t="s">
        <v>3031</v>
      </c>
      <c r="DLA1" s="46" t="s">
        <v>3032</v>
      </c>
      <c r="DLB1" s="46" t="s">
        <v>3033</v>
      </c>
      <c r="DLC1" s="46" t="s">
        <v>3034</v>
      </c>
      <c r="DLD1" s="46" t="s">
        <v>3035</v>
      </c>
      <c r="DLE1" s="46" t="s">
        <v>3036</v>
      </c>
      <c r="DLF1" s="46" t="s">
        <v>3037</v>
      </c>
      <c r="DLG1" s="46" t="s">
        <v>3038</v>
      </c>
      <c r="DLH1" s="46" t="s">
        <v>3039</v>
      </c>
      <c r="DLI1" s="46" t="s">
        <v>3040</v>
      </c>
      <c r="DLJ1" s="46" t="s">
        <v>3041</v>
      </c>
      <c r="DLK1" s="46" t="s">
        <v>3042</v>
      </c>
      <c r="DLL1" s="46" t="s">
        <v>3043</v>
      </c>
      <c r="DLM1" s="46" t="s">
        <v>3044</v>
      </c>
      <c r="DLN1" s="46" t="s">
        <v>3045</v>
      </c>
      <c r="DLO1" s="46" t="s">
        <v>3046</v>
      </c>
      <c r="DLP1" s="46" t="s">
        <v>3047</v>
      </c>
      <c r="DLQ1" s="46" t="s">
        <v>3048</v>
      </c>
      <c r="DLR1" s="46" t="s">
        <v>3049</v>
      </c>
      <c r="DLS1" s="46" t="s">
        <v>3050</v>
      </c>
      <c r="DLT1" s="46" t="s">
        <v>3051</v>
      </c>
      <c r="DLU1" s="46" t="s">
        <v>3052</v>
      </c>
      <c r="DLV1" s="46" t="s">
        <v>3053</v>
      </c>
      <c r="DLW1" s="46" t="s">
        <v>3054</v>
      </c>
      <c r="DLX1" s="46" t="s">
        <v>3055</v>
      </c>
      <c r="DLY1" s="46" t="s">
        <v>3056</v>
      </c>
      <c r="DLZ1" s="46" t="s">
        <v>3057</v>
      </c>
      <c r="DMA1" s="46" t="s">
        <v>3058</v>
      </c>
      <c r="DMB1" s="46" t="s">
        <v>3059</v>
      </c>
      <c r="DMC1" s="46" t="s">
        <v>3060</v>
      </c>
      <c r="DMD1" s="46" t="s">
        <v>3061</v>
      </c>
      <c r="DME1" s="46" t="s">
        <v>3062</v>
      </c>
      <c r="DMF1" s="46" t="s">
        <v>3063</v>
      </c>
      <c r="DMG1" s="46" t="s">
        <v>3064</v>
      </c>
      <c r="DMH1" s="46" t="s">
        <v>3065</v>
      </c>
      <c r="DMI1" s="46" t="s">
        <v>3066</v>
      </c>
      <c r="DMJ1" s="46" t="s">
        <v>3067</v>
      </c>
      <c r="DMK1" s="46" t="s">
        <v>3068</v>
      </c>
      <c r="DML1" s="46" t="s">
        <v>3069</v>
      </c>
      <c r="DMM1" s="46" t="s">
        <v>3070</v>
      </c>
      <c r="DMN1" s="46" t="s">
        <v>3071</v>
      </c>
      <c r="DMO1" s="46" t="s">
        <v>3072</v>
      </c>
      <c r="DMP1" s="46" t="s">
        <v>3073</v>
      </c>
      <c r="DMQ1" s="46" t="s">
        <v>3074</v>
      </c>
      <c r="DMR1" s="46" t="s">
        <v>3075</v>
      </c>
      <c r="DMS1" s="46" t="s">
        <v>3076</v>
      </c>
      <c r="DMT1" s="46" t="s">
        <v>3077</v>
      </c>
      <c r="DMU1" s="46" t="s">
        <v>3078</v>
      </c>
      <c r="DMV1" s="46" t="s">
        <v>3079</v>
      </c>
      <c r="DMW1" s="46" t="s">
        <v>3080</v>
      </c>
      <c r="DMX1" s="46" t="s">
        <v>3081</v>
      </c>
      <c r="DMY1" s="46" t="s">
        <v>3082</v>
      </c>
      <c r="DMZ1" s="46" t="s">
        <v>3083</v>
      </c>
      <c r="DNA1" s="46" t="s">
        <v>3084</v>
      </c>
      <c r="DNB1" s="46" t="s">
        <v>3085</v>
      </c>
      <c r="DNC1" s="46" t="s">
        <v>3086</v>
      </c>
      <c r="DND1" s="46" t="s">
        <v>3087</v>
      </c>
      <c r="DNE1" s="46" t="s">
        <v>3088</v>
      </c>
      <c r="DNF1" s="46" t="s">
        <v>3089</v>
      </c>
      <c r="DNG1" s="46" t="s">
        <v>3090</v>
      </c>
      <c r="DNH1" s="46" t="s">
        <v>3091</v>
      </c>
      <c r="DNI1" s="46" t="s">
        <v>3092</v>
      </c>
      <c r="DNJ1" s="46" t="s">
        <v>3093</v>
      </c>
      <c r="DNK1" s="46" t="s">
        <v>3094</v>
      </c>
      <c r="DNL1" s="46" t="s">
        <v>3095</v>
      </c>
      <c r="DNM1" s="46" t="s">
        <v>3096</v>
      </c>
      <c r="DNN1" s="46" t="s">
        <v>3097</v>
      </c>
      <c r="DNO1" s="46" t="s">
        <v>3098</v>
      </c>
      <c r="DNP1" s="46" t="s">
        <v>3099</v>
      </c>
      <c r="DNQ1" s="46" t="s">
        <v>3100</v>
      </c>
      <c r="DNR1" s="46" t="s">
        <v>3101</v>
      </c>
      <c r="DNS1" s="46" t="s">
        <v>3102</v>
      </c>
      <c r="DNT1" s="46" t="s">
        <v>3103</v>
      </c>
      <c r="DNU1" s="46" t="s">
        <v>3104</v>
      </c>
      <c r="DNV1" s="46" t="s">
        <v>3105</v>
      </c>
      <c r="DNW1" s="46" t="s">
        <v>3106</v>
      </c>
      <c r="DNX1" s="46" t="s">
        <v>3107</v>
      </c>
      <c r="DNY1" s="46" t="s">
        <v>3108</v>
      </c>
      <c r="DNZ1" s="46" t="s">
        <v>3109</v>
      </c>
      <c r="DOA1" s="46" t="s">
        <v>3110</v>
      </c>
      <c r="DOB1" s="46" t="s">
        <v>3111</v>
      </c>
      <c r="DOC1" s="46" t="s">
        <v>3112</v>
      </c>
      <c r="DOD1" s="46" t="s">
        <v>3113</v>
      </c>
      <c r="DOE1" s="46" t="s">
        <v>3114</v>
      </c>
      <c r="DOF1" s="46" t="s">
        <v>3115</v>
      </c>
      <c r="DOG1" s="46" t="s">
        <v>3116</v>
      </c>
      <c r="DOH1" s="46" t="s">
        <v>3117</v>
      </c>
      <c r="DOI1" s="46" t="s">
        <v>3118</v>
      </c>
      <c r="DOJ1" s="46" t="s">
        <v>3119</v>
      </c>
      <c r="DOK1" s="46" t="s">
        <v>3120</v>
      </c>
      <c r="DOL1" s="46" t="s">
        <v>3121</v>
      </c>
      <c r="DOM1" s="46" t="s">
        <v>3122</v>
      </c>
      <c r="DON1" s="46" t="s">
        <v>3123</v>
      </c>
      <c r="DOO1" s="46" t="s">
        <v>3124</v>
      </c>
      <c r="DOP1" s="46" t="s">
        <v>3125</v>
      </c>
      <c r="DOQ1" s="46" t="s">
        <v>3126</v>
      </c>
      <c r="DOR1" s="46" t="s">
        <v>3127</v>
      </c>
      <c r="DOS1" s="46" t="s">
        <v>3128</v>
      </c>
      <c r="DOT1" s="46" t="s">
        <v>3129</v>
      </c>
      <c r="DOU1" s="46" t="s">
        <v>3130</v>
      </c>
      <c r="DOV1" s="46" t="s">
        <v>3131</v>
      </c>
      <c r="DOW1" s="46" t="s">
        <v>3132</v>
      </c>
      <c r="DOX1" s="46" t="s">
        <v>3133</v>
      </c>
      <c r="DOY1" s="46" t="s">
        <v>3134</v>
      </c>
      <c r="DOZ1" s="46" t="s">
        <v>3135</v>
      </c>
      <c r="DPA1" s="46" t="s">
        <v>3136</v>
      </c>
      <c r="DPB1" s="46" t="s">
        <v>3137</v>
      </c>
      <c r="DPC1" s="46" t="s">
        <v>3138</v>
      </c>
      <c r="DPD1" s="46" t="s">
        <v>3139</v>
      </c>
      <c r="DPE1" s="46" t="s">
        <v>3140</v>
      </c>
      <c r="DPF1" s="46" t="s">
        <v>3141</v>
      </c>
      <c r="DPG1" s="46" t="s">
        <v>3142</v>
      </c>
      <c r="DPH1" s="46" t="s">
        <v>3143</v>
      </c>
      <c r="DPI1" s="46" t="s">
        <v>3144</v>
      </c>
      <c r="DPJ1" s="46" t="s">
        <v>3145</v>
      </c>
      <c r="DPK1" s="46" t="s">
        <v>3146</v>
      </c>
      <c r="DPL1" s="46" t="s">
        <v>3147</v>
      </c>
      <c r="DPM1" s="46" t="s">
        <v>3148</v>
      </c>
      <c r="DPN1" s="46" t="s">
        <v>3149</v>
      </c>
      <c r="DPO1" s="46" t="s">
        <v>3150</v>
      </c>
      <c r="DPP1" s="46" t="s">
        <v>3151</v>
      </c>
      <c r="DPQ1" s="46" t="s">
        <v>3152</v>
      </c>
      <c r="DPR1" s="46" t="s">
        <v>3153</v>
      </c>
      <c r="DPS1" s="46" t="s">
        <v>3154</v>
      </c>
      <c r="DPT1" s="46" t="s">
        <v>3155</v>
      </c>
      <c r="DPU1" s="46" t="s">
        <v>3156</v>
      </c>
      <c r="DPV1" s="46" t="s">
        <v>3157</v>
      </c>
      <c r="DPW1" s="46" t="s">
        <v>3158</v>
      </c>
      <c r="DPX1" s="46" t="s">
        <v>3159</v>
      </c>
      <c r="DPY1" s="46" t="s">
        <v>3160</v>
      </c>
      <c r="DPZ1" s="46" t="s">
        <v>3161</v>
      </c>
      <c r="DQA1" s="46" t="s">
        <v>3162</v>
      </c>
      <c r="DQB1" s="46" t="s">
        <v>3163</v>
      </c>
      <c r="DQC1" s="46" t="s">
        <v>3164</v>
      </c>
      <c r="DQD1" s="46" t="s">
        <v>3165</v>
      </c>
      <c r="DQE1" s="46" t="s">
        <v>3166</v>
      </c>
      <c r="DQF1" s="46" t="s">
        <v>3167</v>
      </c>
      <c r="DQG1" s="46" t="s">
        <v>3168</v>
      </c>
      <c r="DQH1" s="46" t="s">
        <v>3169</v>
      </c>
      <c r="DQI1" s="46" t="s">
        <v>3170</v>
      </c>
      <c r="DQJ1" s="46" t="s">
        <v>3171</v>
      </c>
      <c r="DQK1" s="46" t="s">
        <v>3172</v>
      </c>
      <c r="DQL1" s="46" t="s">
        <v>3173</v>
      </c>
      <c r="DQM1" s="46" t="s">
        <v>3174</v>
      </c>
      <c r="DQN1" s="46" t="s">
        <v>3175</v>
      </c>
      <c r="DQO1" s="46" t="s">
        <v>3176</v>
      </c>
      <c r="DQP1" s="46" t="s">
        <v>3177</v>
      </c>
      <c r="DQQ1" s="46" t="s">
        <v>3178</v>
      </c>
      <c r="DQR1" s="46" t="s">
        <v>3179</v>
      </c>
      <c r="DQS1" s="46" t="s">
        <v>3180</v>
      </c>
      <c r="DQT1" s="46" t="s">
        <v>3181</v>
      </c>
      <c r="DQU1" s="46" t="s">
        <v>3182</v>
      </c>
      <c r="DQV1" s="46" t="s">
        <v>3183</v>
      </c>
      <c r="DQW1" s="46" t="s">
        <v>3184</v>
      </c>
      <c r="DQX1" s="46" t="s">
        <v>3185</v>
      </c>
      <c r="DQY1" s="46" t="s">
        <v>3186</v>
      </c>
      <c r="DQZ1" s="46" t="s">
        <v>3187</v>
      </c>
      <c r="DRA1" s="46" t="s">
        <v>3188</v>
      </c>
      <c r="DRB1" s="46" t="s">
        <v>3189</v>
      </c>
      <c r="DRC1" s="46" t="s">
        <v>3190</v>
      </c>
      <c r="DRD1" s="46" t="s">
        <v>3191</v>
      </c>
      <c r="DRE1" s="46" t="s">
        <v>3192</v>
      </c>
      <c r="DRF1" s="46" t="s">
        <v>3193</v>
      </c>
      <c r="DRG1" s="46" t="s">
        <v>3194</v>
      </c>
      <c r="DRH1" s="46" t="s">
        <v>3195</v>
      </c>
      <c r="DRI1" s="46" t="s">
        <v>3196</v>
      </c>
      <c r="DRJ1" s="46" t="s">
        <v>3197</v>
      </c>
      <c r="DRK1" s="46" t="s">
        <v>3198</v>
      </c>
      <c r="DRL1" s="46" t="s">
        <v>3199</v>
      </c>
      <c r="DRM1" s="46" t="s">
        <v>3200</v>
      </c>
      <c r="DRN1" s="46" t="s">
        <v>3201</v>
      </c>
      <c r="DRO1" s="46" t="s">
        <v>3202</v>
      </c>
      <c r="DRP1" s="46" t="s">
        <v>3203</v>
      </c>
      <c r="DRQ1" s="46" t="s">
        <v>3204</v>
      </c>
      <c r="DRR1" s="46" t="s">
        <v>3205</v>
      </c>
      <c r="DRS1" s="46" t="s">
        <v>3206</v>
      </c>
      <c r="DRT1" s="46" t="s">
        <v>3207</v>
      </c>
      <c r="DRU1" s="46" t="s">
        <v>3208</v>
      </c>
      <c r="DRV1" s="46" t="s">
        <v>3209</v>
      </c>
      <c r="DRW1" s="46" t="s">
        <v>3210</v>
      </c>
      <c r="DRX1" s="46" t="s">
        <v>3211</v>
      </c>
      <c r="DRY1" s="46" t="s">
        <v>3212</v>
      </c>
      <c r="DRZ1" s="46" t="s">
        <v>3213</v>
      </c>
      <c r="DSA1" s="46" t="s">
        <v>3214</v>
      </c>
      <c r="DSB1" s="46" t="s">
        <v>3215</v>
      </c>
      <c r="DSC1" s="46" t="s">
        <v>3216</v>
      </c>
      <c r="DSD1" s="46" t="s">
        <v>3217</v>
      </c>
      <c r="DSE1" s="46" t="s">
        <v>3218</v>
      </c>
      <c r="DSF1" s="46" t="s">
        <v>3219</v>
      </c>
      <c r="DSG1" s="46" t="s">
        <v>3220</v>
      </c>
      <c r="DSH1" s="46" t="s">
        <v>3221</v>
      </c>
      <c r="DSI1" s="46" t="s">
        <v>3222</v>
      </c>
      <c r="DSJ1" s="46" t="s">
        <v>3223</v>
      </c>
      <c r="DSK1" s="46" t="s">
        <v>3224</v>
      </c>
      <c r="DSL1" s="46" t="s">
        <v>3225</v>
      </c>
      <c r="DSM1" s="46" t="s">
        <v>3226</v>
      </c>
      <c r="DSN1" s="46" t="s">
        <v>3227</v>
      </c>
      <c r="DSO1" s="46" t="s">
        <v>3228</v>
      </c>
      <c r="DSP1" s="46" t="s">
        <v>3229</v>
      </c>
      <c r="DSQ1" s="46" t="s">
        <v>3230</v>
      </c>
      <c r="DSR1" s="46" t="s">
        <v>3231</v>
      </c>
      <c r="DSS1" s="46" t="s">
        <v>3232</v>
      </c>
      <c r="DST1" s="46" t="s">
        <v>3233</v>
      </c>
      <c r="DSU1" s="46" t="s">
        <v>3234</v>
      </c>
      <c r="DSV1" s="46" t="s">
        <v>3235</v>
      </c>
      <c r="DSW1" s="46" t="s">
        <v>3236</v>
      </c>
      <c r="DSX1" s="46" t="s">
        <v>3237</v>
      </c>
      <c r="DSY1" s="46" t="s">
        <v>3238</v>
      </c>
      <c r="DSZ1" s="46" t="s">
        <v>3239</v>
      </c>
      <c r="DTA1" s="46" t="s">
        <v>3240</v>
      </c>
      <c r="DTB1" s="46" t="s">
        <v>3241</v>
      </c>
      <c r="DTC1" s="46" t="s">
        <v>3242</v>
      </c>
      <c r="DTD1" s="46" t="s">
        <v>3243</v>
      </c>
      <c r="DTE1" s="46" t="s">
        <v>3244</v>
      </c>
      <c r="DTF1" s="46" t="s">
        <v>3245</v>
      </c>
      <c r="DTG1" s="46" t="s">
        <v>3246</v>
      </c>
      <c r="DTH1" s="46" t="s">
        <v>3247</v>
      </c>
      <c r="DTI1" s="46" t="s">
        <v>3248</v>
      </c>
      <c r="DTJ1" s="46" t="s">
        <v>3249</v>
      </c>
      <c r="DTK1" s="46" t="s">
        <v>3250</v>
      </c>
      <c r="DTL1" s="46" t="s">
        <v>3251</v>
      </c>
      <c r="DTM1" s="46" t="s">
        <v>3252</v>
      </c>
      <c r="DTN1" s="46" t="s">
        <v>3253</v>
      </c>
      <c r="DTO1" s="46" t="s">
        <v>3254</v>
      </c>
      <c r="DTP1" s="46" t="s">
        <v>3255</v>
      </c>
      <c r="DTQ1" s="46" t="s">
        <v>3256</v>
      </c>
      <c r="DTR1" s="46" t="s">
        <v>3257</v>
      </c>
      <c r="DTS1" s="46" t="s">
        <v>3258</v>
      </c>
      <c r="DTT1" s="46" t="s">
        <v>3259</v>
      </c>
      <c r="DTU1" s="46" t="s">
        <v>3260</v>
      </c>
      <c r="DTV1" s="46" t="s">
        <v>3261</v>
      </c>
      <c r="DTW1" s="46" t="s">
        <v>3262</v>
      </c>
      <c r="DTX1" s="46" t="s">
        <v>3263</v>
      </c>
      <c r="DTY1" s="46" t="s">
        <v>3264</v>
      </c>
      <c r="DTZ1" s="46" t="s">
        <v>3265</v>
      </c>
      <c r="DUA1" s="46" t="s">
        <v>3266</v>
      </c>
      <c r="DUB1" s="46" t="s">
        <v>3267</v>
      </c>
      <c r="DUC1" s="46" t="s">
        <v>3268</v>
      </c>
      <c r="DUD1" s="46" t="s">
        <v>3269</v>
      </c>
      <c r="DUE1" s="46" t="s">
        <v>3270</v>
      </c>
      <c r="DUF1" s="46" t="s">
        <v>3271</v>
      </c>
      <c r="DUG1" s="46" t="s">
        <v>3272</v>
      </c>
      <c r="DUH1" s="46" t="s">
        <v>3273</v>
      </c>
      <c r="DUI1" s="46" t="s">
        <v>3274</v>
      </c>
      <c r="DUJ1" s="46" t="s">
        <v>3275</v>
      </c>
      <c r="DUK1" s="46" t="s">
        <v>3276</v>
      </c>
      <c r="DUL1" s="46" t="s">
        <v>3277</v>
      </c>
      <c r="DUM1" s="46" t="s">
        <v>3278</v>
      </c>
      <c r="DUN1" s="46" t="s">
        <v>3279</v>
      </c>
      <c r="DUO1" s="46" t="s">
        <v>3280</v>
      </c>
      <c r="DUP1" s="46" t="s">
        <v>3281</v>
      </c>
      <c r="DUQ1" s="46" t="s">
        <v>3282</v>
      </c>
      <c r="DUR1" s="46" t="s">
        <v>3283</v>
      </c>
      <c r="DUS1" s="46" t="s">
        <v>3284</v>
      </c>
      <c r="DUT1" s="46" t="s">
        <v>3285</v>
      </c>
      <c r="DUU1" s="46" t="s">
        <v>3286</v>
      </c>
      <c r="DUV1" s="46" t="s">
        <v>3287</v>
      </c>
      <c r="DUW1" s="46" t="s">
        <v>3288</v>
      </c>
      <c r="DUX1" s="46" t="s">
        <v>3289</v>
      </c>
      <c r="DUY1" s="46" t="s">
        <v>3290</v>
      </c>
      <c r="DUZ1" s="46" t="s">
        <v>3291</v>
      </c>
      <c r="DVA1" s="46" t="s">
        <v>3292</v>
      </c>
      <c r="DVB1" s="46" t="s">
        <v>3293</v>
      </c>
      <c r="DVC1" s="46" t="s">
        <v>3294</v>
      </c>
      <c r="DVD1" s="46" t="s">
        <v>3295</v>
      </c>
      <c r="DVE1" s="46" t="s">
        <v>3296</v>
      </c>
      <c r="DVF1" s="46" t="s">
        <v>3297</v>
      </c>
      <c r="DVG1" s="46" t="s">
        <v>3298</v>
      </c>
      <c r="DVH1" s="46" t="s">
        <v>3299</v>
      </c>
      <c r="DVI1" s="46" t="s">
        <v>3300</v>
      </c>
      <c r="DVJ1" s="46" t="s">
        <v>3301</v>
      </c>
      <c r="DVK1" s="46" t="s">
        <v>3302</v>
      </c>
      <c r="DVL1" s="46" t="s">
        <v>3303</v>
      </c>
      <c r="DVM1" s="46" t="s">
        <v>3304</v>
      </c>
      <c r="DVN1" s="46" t="s">
        <v>3305</v>
      </c>
      <c r="DVO1" s="46" t="s">
        <v>3306</v>
      </c>
      <c r="DVP1" s="46" t="s">
        <v>3307</v>
      </c>
      <c r="DVQ1" s="46" t="s">
        <v>3308</v>
      </c>
      <c r="DVR1" s="46" t="s">
        <v>3309</v>
      </c>
      <c r="DVS1" s="46" t="s">
        <v>3310</v>
      </c>
      <c r="DVT1" s="46" t="s">
        <v>3311</v>
      </c>
      <c r="DVU1" s="46" t="s">
        <v>3312</v>
      </c>
      <c r="DVV1" s="46" t="s">
        <v>3313</v>
      </c>
      <c r="DVW1" s="46" t="s">
        <v>3314</v>
      </c>
      <c r="DVX1" s="46" t="s">
        <v>3315</v>
      </c>
      <c r="DVY1" s="46" t="s">
        <v>3316</v>
      </c>
      <c r="DVZ1" s="46" t="s">
        <v>3317</v>
      </c>
      <c r="DWA1" s="46" t="s">
        <v>3318</v>
      </c>
      <c r="DWB1" s="46" t="s">
        <v>3319</v>
      </c>
      <c r="DWC1" s="46" t="s">
        <v>3320</v>
      </c>
      <c r="DWD1" s="46" t="s">
        <v>3321</v>
      </c>
      <c r="DWE1" s="46" t="s">
        <v>3322</v>
      </c>
      <c r="DWF1" s="46" t="s">
        <v>3323</v>
      </c>
      <c r="DWG1" s="46" t="s">
        <v>3324</v>
      </c>
      <c r="DWH1" s="46" t="s">
        <v>3325</v>
      </c>
      <c r="DWI1" s="46" t="s">
        <v>3326</v>
      </c>
      <c r="DWJ1" s="46" t="s">
        <v>3327</v>
      </c>
      <c r="DWK1" s="46" t="s">
        <v>3328</v>
      </c>
      <c r="DWL1" s="46" t="s">
        <v>3329</v>
      </c>
      <c r="DWM1" s="46" t="s">
        <v>3330</v>
      </c>
      <c r="DWN1" s="46" t="s">
        <v>3331</v>
      </c>
      <c r="DWO1" s="46" t="s">
        <v>3332</v>
      </c>
      <c r="DWP1" s="46" t="s">
        <v>3333</v>
      </c>
      <c r="DWQ1" s="46" t="s">
        <v>3334</v>
      </c>
      <c r="DWR1" s="46" t="s">
        <v>3335</v>
      </c>
      <c r="DWS1" s="46" t="s">
        <v>3336</v>
      </c>
      <c r="DWT1" s="46" t="s">
        <v>3337</v>
      </c>
      <c r="DWU1" s="46" t="s">
        <v>3338</v>
      </c>
      <c r="DWV1" s="46" t="s">
        <v>3339</v>
      </c>
      <c r="DWW1" s="46" t="s">
        <v>3340</v>
      </c>
      <c r="DWX1" s="46" t="s">
        <v>3341</v>
      </c>
      <c r="DWY1" s="46" t="s">
        <v>3342</v>
      </c>
      <c r="DWZ1" s="46" t="s">
        <v>3343</v>
      </c>
      <c r="DXA1" s="46" t="s">
        <v>3344</v>
      </c>
      <c r="DXB1" s="46" t="s">
        <v>3345</v>
      </c>
      <c r="DXC1" s="46" t="s">
        <v>3346</v>
      </c>
      <c r="DXD1" s="46" t="s">
        <v>3347</v>
      </c>
      <c r="DXE1" s="46" t="s">
        <v>3348</v>
      </c>
      <c r="DXF1" s="46" t="s">
        <v>3349</v>
      </c>
      <c r="DXG1" s="46" t="s">
        <v>3350</v>
      </c>
      <c r="DXH1" s="46" t="s">
        <v>3351</v>
      </c>
      <c r="DXI1" s="46" t="s">
        <v>3352</v>
      </c>
      <c r="DXJ1" s="46" t="s">
        <v>3353</v>
      </c>
      <c r="DXK1" s="46" t="s">
        <v>3354</v>
      </c>
      <c r="DXL1" s="46" t="s">
        <v>3355</v>
      </c>
      <c r="DXM1" s="46" t="s">
        <v>3356</v>
      </c>
      <c r="DXN1" s="46" t="s">
        <v>3357</v>
      </c>
      <c r="DXO1" s="46" t="s">
        <v>3358</v>
      </c>
      <c r="DXP1" s="46" t="s">
        <v>3359</v>
      </c>
      <c r="DXQ1" s="46" t="s">
        <v>3360</v>
      </c>
      <c r="DXR1" s="46" t="s">
        <v>3361</v>
      </c>
      <c r="DXS1" s="46" t="s">
        <v>3362</v>
      </c>
      <c r="DXT1" s="46" t="s">
        <v>3363</v>
      </c>
      <c r="DXU1" s="46" t="s">
        <v>3364</v>
      </c>
      <c r="DXV1" s="46" t="s">
        <v>3365</v>
      </c>
      <c r="DXW1" s="46" t="s">
        <v>3366</v>
      </c>
      <c r="DXX1" s="46" t="s">
        <v>3367</v>
      </c>
      <c r="DXY1" s="46" t="s">
        <v>3368</v>
      </c>
      <c r="DXZ1" s="46" t="s">
        <v>3369</v>
      </c>
      <c r="DYA1" s="46" t="s">
        <v>3370</v>
      </c>
      <c r="DYB1" s="46" t="s">
        <v>3371</v>
      </c>
      <c r="DYC1" s="46" t="s">
        <v>3372</v>
      </c>
      <c r="DYD1" s="46" t="s">
        <v>3373</v>
      </c>
      <c r="DYE1" s="46" t="s">
        <v>3374</v>
      </c>
      <c r="DYF1" s="46" t="s">
        <v>3375</v>
      </c>
      <c r="DYG1" s="46" t="s">
        <v>3376</v>
      </c>
      <c r="DYH1" s="46" t="s">
        <v>3377</v>
      </c>
      <c r="DYI1" s="46" t="s">
        <v>3378</v>
      </c>
      <c r="DYJ1" s="46" t="s">
        <v>3379</v>
      </c>
      <c r="DYK1" s="46" t="s">
        <v>3380</v>
      </c>
      <c r="DYL1" s="46" t="s">
        <v>3381</v>
      </c>
      <c r="DYM1" s="46" t="s">
        <v>3382</v>
      </c>
      <c r="DYN1" s="46" t="s">
        <v>3383</v>
      </c>
      <c r="DYO1" s="46" t="s">
        <v>3384</v>
      </c>
      <c r="DYP1" s="46" t="s">
        <v>3385</v>
      </c>
      <c r="DYQ1" s="46" t="s">
        <v>3386</v>
      </c>
      <c r="DYR1" s="46" t="s">
        <v>3387</v>
      </c>
      <c r="DYS1" s="46" t="s">
        <v>3388</v>
      </c>
      <c r="DYT1" s="46" t="s">
        <v>3389</v>
      </c>
      <c r="DYU1" s="46" t="s">
        <v>3390</v>
      </c>
      <c r="DYV1" s="46" t="s">
        <v>3391</v>
      </c>
      <c r="DYW1" s="46" t="s">
        <v>3392</v>
      </c>
      <c r="DYX1" s="46" t="s">
        <v>3393</v>
      </c>
      <c r="DYY1" s="46" t="s">
        <v>3394</v>
      </c>
      <c r="DYZ1" s="46" t="s">
        <v>3395</v>
      </c>
      <c r="DZA1" s="46" t="s">
        <v>3396</v>
      </c>
      <c r="DZB1" s="46" t="s">
        <v>3397</v>
      </c>
      <c r="DZC1" s="46" t="s">
        <v>3398</v>
      </c>
      <c r="DZD1" s="46" t="s">
        <v>3399</v>
      </c>
      <c r="DZE1" s="46" t="s">
        <v>3400</v>
      </c>
      <c r="DZF1" s="46" t="s">
        <v>3401</v>
      </c>
      <c r="DZG1" s="46" t="s">
        <v>3402</v>
      </c>
      <c r="DZH1" s="46" t="s">
        <v>3403</v>
      </c>
      <c r="DZI1" s="46" t="s">
        <v>3404</v>
      </c>
      <c r="DZJ1" s="46" t="s">
        <v>3405</v>
      </c>
      <c r="DZK1" s="46" t="s">
        <v>3406</v>
      </c>
      <c r="DZL1" s="46" t="s">
        <v>3407</v>
      </c>
      <c r="DZM1" s="46" t="s">
        <v>3408</v>
      </c>
      <c r="DZN1" s="46" t="s">
        <v>3409</v>
      </c>
      <c r="DZO1" s="46" t="s">
        <v>3410</v>
      </c>
      <c r="DZP1" s="46" t="s">
        <v>3411</v>
      </c>
      <c r="DZQ1" s="46" t="s">
        <v>3412</v>
      </c>
      <c r="DZR1" s="46" t="s">
        <v>3413</v>
      </c>
      <c r="DZS1" s="46" t="s">
        <v>3414</v>
      </c>
      <c r="DZT1" s="46" t="s">
        <v>3415</v>
      </c>
      <c r="DZU1" s="46" t="s">
        <v>3416</v>
      </c>
      <c r="DZV1" s="46" t="s">
        <v>3417</v>
      </c>
      <c r="DZW1" s="46" t="s">
        <v>3418</v>
      </c>
      <c r="DZX1" s="46" t="s">
        <v>3419</v>
      </c>
      <c r="DZY1" s="46" t="s">
        <v>3420</v>
      </c>
      <c r="DZZ1" s="46" t="s">
        <v>3421</v>
      </c>
      <c r="EAA1" s="46" t="s">
        <v>3422</v>
      </c>
      <c r="EAB1" s="46" t="s">
        <v>3423</v>
      </c>
      <c r="EAC1" s="46" t="s">
        <v>3424</v>
      </c>
      <c r="EAD1" s="46" t="s">
        <v>3425</v>
      </c>
      <c r="EAE1" s="46" t="s">
        <v>3426</v>
      </c>
      <c r="EAF1" s="46" t="s">
        <v>3427</v>
      </c>
      <c r="EAG1" s="46" t="s">
        <v>3428</v>
      </c>
      <c r="EAH1" s="46" t="s">
        <v>3429</v>
      </c>
      <c r="EAI1" s="46" t="s">
        <v>3430</v>
      </c>
      <c r="EAJ1" s="46" t="s">
        <v>3431</v>
      </c>
      <c r="EAK1" s="46" t="s">
        <v>3432</v>
      </c>
      <c r="EAL1" s="46" t="s">
        <v>3433</v>
      </c>
      <c r="EAM1" s="46" t="s">
        <v>3434</v>
      </c>
      <c r="EAN1" s="46" t="s">
        <v>3435</v>
      </c>
      <c r="EAO1" s="46" t="s">
        <v>3436</v>
      </c>
      <c r="EAP1" s="46" t="s">
        <v>3437</v>
      </c>
      <c r="EAQ1" s="46" t="s">
        <v>3438</v>
      </c>
      <c r="EAR1" s="46" t="s">
        <v>3439</v>
      </c>
      <c r="EAS1" s="46" t="s">
        <v>3440</v>
      </c>
      <c r="EAT1" s="46" t="s">
        <v>3441</v>
      </c>
      <c r="EAU1" s="46" t="s">
        <v>3442</v>
      </c>
      <c r="EAV1" s="46" t="s">
        <v>3443</v>
      </c>
      <c r="EAW1" s="46" t="s">
        <v>3444</v>
      </c>
      <c r="EAX1" s="46" t="s">
        <v>3445</v>
      </c>
      <c r="EAY1" s="46" t="s">
        <v>3446</v>
      </c>
      <c r="EAZ1" s="46" t="s">
        <v>3447</v>
      </c>
      <c r="EBA1" s="46" t="s">
        <v>3448</v>
      </c>
      <c r="EBB1" s="46" t="s">
        <v>3449</v>
      </c>
      <c r="EBC1" s="46" t="s">
        <v>3450</v>
      </c>
      <c r="EBD1" s="46" t="s">
        <v>3451</v>
      </c>
      <c r="EBE1" s="46" t="s">
        <v>3452</v>
      </c>
      <c r="EBF1" s="46" t="s">
        <v>3453</v>
      </c>
      <c r="EBG1" s="46" t="s">
        <v>3454</v>
      </c>
      <c r="EBH1" s="46" t="s">
        <v>3455</v>
      </c>
      <c r="EBI1" s="46" t="s">
        <v>3456</v>
      </c>
      <c r="EBJ1" s="46" t="s">
        <v>3457</v>
      </c>
      <c r="EBK1" s="46" t="s">
        <v>3458</v>
      </c>
      <c r="EBL1" s="46" t="s">
        <v>3459</v>
      </c>
      <c r="EBM1" s="46" t="s">
        <v>3460</v>
      </c>
      <c r="EBN1" s="46" t="s">
        <v>3461</v>
      </c>
      <c r="EBO1" s="46" t="s">
        <v>3462</v>
      </c>
      <c r="EBP1" s="46" t="s">
        <v>3463</v>
      </c>
      <c r="EBQ1" s="46" t="s">
        <v>3464</v>
      </c>
      <c r="EBR1" s="46" t="s">
        <v>3465</v>
      </c>
      <c r="EBS1" s="46" t="s">
        <v>3466</v>
      </c>
      <c r="EBT1" s="46" t="s">
        <v>3467</v>
      </c>
      <c r="EBU1" s="46" t="s">
        <v>3468</v>
      </c>
      <c r="EBV1" s="46" t="s">
        <v>3469</v>
      </c>
      <c r="EBW1" s="46" t="s">
        <v>3470</v>
      </c>
      <c r="EBX1" s="46" t="s">
        <v>3471</v>
      </c>
      <c r="EBY1" s="46" t="s">
        <v>3472</v>
      </c>
      <c r="EBZ1" s="46" t="s">
        <v>3473</v>
      </c>
      <c r="ECA1" s="46" t="s">
        <v>3474</v>
      </c>
      <c r="ECB1" s="46" t="s">
        <v>3475</v>
      </c>
      <c r="ECC1" s="46" t="s">
        <v>3476</v>
      </c>
      <c r="ECD1" s="46" t="s">
        <v>3477</v>
      </c>
      <c r="ECE1" s="46" t="s">
        <v>3478</v>
      </c>
      <c r="ECF1" s="46" t="s">
        <v>3479</v>
      </c>
      <c r="ECG1" s="46" t="s">
        <v>3480</v>
      </c>
      <c r="ECH1" s="46" t="s">
        <v>3481</v>
      </c>
      <c r="ECI1" s="46" t="s">
        <v>3482</v>
      </c>
      <c r="ECJ1" s="46" t="s">
        <v>3483</v>
      </c>
      <c r="ECK1" s="46" t="s">
        <v>3484</v>
      </c>
      <c r="ECL1" s="46" t="s">
        <v>3485</v>
      </c>
      <c r="ECM1" s="46" t="s">
        <v>3486</v>
      </c>
      <c r="ECN1" s="46" t="s">
        <v>3487</v>
      </c>
      <c r="ECO1" s="46" t="s">
        <v>3488</v>
      </c>
      <c r="ECP1" s="46" t="s">
        <v>3489</v>
      </c>
      <c r="ECQ1" s="46" t="s">
        <v>3490</v>
      </c>
      <c r="ECR1" s="46" t="s">
        <v>3491</v>
      </c>
      <c r="ECS1" s="46" t="s">
        <v>3492</v>
      </c>
      <c r="ECT1" s="46" t="s">
        <v>3493</v>
      </c>
      <c r="ECU1" s="46" t="s">
        <v>3494</v>
      </c>
      <c r="ECV1" s="46" t="s">
        <v>3495</v>
      </c>
      <c r="ECW1" s="46" t="s">
        <v>3496</v>
      </c>
      <c r="ECX1" s="46" t="s">
        <v>3497</v>
      </c>
      <c r="ECY1" s="46" t="s">
        <v>3498</v>
      </c>
      <c r="ECZ1" s="46" t="s">
        <v>3499</v>
      </c>
      <c r="EDA1" s="46" t="s">
        <v>3500</v>
      </c>
      <c r="EDB1" s="46" t="s">
        <v>3501</v>
      </c>
      <c r="EDC1" s="46" t="s">
        <v>3502</v>
      </c>
      <c r="EDD1" s="46" t="s">
        <v>3503</v>
      </c>
      <c r="EDE1" s="46" t="s">
        <v>3504</v>
      </c>
      <c r="EDF1" s="46" t="s">
        <v>3505</v>
      </c>
      <c r="EDG1" s="46" t="s">
        <v>3506</v>
      </c>
      <c r="EDH1" s="46" t="s">
        <v>3507</v>
      </c>
      <c r="EDI1" s="46" t="s">
        <v>3508</v>
      </c>
      <c r="EDJ1" s="46" t="s">
        <v>3509</v>
      </c>
      <c r="EDK1" s="46" t="s">
        <v>3510</v>
      </c>
      <c r="EDL1" s="46" t="s">
        <v>3511</v>
      </c>
      <c r="EDM1" s="46" t="s">
        <v>3512</v>
      </c>
      <c r="EDN1" s="46" t="s">
        <v>3513</v>
      </c>
      <c r="EDO1" s="46" t="s">
        <v>3514</v>
      </c>
      <c r="EDP1" s="46" t="s">
        <v>3515</v>
      </c>
      <c r="EDQ1" s="46" t="s">
        <v>3516</v>
      </c>
      <c r="EDR1" s="46" t="s">
        <v>3517</v>
      </c>
      <c r="EDS1" s="46" t="s">
        <v>3518</v>
      </c>
      <c r="EDT1" s="46" t="s">
        <v>3519</v>
      </c>
      <c r="EDU1" s="46" t="s">
        <v>3520</v>
      </c>
      <c r="EDV1" s="46" t="s">
        <v>3521</v>
      </c>
      <c r="EDW1" s="46" t="s">
        <v>3522</v>
      </c>
      <c r="EDX1" s="46" t="s">
        <v>3523</v>
      </c>
      <c r="EDY1" s="46" t="s">
        <v>3524</v>
      </c>
      <c r="EDZ1" s="46" t="s">
        <v>3525</v>
      </c>
      <c r="EEA1" s="46" t="s">
        <v>3526</v>
      </c>
      <c r="EEB1" s="46" t="s">
        <v>3527</v>
      </c>
      <c r="EEC1" s="46" t="s">
        <v>3528</v>
      </c>
      <c r="EED1" s="46" t="s">
        <v>3529</v>
      </c>
      <c r="EEE1" s="46" t="s">
        <v>3530</v>
      </c>
      <c r="EEF1" s="46" t="s">
        <v>3531</v>
      </c>
      <c r="EEG1" s="46" t="s">
        <v>3532</v>
      </c>
      <c r="EEH1" s="46" t="s">
        <v>3533</v>
      </c>
      <c r="EEI1" s="46" t="s">
        <v>3534</v>
      </c>
      <c r="EEJ1" s="46" t="s">
        <v>3535</v>
      </c>
      <c r="EEK1" s="46" t="s">
        <v>3536</v>
      </c>
      <c r="EEL1" s="46" t="s">
        <v>3537</v>
      </c>
      <c r="EEM1" s="46" t="s">
        <v>3538</v>
      </c>
      <c r="EEN1" s="46" t="s">
        <v>3539</v>
      </c>
      <c r="EEO1" s="46" t="s">
        <v>3540</v>
      </c>
      <c r="EEP1" s="46" t="s">
        <v>3541</v>
      </c>
      <c r="EEQ1" s="46" t="s">
        <v>3542</v>
      </c>
      <c r="EER1" s="46" t="s">
        <v>3543</v>
      </c>
      <c r="EES1" s="46" t="s">
        <v>3544</v>
      </c>
      <c r="EET1" s="46" t="s">
        <v>3545</v>
      </c>
      <c r="EEU1" s="46" t="s">
        <v>3546</v>
      </c>
      <c r="EEV1" s="46" t="s">
        <v>3547</v>
      </c>
      <c r="EEW1" s="46" t="s">
        <v>3548</v>
      </c>
      <c r="EEX1" s="46" t="s">
        <v>3549</v>
      </c>
      <c r="EEY1" s="46" t="s">
        <v>3550</v>
      </c>
      <c r="EEZ1" s="46" t="s">
        <v>3551</v>
      </c>
      <c r="EFA1" s="46" t="s">
        <v>3552</v>
      </c>
      <c r="EFB1" s="46" t="s">
        <v>3553</v>
      </c>
      <c r="EFC1" s="46" t="s">
        <v>3554</v>
      </c>
      <c r="EFD1" s="46" t="s">
        <v>3555</v>
      </c>
      <c r="EFE1" s="46" t="s">
        <v>3556</v>
      </c>
      <c r="EFF1" s="46" t="s">
        <v>3557</v>
      </c>
      <c r="EFG1" s="46" t="s">
        <v>3558</v>
      </c>
      <c r="EFH1" s="46" t="s">
        <v>3559</v>
      </c>
      <c r="EFI1" s="46" t="s">
        <v>3560</v>
      </c>
      <c r="EFJ1" s="46" t="s">
        <v>3561</v>
      </c>
      <c r="EFK1" s="46" t="s">
        <v>3562</v>
      </c>
      <c r="EFL1" s="46" t="s">
        <v>3563</v>
      </c>
      <c r="EFM1" s="46" t="s">
        <v>3564</v>
      </c>
      <c r="EFN1" s="46" t="s">
        <v>3565</v>
      </c>
      <c r="EFO1" s="46" t="s">
        <v>3566</v>
      </c>
      <c r="EFP1" s="46" t="s">
        <v>3567</v>
      </c>
      <c r="EFQ1" s="46" t="s">
        <v>3568</v>
      </c>
      <c r="EFR1" s="46" t="s">
        <v>3569</v>
      </c>
      <c r="EFS1" s="46" t="s">
        <v>3570</v>
      </c>
      <c r="EFT1" s="46" t="s">
        <v>3571</v>
      </c>
      <c r="EFU1" s="46" t="s">
        <v>3572</v>
      </c>
      <c r="EFV1" s="46" t="s">
        <v>3573</v>
      </c>
      <c r="EFW1" s="46" t="s">
        <v>3574</v>
      </c>
      <c r="EFX1" s="46" t="s">
        <v>3575</v>
      </c>
      <c r="EFY1" s="46" t="s">
        <v>3576</v>
      </c>
      <c r="EFZ1" s="46" t="s">
        <v>3577</v>
      </c>
      <c r="EGA1" s="46" t="s">
        <v>3578</v>
      </c>
      <c r="EGB1" s="46" t="s">
        <v>3579</v>
      </c>
      <c r="EGC1" s="46" t="s">
        <v>3580</v>
      </c>
      <c r="EGD1" s="46" t="s">
        <v>3581</v>
      </c>
      <c r="EGE1" s="46" t="s">
        <v>3582</v>
      </c>
      <c r="EGF1" s="46" t="s">
        <v>3583</v>
      </c>
      <c r="EGG1" s="46" t="s">
        <v>3584</v>
      </c>
      <c r="EGH1" s="46" t="s">
        <v>3585</v>
      </c>
      <c r="EGI1" s="46" t="s">
        <v>3586</v>
      </c>
      <c r="EGJ1" s="46" t="s">
        <v>3587</v>
      </c>
      <c r="EGK1" s="46" t="s">
        <v>3588</v>
      </c>
      <c r="EGL1" s="46" t="s">
        <v>3589</v>
      </c>
      <c r="EGM1" s="46" t="s">
        <v>3590</v>
      </c>
      <c r="EGN1" s="46" t="s">
        <v>3591</v>
      </c>
      <c r="EGO1" s="46" t="s">
        <v>3592</v>
      </c>
      <c r="EGP1" s="46" t="s">
        <v>3593</v>
      </c>
      <c r="EGQ1" s="46" t="s">
        <v>3594</v>
      </c>
      <c r="EGR1" s="46" t="s">
        <v>3595</v>
      </c>
      <c r="EGS1" s="46" t="s">
        <v>3596</v>
      </c>
      <c r="EGT1" s="46" t="s">
        <v>3597</v>
      </c>
      <c r="EGU1" s="46" t="s">
        <v>3598</v>
      </c>
      <c r="EGV1" s="46" t="s">
        <v>3599</v>
      </c>
      <c r="EGW1" s="46" t="s">
        <v>3600</v>
      </c>
      <c r="EGX1" s="46" t="s">
        <v>3601</v>
      </c>
      <c r="EGY1" s="46" t="s">
        <v>3602</v>
      </c>
      <c r="EGZ1" s="46" t="s">
        <v>3603</v>
      </c>
      <c r="EHA1" s="46" t="s">
        <v>3604</v>
      </c>
      <c r="EHB1" s="46" t="s">
        <v>3605</v>
      </c>
      <c r="EHC1" s="46" t="s">
        <v>3606</v>
      </c>
      <c r="EHD1" s="46" t="s">
        <v>3607</v>
      </c>
      <c r="EHE1" s="46" t="s">
        <v>3608</v>
      </c>
      <c r="EHF1" s="46" t="s">
        <v>3609</v>
      </c>
      <c r="EHG1" s="46" t="s">
        <v>3610</v>
      </c>
      <c r="EHH1" s="46" t="s">
        <v>3611</v>
      </c>
      <c r="EHI1" s="46" t="s">
        <v>3612</v>
      </c>
      <c r="EHJ1" s="46" t="s">
        <v>3613</v>
      </c>
      <c r="EHK1" s="46" t="s">
        <v>3614</v>
      </c>
      <c r="EHL1" s="46" t="s">
        <v>3615</v>
      </c>
      <c r="EHM1" s="46" t="s">
        <v>3616</v>
      </c>
      <c r="EHN1" s="46" t="s">
        <v>3617</v>
      </c>
      <c r="EHO1" s="46" t="s">
        <v>3618</v>
      </c>
      <c r="EHP1" s="46" t="s">
        <v>3619</v>
      </c>
      <c r="EHQ1" s="46" t="s">
        <v>3620</v>
      </c>
      <c r="EHR1" s="46" t="s">
        <v>3621</v>
      </c>
      <c r="EHS1" s="46" t="s">
        <v>3622</v>
      </c>
      <c r="EHT1" s="46" t="s">
        <v>3623</v>
      </c>
      <c r="EHU1" s="46" t="s">
        <v>3624</v>
      </c>
      <c r="EHV1" s="46" t="s">
        <v>3625</v>
      </c>
      <c r="EHW1" s="46" t="s">
        <v>3626</v>
      </c>
      <c r="EHX1" s="46" t="s">
        <v>3627</v>
      </c>
      <c r="EHY1" s="46" t="s">
        <v>3628</v>
      </c>
      <c r="EHZ1" s="46" t="s">
        <v>3629</v>
      </c>
      <c r="EIA1" s="46" t="s">
        <v>3630</v>
      </c>
      <c r="EIB1" s="46" t="s">
        <v>3631</v>
      </c>
      <c r="EIC1" s="46" t="s">
        <v>3632</v>
      </c>
      <c r="EID1" s="46" t="s">
        <v>3633</v>
      </c>
      <c r="EIE1" s="46" t="s">
        <v>3634</v>
      </c>
      <c r="EIF1" s="46" t="s">
        <v>3635</v>
      </c>
      <c r="EIG1" s="46" t="s">
        <v>3636</v>
      </c>
      <c r="EIH1" s="46" t="s">
        <v>3637</v>
      </c>
      <c r="EII1" s="46" t="s">
        <v>3638</v>
      </c>
      <c r="EIJ1" s="46" t="s">
        <v>3639</v>
      </c>
      <c r="EIK1" s="46" t="s">
        <v>3640</v>
      </c>
      <c r="EIL1" s="46" t="s">
        <v>3641</v>
      </c>
      <c r="EIM1" s="46" t="s">
        <v>3642</v>
      </c>
      <c r="EIN1" s="46" t="s">
        <v>3643</v>
      </c>
      <c r="EIO1" s="46" t="s">
        <v>3644</v>
      </c>
      <c r="EIP1" s="46" t="s">
        <v>3645</v>
      </c>
      <c r="EIQ1" s="46" t="s">
        <v>3646</v>
      </c>
      <c r="EIR1" s="46" t="s">
        <v>3647</v>
      </c>
      <c r="EIS1" s="46" t="s">
        <v>3648</v>
      </c>
      <c r="EIT1" s="46" t="s">
        <v>3649</v>
      </c>
      <c r="EIU1" s="46" t="s">
        <v>3650</v>
      </c>
      <c r="EIV1" s="46" t="s">
        <v>3651</v>
      </c>
      <c r="EIW1" s="46" t="s">
        <v>3652</v>
      </c>
      <c r="EIX1" s="46" t="s">
        <v>3653</v>
      </c>
      <c r="EIY1" s="46" t="s">
        <v>3654</v>
      </c>
      <c r="EIZ1" s="46" t="s">
        <v>3655</v>
      </c>
      <c r="EJA1" s="46" t="s">
        <v>3656</v>
      </c>
      <c r="EJB1" s="46" t="s">
        <v>3657</v>
      </c>
      <c r="EJC1" s="46" t="s">
        <v>3658</v>
      </c>
      <c r="EJD1" s="46" t="s">
        <v>3659</v>
      </c>
      <c r="EJE1" s="46" t="s">
        <v>3660</v>
      </c>
      <c r="EJF1" s="46" t="s">
        <v>3661</v>
      </c>
      <c r="EJG1" s="46" t="s">
        <v>3662</v>
      </c>
      <c r="EJH1" s="46" t="s">
        <v>3663</v>
      </c>
      <c r="EJI1" s="46" t="s">
        <v>3664</v>
      </c>
      <c r="EJJ1" s="46" t="s">
        <v>3665</v>
      </c>
      <c r="EJK1" s="46" t="s">
        <v>3666</v>
      </c>
      <c r="EJL1" s="46" t="s">
        <v>3667</v>
      </c>
      <c r="EJM1" s="46" t="s">
        <v>3668</v>
      </c>
      <c r="EJN1" s="46" t="s">
        <v>3669</v>
      </c>
      <c r="EJO1" s="46" t="s">
        <v>3670</v>
      </c>
      <c r="EJP1" s="46" t="s">
        <v>3671</v>
      </c>
      <c r="EJQ1" s="46" t="s">
        <v>3672</v>
      </c>
      <c r="EJR1" s="46" t="s">
        <v>3673</v>
      </c>
      <c r="EJS1" s="46" t="s">
        <v>3674</v>
      </c>
      <c r="EJT1" s="46" t="s">
        <v>3675</v>
      </c>
      <c r="EJU1" s="46" t="s">
        <v>3676</v>
      </c>
      <c r="EJV1" s="46" t="s">
        <v>3677</v>
      </c>
      <c r="EJW1" s="46" t="s">
        <v>3678</v>
      </c>
      <c r="EJX1" s="46" t="s">
        <v>3679</v>
      </c>
      <c r="EJY1" s="46" t="s">
        <v>3680</v>
      </c>
      <c r="EJZ1" s="46" t="s">
        <v>3681</v>
      </c>
      <c r="EKA1" s="46" t="s">
        <v>3682</v>
      </c>
      <c r="EKB1" s="46" t="s">
        <v>3683</v>
      </c>
      <c r="EKC1" s="46" t="s">
        <v>3684</v>
      </c>
      <c r="EKD1" s="46" t="s">
        <v>3685</v>
      </c>
      <c r="EKE1" s="46" t="s">
        <v>3686</v>
      </c>
      <c r="EKF1" s="46" t="s">
        <v>3687</v>
      </c>
      <c r="EKG1" s="46" t="s">
        <v>3688</v>
      </c>
      <c r="EKH1" s="46" t="s">
        <v>3689</v>
      </c>
      <c r="EKI1" s="46" t="s">
        <v>3690</v>
      </c>
      <c r="EKJ1" s="46" t="s">
        <v>3691</v>
      </c>
      <c r="EKK1" s="46" t="s">
        <v>3692</v>
      </c>
      <c r="EKL1" s="46" t="s">
        <v>3693</v>
      </c>
      <c r="EKM1" s="46" t="s">
        <v>3694</v>
      </c>
      <c r="EKN1" s="46" t="s">
        <v>3695</v>
      </c>
      <c r="EKO1" s="46" t="s">
        <v>3696</v>
      </c>
      <c r="EKP1" s="46" t="s">
        <v>3697</v>
      </c>
      <c r="EKQ1" s="46" t="s">
        <v>3698</v>
      </c>
      <c r="EKR1" s="46" t="s">
        <v>3699</v>
      </c>
      <c r="EKS1" s="46" t="s">
        <v>3700</v>
      </c>
      <c r="EKT1" s="46" t="s">
        <v>3701</v>
      </c>
      <c r="EKU1" s="46" t="s">
        <v>3702</v>
      </c>
      <c r="EKV1" s="46" t="s">
        <v>3703</v>
      </c>
      <c r="EKW1" s="46" t="s">
        <v>3704</v>
      </c>
      <c r="EKX1" s="46" t="s">
        <v>3705</v>
      </c>
      <c r="EKY1" s="46" t="s">
        <v>3706</v>
      </c>
      <c r="EKZ1" s="46" t="s">
        <v>3707</v>
      </c>
      <c r="ELA1" s="46" t="s">
        <v>3708</v>
      </c>
      <c r="ELB1" s="46" t="s">
        <v>3709</v>
      </c>
      <c r="ELC1" s="46" t="s">
        <v>3710</v>
      </c>
      <c r="ELD1" s="46" t="s">
        <v>3711</v>
      </c>
      <c r="ELE1" s="46" t="s">
        <v>3712</v>
      </c>
      <c r="ELF1" s="46" t="s">
        <v>3713</v>
      </c>
      <c r="ELG1" s="46" t="s">
        <v>3714</v>
      </c>
      <c r="ELH1" s="46" t="s">
        <v>3715</v>
      </c>
      <c r="ELI1" s="46" t="s">
        <v>3716</v>
      </c>
      <c r="ELJ1" s="46" t="s">
        <v>3717</v>
      </c>
      <c r="ELK1" s="46" t="s">
        <v>3718</v>
      </c>
      <c r="ELL1" s="46" t="s">
        <v>3719</v>
      </c>
      <c r="ELM1" s="46" t="s">
        <v>3720</v>
      </c>
      <c r="ELN1" s="46" t="s">
        <v>3721</v>
      </c>
      <c r="ELO1" s="46" t="s">
        <v>3722</v>
      </c>
      <c r="ELP1" s="46" t="s">
        <v>3723</v>
      </c>
      <c r="ELQ1" s="46" t="s">
        <v>3724</v>
      </c>
      <c r="ELR1" s="46" t="s">
        <v>3725</v>
      </c>
      <c r="ELS1" s="46" t="s">
        <v>3726</v>
      </c>
      <c r="ELT1" s="46" t="s">
        <v>3727</v>
      </c>
      <c r="ELU1" s="46" t="s">
        <v>3728</v>
      </c>
      <c r="ELV1" s="46" t="s">
        <v>3729</v>
      </c>
      <c r="ELW1" s="46" t="s">
        <v>3730</v>
      </c>
      <c r="ELX1" s="46" t="s">
        <v>3731</v>
      </c>
      <c r="ELY1" s="46" t="s">
        <v>3732</v>
      </c>
      <c r="ELZ1" s="46" t="s">
        <v>3733</v>
      </c>
      <c r="EMA1" s="46" t="s">
        <v>3734</v>
      </c>
      <c r="EMB1" s="46" t="s">
        <v>3735</v>
      </c>
      <c r="EMC1" s="46" t="s">
        <v>3736</v>
      </c>
      <c r="EMD1" s="46" t="s">
        <v>3737</v>
      </c>
      <c r="EME1" s="46" t="s">
        <v>3738</v>
      </c>
      <c r="EMF1" s="46" t="s">
        <v>3739</v>
      </c>
      <c r="EMG1" s="46" t="s">
        <v>3740</v>
      </c>
      <c r="EMH1" s="46" t="s">
        <v>3741</v>
      </c>
      <c r="EMI1" s="46" t="s">
        <v>3742</v>
      </c>
      <c r="EMJ1" s="46" t="s">
        <v>3743</v>
      </c>
      <c r="EMK1" s="46" t="s">
        <v>3744</v>
      </c>
      <c r="EML1" s="46" t="s">
        <v>3745</v>
      </c>
      <c r="EMM1" s="46" t="s">
        <v>3746</v>
      </c>
      <c r="EMN1" s="46" t="s">
        <v>3747</v>
      </c>
      <c r="EMO1" s="46" t="s">
        <v>3748</v>
      </c>
      <c r="EMP1" s="46" t="s">
        <v>3749</v>
      </c>
      <c r="EMQ1" s="46" t="s">
        <v>3750</v>
      </c>
      <c r="EMR1" s="46" t="s">
        <v>3751</v>
      </c>
      <c r="EMS1" s="46" t="s">
        <v>3752</v>
      </c>
      <c r="EMT1" s="46" t="s">
        <v>3753</v>
      </c>
      <c r="EMU1" s="46" t="s">
        <v>3754</v>
      </c>
      <c r="EMV1" s="46" t="s">
        <v>3755</v>
      </c>
      <c r="EMW1" s="46" t="s">
        <v>3756</v>
      </c>
      <c r="EMX1" s="46" t="s">
        <v>3757</v>
      </c>
      <c r="EMY1" s="46" t="s">
        <v>3758</v>
      </c>
      <c r="EMZ1" s="46" t="s">
        <v>3759</v>
      </c>
      <c r="ENA1" s="46" t="s">
        <v>3760</v>
      </c>
      <c r="ENB1" s="46" t="s">
        <v>3761</v>
      </c>
      <c r="ENC1" s="46" t="s">
        <v>3762</v>
      </c>
      <c r="END1" s="46" t="s">
        <v>3763</v>
      </c>
      <c r="ENE1" s="46" t="s">
        <v>3764</v>
      </c>
      <c r="ENF1" s="46" t="s">
        <v>3765</v>
      </c>
      <c r="ENG1" s="46" t="s">
        <v>3766</v>
      </c>
      <c r="ENH1" s="46" t="s">
        <v>3767</v>
      </c>
      <c r="ENI1" s="46" t="s">
        <v>3768</v>
      </c>
      <c r="ENJ1" s="46" t="s">
        <v>3769</v>
      </c>
      <c r="ENK1" s="46" t="s">
        <v>3770</v>
      </c>
      <c r="ENL1" s="46" t="s">
        <v>3771</v>
      </c>
      <c r="ENM1" s="46" t="s">
        <v>3772</v>
      </c>
      <c r="ENN1" s="46" t="s">
        <v>3773</v>
      </c>
      <c r="ENO1" s="46" t="s">
        <v>3774</v>
      </c>
      <c r="ENP1" s="46" t="s">
        <v>3775</v>
      </c>
      <c r="ENQ1" s="46" t="s">
        <v>3776</v>
      </c>
      <c r="ENR1" s="46" t="s">
        <v>3777</v>
      </c>
      <c r="ENS1" s="46" t="s">
        <v>3778</v>
      </c>
      <c r="ENT1" s="46" t="s">
        <v>3779</v>
      </c>
      <c r="ENU1" s="46" t="s">
        <v>3780</v>
      </c>
      <c r="ENV1" s="46" t="s">
        <v>3781</v>
      </c>
      <c r="ENW1" s="46" t="s">
        <v>3782</v>
      </c>
      <c r="ENX1" s="46" t="s">
        <v>3783</v>
      </c>
      <c r="ENY1" s="46" t="s">
        <v>3784</v>
      </c>
      <c r="ENZ1" s="46" t="s">
        <v>3785</v>
      </c>
      <c r="EOA1" s="46" t="s">
        <v>3786</v>
      </c>
      <c r="EOB1" s="46" t="s">
        <v>3787</v>
      </c>
      <c r="EOC1" s="46" t="s">
        <v>3788</v>
      </c>
      <c r="EOD1" s="46" t="s">
        <v>3789</v>
      </c>
      <c r="EOE1" s="46" t="s">
        <v>3790</v>
      </c>
      <c r="EOF1" s="46" t="s">
        <v>3791</v>
      </c>
      <c r="EOG1" s="46" t="s">
        <v>3792</v>
      </c>
      <c r="EOH1" s="46" t="s">
        <v>3793</v>
      </c>
      <c r="EOI1" s="46" t="s">
        <v>3794</v>
      </c>
      <c r="EOJ1" s="46" t="s">
        <v>3795</v>
      </c>
      <c r="EOK1" s="46" t="s">
        <v>3796</v>
      </c>
      <c r="EOL1" s="46" t="s">
        <v>3797</v>
      </c>
      <c r="EOM1" s="46" t="s">
        <v>3798</v>
      </c>
      <c r="EON1" s="46" t="s">
        <v>3799</v>
      </c>
      <c r="EOO1" s="46" t="s">
        <v>3800</v>
      </c>
      <c r="EOP1" s="46" t="s">
        <v>3801</v>
      </c>
      <c r="EOQ1" s="46" t="s">
        <v>3802</v>
      </c>
      <c r="EOR1" s="46" t="s">
        <v>3803</v>
      </c>
      <c r="EOS1" s="46" t="s">
        <v>3804</v>
      </c>
      <c r="EOT1" s="46" t="s">
        <v>3805</v>
      </c>
      <c r="EOU1" s="46" t="s">
        <v>3806</v>
      </c>
      <c r="EOV1" s="46" t="s">
        <v>3807</v>
      </c>
      <c r="EOW1" s="46" t="s">
        <v>3808</v>
      </c>
      <c r="EOX1" s="46" t="s">
        <v>3809</v>
      </c>
      <c r="EOY1" s="46" t="s">
        <v>3810</v>
      </c>
      <c r="EOZ1" s="46" t="s">
        <v>3811</v>
      </c>
      <c r="EPA1" s="46" t="s">
        <v>3812</v>
      </c>
      <c r="EPB1" s="46" t="s">
        <v>3813</v>
      </c>
      <c r="EPC1" s="46" t="s">
        <v>3814</v>
      </c>
      <c r="EPD1" s="46" t="s">
        <v>3815</v>
      </c>
      <c r="EPE1" s="46" t="s">
        <v>3816</v>
      </c>
      <c r="EPF1" s="46" t="s">
        <v>3817</v>
      </c>
      <c r="EPG1" s="46" t="s">
        <v>3818</v>
      </c>
      <c r="EPH1" s="46" t="s">
        <v>3819</v>
      </c>
      <c r="EPI1" s="46" t="s">
        <v>3820</v>
      </c>
      <c r="EPJ1" s="46" t="s">
        <v>3821</v>
      </c>
      <c r="EPK1" s="46" t="s">
        <v>3822</v>
      </c>
      <c r="EPL1" s="46" t="s">
        <v>3823</v>
      </c>
      <c r="EPM1" s="46" t="s">
        <v>3824</v>
      </c>
      <c r="EPN1" s="46" t="s">
        <v>3825</v>
      </c>
      <c r="EPO1" s="46" t="s">
        <v>3826</v>
      </c>
      <c r="EPP1" s="46" t="s">
        <v>3827</v>
      </c>
      <c r="EPQ1" s="46" t="s">
        <v>3828</v>
      </c>
      <c r="EPR1" s="46" t="s">
        <v>3829</v>
      </c>
      <c r="EPS1" s="46" t="s">
        <v>3830</v>
      </c>
      <c r="EPT1" s="46" t="s">
        <v>3831</v>
      </c>
      <c r="EPU1" s="46" t="s">
        <v>3832</v>
      </c>
      <c r="EPV1" s="46" t="s">
        <v>3833</v>
      </c>
      <c r="EPW1" s="46" t="s">
        <v>3834</v>
      </c>
      <c r="EPX1" s="46" t="s">
        <v>3835</v>
      </c>
      <c r="EPY1" s="46" t="s">
        <v>3836</v>
      </c>
      <c r="EPZ1" s="46" t="s">
        <v>3837</v>
      </c>
      <c r="EQA1" s="46" t="s">
        <v>3838</v>
      </c>
      <c r="EQB1" s="46" t="s">
        <v>3839</v>
      </c>
      <c r="EQC1" s="46" t="s">
        <v>3840</v>
      </c>
      <c r="EQD1" s="46" t="s">
        <v>3841</v>
      </c>
      <c r="EQE1" s="46" t="s">
        <v>3842</v>
      </c>
      <c r="EQF1" s="46" t="s">
        <v>3843</v>
      </c>
      <c r="EQG1" s="46" t="s">
        <v>3844</v>
      </c>
      <c r="EQH1" s="46" t="s">
        <v>3845</v>
      </c>
      <c r="EQI1" s="46" t="s">
        <v>3846</v>
      </c>
      <c r="EQJ1" s="46" t="s">
        <v>3847</v>
      </c>
      <c r="EQK1" s="46" t="s">
        <v>3848</v>
      </c>
      <c r="EQL1" s="46" t="s">
        <v>3849</v>
      </c>
      <c r="EQM1" s="46" t="s">
        <v>3850</v>
      </c>
      <c r="EQN1" s="46" t="s">
        <v>3851</v>
      </c>
      <c r="EQO1" s="46" t="s">
        <v>3852</v>
      </c>
      <c r="EQP1" s="46" t="s">
        <v>3853</v>
      </c>
      <c r="EQQ1" s="46" t="s">
        <v>3854</v>
      </c>
      <c r="EQR1" s="46" t="s">
        <v>3855</v>
      </c>
      <c r="EQS1" s="46" t="s">
        <v>3856</v>
      </c>
      <c r="EQT1" s="46" t="s">
        <v>3857</v>
      </c>
      <c r="EQU1" s="46" t="s">
        <v>3858</v>
      </c>
      <c r="EQV1" s="46" t="s">
        <v>3859</v>
      </c>
      <c r="EQW1" s="46" t="s">
        <v>3860</v>
      </c>
      <c r="EQX1" s="46" t="s">
        <v>3861</v>
      </c>
      <c r="EQY1" s="46" t="s">
        <v>3862</v>
      </c>
      <c r="EQZ1" s="46" t="s">
        <v>3863</v>
      </c>
      <c r="ERA1" s="46" t="s">
        <v>3864</v>
      </c>
      <c r="ERB1" s="46" t="s">
        <v>3865</v>
      </c>
      <c r="ERC1" s="46" t="s">
        <v>3866</v>
      </c>
      <c r="ERD1" s="46" t="s">
        <v>3867</v>
      </c>
      <c r="ERE1" s="46" t="s">
        <v>3868</v>
      </c>
      <c r="ERF1" s="46" t="s">
        <v>3869</v>
      </c>
      <c r="ERG1" s="46" t="s">
        <v>3870</v>
      </c>
      <c r="ERH1" s="46" t="s">
        <v>3871</v>
      </c>
      <c r="ERI1" s="46" t="s">
        <v>3872</v>
      </c>
      <c r="ERJ1" s="46" t="s">
        <v>3873</v>
      </c>
      <c r="ERK1" s="46" t="s">
        <v>3874</v>
      </c>
      <c r="ERL1" s="46" t="s">
        <v>3875</v>
      </c>
      <c r="ERM1" s="46" t="s">
        <v>3876</v>
      </c>
      <c r="ERN1" s="46" t="s">
        <v>3877</v>
      </c>
      <c r="ERO1" s="46" t="s">
        <v>3878</v>
      </c>
      <c r="ERP1" s="46" t="s">
        <v>3879</v>
      </c>
      <c r="ERQ1" s="46" t="s">
        <v>3880</v>
      </c>
      <c r="ERR1" s="46" t="s">
        <v>3881</v>
      </c>
      <c r="ERS1" s="46" t="s">
        <v>3882</v>
      </c>
      <c r="ERT1" s="46" t="s">
        <v>3883</v>
      </c>
      <c r="ERU1" s="46" t="s">
        <v>3884</v>
      </c>
      <c r="ERV1" s="46" t="s">
        <v>3885</v>
      </c>
      <c r="ERW1" s="46" t="s">
        <v>3886</v>
      </c>
      <c r="ERX1" s="46" t="s">
        <v>3887</v>
      </c>
      <c r="ERY1" s="46" t="s">
        <v>3888</v>
      </c>
      <c r="ERZ1" s="46" t="s">
        <v>3889</v>
      </c>
      <c r="ESA1" s="46" t="s">
        <v>3890</v>
      </c>
      <c r="ESB1" s="46" t="s">
        <v>3891</v>
      </c>
      <c r="ESC1" s="46" t="s">
        <v>3892</v>
      </c>
      <c r="ESD1" s="46" t="s">
        <v>3893</v>
      </c>
      <c r="ESE1" s="46" t="s">
        <v>3894</v>
      </c>
      <c r="ESF1" s="46" t="s">
        <v>3895</v>
      </c>
      <c r="ESG1" s="46" t="s">
        <v>3896</v>
      </c>
      <c r="ESH1" s="46" t="s">
        <v>3897</v>
      </c>
      <c r="ESI1" s="46" t="s">
        <v>3898</v>
      </c>
      <c r="ESJ1" s="46" t="s">
        <v>3899</v>
      </c>
      <c r="ESK1" s="46" t="s">
        <v>3900</v>
      </c>
      <c r="ESL1" s="46" t="s">
        <v>3901</v>
      </c>
      <c r="ESM1" s="46" t="s">
        <v>3902</v>
      </c>
      <c r="ESN1" s="46" t="s">
        <v>3903</v>
      </c>
      <c r="ESO1" s="46" t="s">
        <v>3904</v>
      </c>
      <c r="ESP1" s="46" t="s">
        <v>3905</v>
      </c>
      <c r="ESQ1" s="46" t="s">
        <v>3906</v>
      </c>
      <c r="ESR1" s="46" t="s">
        <v>3907</v>
      </c>
      <c r="ESS1" s="46" t="s">
        <v>3908</v>
      </c>
      <c r="EST1" s="46" t="s">
        <v>3909</v>
      </c>
      <c r="ESU1" s="46" t="s">
        <v>3910</v>
      </c>
      <c r="ESV1" s="46" t="s">
        <v>3911</v>
      </c>
      <c r="ESW1" s="46" t="s">
        <v>3912</v>
      </c>
      <c r="ESX1" s="46" t="s">
        <v>3913</v>
      </c>
      <c r="ESY1" s="46" t="s">
        <v>3914</v>
      </c>
      <c r="ESZ1" s="46" t="s">
        <v>3915</v>
      </c>
      <c r="ETA1" s="46" t="s">
        <v>3916</v>
      </c>
      <c r="ETB1" s="46" t="s">
        <v>3917</v>
      </c>
      <c r="ETC1" s="46" t="s">
        <v>3918</v>
      </c>
      <c r="ETD1" s="46" t="s">
        <v>3919</v>
      </c>
      <c r="ETE1" s="46" t="s">
        <v>3920</v>
      </c>
      <c r="ETF1" s="46" t="s">
        <v>3921</v>
      </c>
      <c r="ETG1" s="46" t="s">
        <v>3922</v>
      </c>
      <c r="ETH1" s="46" t="s">
        <v>3923</v>
      </c>
      <c r="ETI1" s="46" t="s">
        <v>3924</v>
      </c>
      <c r="ETJ1" s="46" t="s">
        <v>3925</v>
      </c>
      <c r="ETK1" s="46" t="s">
        <v>3926</v>
      </c>
      <c r="ETL1" s="46" t="s">
        <v>3927</v>
      </c>
      <c r="ETM1" s="46" t="s">
        <v>3928</v>
      </c>
      <c r="ETN1" s="46" t="s">
        <v>3929</v>
      </c>
      <c r="ETO1" s="46" t="s">
        <v>3930</v>
      </c>
      <c r="ETP1" s="46" t="s">
        <v>3931</v>
      </c>
      <c r="ETQ1" s="46" t="s">
        <v>3932</v>
      </c>
      <c r="ETR1" s="46" t="s">
        <v>3933</v>
      </c>
      <c r="ETS1" s="46" t="s">
        <v>3934</v>
      </c>
      <c r="ETT1" s="46" t="s">
        <v>3935</v>
      </c>
      <c r="ETU1" s="46" t="s">
        <v>3936</v>
      </c>
      <c r="ETV1" s="46" t="s">
        <v>3937</v>
      </c>
      <c r="ETW1" s="46" t="s">
        <v>3938</v>
      </c>
      <c r="ETX1" s="46" t="s">
        <v>3939</v>
      </c>
      <c r="ETY1" s="46" t="s">
        <v>3940</v>
      </c>
      <c r="ETZ1" s="46" t="s">
        <v>3941</v>
      </c>
      <c r="EUA1" s="46" t="s">
        <v>3942</v>
      </c>
      <c r="EUB1" s="46" t="s">
        <v>3943</v>
      </c>
      <c r="EUC1" s="46" t="s">
        <v>3944</v>
      </c>
      <c r="EUD1" s="46" t="s">
        <v>3945</v>
      </c>
      <c r="EUE1" s="46" t="s">
        <v>3946</v>
      </c>
      <c r="EUF1" s="46" t="s">
        <v>3947</v>
      </c>
      <c r="EUG1" s="46" t="s">
        <v>3948</v>
      </c>
      <c r="EUH1" s="46" t="s">
        <v>3949</v>
      </c>
      <c r="EUI1" s="46" t="s">
        <v>3950</v>
      </c>
      <c r="EUJ1" s="46" t="s">
        <v>3951</v>
      </c>
      <c r="EUK1" s="46" t="s">
        <v>3952</v>
      </c>
      <c r="EUL1" s="46" t="s">
        <v>3953</v>
      </c>
      <c r="EUM1" s="46" t="s">
        <v>3954</v>
      </c>
      <c r="EUN1" s="46" t="s">
        <v>3955</v>
      </c>
      <c r="EUO1" s="46" t="s">
        <v>3956</v>
      </c>
      <c r="EUP1" s="46" t="s">
        <v>3957</v>
      </c>
      <c r="EUQ1" s="46" t="s">
        <v>3958</v>
      </c>
      <c r="EUR1" s="46" t="s">
        <v>3959</v>
      </c>
      <c r="EUS1" s="46" t="s">
        <v>3960</v>
      </c>
      <c r="EUT1" s="46" t="s">
        <v>3961</v>
      </c>
      <c r="EUU1" s="46" t="s">
        <v>3962</v>
      </c>
      <c r="EUV1" s="46" t="s">
        <v>3963</v>
      </c>
      <c r="EUW1" s="46" t="s">
        <v>3964</v>
      </c>
      <c r="EUX1" s="46" t="s">
        <v>3965</v>
      </c>
      <c r="EUY1" s="46" t="s">
        <v>3966</v>
      </c>
      <c r="EUZ1" s="46" t="s">
        <v>3967</v>
      </c>
      <c r="EVA1" s="46" t="s">
        <v>3968</v>
      </c>
      <c r="EVB1" s="46" t="s">
        <v>3969</v>
      </c>
      <c r="EVC1" s="46" t="s">
        <v>3970</v>
      </c>
      <c r="EVD1" s="46" t="s">
        <v>3971</v>
      </c>
      <c r="EVE1" s="46" t="s">
        <v>3972</v>
      </c>
      <c r="EVF1" s="46" t="s">
        <v>3973</v>
      </c>
      <c r="EVG1" s="46" t="s">
        <v>3974</v>
      </c>
      <c r="EVH1" s="46" t="s">
        <v>3975</v>
      </c>
      <c r="EVI1" s="46" t="s">
        <v>3976</v>
      </c>
      <c r="EVJ1" s="46" t="s">
        <v>3977</v>
      </c>
      <c r="EVK1" s="46" t="s">
        <v>3978</v>
      </c>
      <c r="EVL1" s="46" t="s">
        <v>3979</v>
      </c>
      <c r="EVM1" s="46" t="s">
        <v>3980</v>
      </c>
      <c r="EVN1" s="46" t="s">
        <v>3981</v>
      </c>
      <c r="EVO1" s="46" t="s">
        <v>3982</v>
      </c>
      <c r="EVP1" s="46" t="s">
        <v>3983</v>
      </c>
      <c r="EVQ1" s="46" t="s">
        <v>3984</v>
      </c>
      <c r="EVR1" s="46" t="s">
        <v>3985</v>
      </c>
      <c r="EVS1" s="46" t="s">
        <v>3986</v>
      </c>
      <c r="EVT1" s="46" t="s">
        <v>3987</v>
      </c>
      <c r="EVU1" s="46" t="s">
        <v>3988</v>
      </c>
      <c r="EVV1" s="46" t="s">
        <v>3989</v>
      </c>
      <c r="EVW1" s="46" t="s">
        <v>3990</v>
      </c>
      <c r="EVX1" s="46" t="s">
        <v>3991</v>
      </c>
      <c r="EVY1" s="46" t="s">
        <v>3992</v>
      </c>
      <c r="EVZ1" s="46" t="s">
        <v>3993</v>
      </c>
      <c r="EWA1" s="46" t="s">
        <v>3994</v>
      </c>
      <c r="EWB1" s="46" t="s">
        <v>3995</v>
      </c>
      <c r="EWC1" s="46" t="s">
        <v>3996</v>
      </c>
      <c r="EWD1" s="46" t="s">
        <v>3997</v>
      </c>
      <c r="EWE1" s="46" t="s">
        <v>3998</v>
      </c>
      <c r="EWF1" s="46" t="s">
        <v>3999</v>
      </c>
      <c r="EWG1" s="46" t="s">
        <v>4000</v>
      </c>
      <c r="EWH1" s="46" t="s">
        <v>4001</v>
      </c>
      <c r="EWI1" s="46" t="s">
        <v>4002</v>
      </c>
      <c r="EWJ1" s="46" t="s">
        <v>4003</v>
      </c>
      <c r="EWK1" s="46" t="s">
        <v>4004</v>
      </c>
      <c r="EWL1" s="46" t="s">
        <v>4005</v>
      </c>
      <c r="EWM1" s="46" t="s">
        <v>4006</v>
      </c>
      <c r="EWN1" s="46" t="s">
        <v>4007</v>
      </c>
      <c r="EWO1" s="46" t="s">
        <v>4008</v>
      </c>
      <c r="EWP1" s="46" t="s">
        <v>4009</v>
      </c>
      <c r="EWQ1" s="46" t="s">
        <v>4010</v>
      </c>
      <c r="EWR1" s="46" t="s">
        <v>4011</v>
      </c>
      <c r="EWS1" s="46" t="s">
        <v>4012</v>
      </c>
      <c r="EWT1" s="46" t="s">
        <v>4013</v>
      </c>
      <c r="EWU1" s="46" t="s">
        <v>4014</v>
      </c>
      <c r="EWV1" s="46" t="s">
        <v>4015</v>
      </c>
      <c r="EWW1" s="46" t="s">
        <v>4016</v>
      </c>
      <c r="EWX1" s="46" t="s">
        <v>4017</v>
      </c>
      <c r="EWY1" s="46" t="s">
        <v>4018</v>
      </c>
      <c r="EWZ1" s="46" t="s">
        <v>4019</v>
      </c>
      <c r="EXA1" s="46" t="s">
        <v>4020</v>
      </c>
      <c r="EXB1" s="46" t="s">
        <v>4021</v>
      </c>
      <c r="EXC1" s="46" t="s">
        <v>4022</v>
      </c>
      <c r="EXD1" s="46" t="s">
        <v>4023</v>
      </c>
      <c r="EXE1" s="46" t="s">
        <v>4024</v>
      </c>
      <c r="EXF1" s="46" t="s">
        <v>4025</v>
      </c>
      <c r="EXG1" s="46" t="s">
        <v>4026</v>
      </c>
      <c r="EXH1" s="46" t="s">
        <v>4027</v>
      </c>
      <c r="EXI1" s="46" t="s">
        <v>4028</v>
      </c>
      <c r="EXJ1" s="46" t="s">
        <v>4029</v>
      </c>
      <c r="EXK1" s="46" t="s">
        <v>4030</v>
      </c>
      <c r="EXL1" s="46" t="s">
        <v>4031</v>
      </c>
      <c r="EXM1" s="46" t="s">
        <v>4032</v>
      </c>
      <c r="EXN1" s="46" t="s">
        <v>4033</v>
      </c>
      <c r="EXO1" s="46" t="s">
        <v>4034</v>
      </c>
      <c r="EXP1" s="46" t="s">
        <v>4035</v>
      </c>
      <c r="EXQ1" s="46" t="s">
        <v>4036</v>
      </c>
      <c r="EXR1" s="46" t="s">
        <v>4037</v>
      </c>
      <c r="EXS1" s="46" t="s">
        <v>4038</v>
      </c>
      <c r="EXT1" s="46" t="s">
        <v>4039</v>
      </c>
      <c r="EXU1" s="46" t="s">
        <v>4040</v>
      </c>
      <c r="EXV1" s="46" t="s">
        <v>4041</v>
      </c>
      <c r="EXW1" s="46" t="s">
        <v>4042</v>
      </c>
      <c r="EXX1" s="46" t="s">
        <v>4043</v>
      </c>
      <c r="EXY1" s="46" t="s">
        <v>4044</v>
      </c>
      <c r="EXZ1" s="46" t="s">
        <v>4045</v>
      </c>
      <c r="EYA1" s="46" t="s">
        <v>4046</v>
      </c>
      <c r="EYB1" s="46" t="s">
        <v>4047</v>
      </c>
      <c r="EYC1" s="46" t="s">
        <v>4048</v>
      </c>
      <c r="EYD1" s="46" t="s">
        <v>4049</v>
      </c>
      <c r="EYE1" s="46" t="s">
        <v>4050</v>
      </c>
      <c r="EYF1" s="46" t="s">
        <v>4051</v>
      </c>
      <c r="EYG1" s="46" t="s">
        <v>4052</v>
      </c>
      <c r="EYH1" s="46" t="s">
        <v>4053</v>
      </c>
      <c r="EYI1" s="46" t="s">
        <v>4054</v>
      </c>
      <c r="EYJ1" s="46" t="s">
        <v>4055</v>
      </c>
      <c r="EYK1" s="46" t="s">
        <v>4056</v>
      </c>
      <c r="EYL1" s="46" t="s">
        <v>4057</v>
      </c>
      <c r="EYM1" s="46" t="s">
        <v>4058</v>
      </c>
      <c r="EYN1" s="46" t="s">
        <v>4059</v>
      </c>
      <c r="EYO1" s="46" t="s">
        <v>4060</v>
      </c>
      <c r="EYP1" s="46" t="s">
        <v>4061</v>
      </c>
      <c r="EYQ1" s="46" t="s">
        <v>4062</v>
      </c>
      <c r="EYR1" s="46" t="s">
        <v>4063</v>
      </c>
      <c r="EYS1" s="46" t="s">
        <v>4064</v>
      </c>
      <c r="EYT1" s="46" t="s">
        <v>4065</v>
      </c>
      <c r="EYU1" s="46" t="s">
        <v>4066</v>
      </c>
      <c r="EYV1" s="46" t="s">
        <v>4067</v>
      </c>
      <c r="EYW1" s="46" t="s">
        <v>4068</v>
      </c>
      <c r="EYX1" s="46" t="s">
        <v>4069</v>
      </c>
      <c r="EYY1" s="46" t="s">
        <v>4070</v>
      </c>
      <c r="EYZ1" s="46" t="s">
        <v>4071</v>
      </c>
      <c r="EZA1" s="46" t="s">
        <v>4072</v>
      </c>
      <c r="EZB1" s="46" t="s">
        <v>4073</v>
      </c>
      <c r="EZC1" s="46" t="s">
        <v>4074</v>
      </c>
      <c r="EZD1" s="46" t="s">
        <v>4075</v>
      </c>
      <c r="EZE1" s="46" t="s">
        <v>4076</v>
      </c>
      <c r="EZF1" s="46" t="s">
        <v>4077</v>
      </c>
      <c r="EZG1" s="46" t="s">
        <v>4078</v>
      </c>
      <c r="EZH1" s="46" t="s">
        <v>4079</v>
      </c>
      <c r="EZI1" s="46" t="s">
        <v>4080</v>
      </c>
      <c r="EZJ1" s="46" t="s">
        <v>4081</v>
      </c>
      <c r="EZK1" s="46" t="s">
        <v>4082</v>
      </c>
      <c r="EZL1" s="46" t="s">
        <v>4083</v>
      </c>
      <c r="EZM1" s="46" t="s">
        <v>4084</v>
      </c>
      <c r="EZN1" s="46" t="s">
        <v>4085</v>
      </c>
      <c r="EZO1" s="46" t="s">
        <v>4086</v>
      </c>
      <c r="EZP1" s="46" t="s">
        <v>4087</v>
      </c>
      <c r="EZQ1" s="46" t="s">
        <v>4088</v>
      </c>
      <c r="EZR1" s="46" t="s">
        <v>4089</v>
      </c>
      <c r="EZS1" s="46" t="s">
        <v>4090</v>
      </c>
      <c r="EZT1" s="46" t="s">
        <v>4091</v>
      </c>
      <c r="EZU1" s="46" t="s">
        <v>4092</v>
      </c>
      <c r="EZV1" s="46" t="s">
        <v>4093</v>
      </c>
      <c r="EZW1" s="46" t="s">
        <v>4094</v>
      </c>
      <c r="EZX1" s="46" t="s">
        <v>4095</v>
      </c>
      <c r="EZY1" s="46" t="s">
        <v>4096</v>
      </c>
      <c r="EZZ1" s="46" t="s">
        <v>4097</v>
      </c>
      <c r="FAA1" s="46" t="s">
        <v>4098</v>
      </c>
      <c r="FAB1" s="46" t="s">
        <v>4099</v>
      </c>
      <c r="FAC1" s="46" t="s">
        <v>4100</v>
      </c>
      <c r="FAD1" s="46" t="s">
        <v>4101</v>
      </c>
      <c r="FAE1" s="46" t="s">
        <v>4102</v>
      </c>
      <c r="FAF1" s="46" t="s">
        <v>4103</v>
      </c>
      <c r="FAG1" s="46" t="s">
        <v>4104</v>
      </c>
      <c r="FAH1" s="46" t="s">
        <v>4105</v>
      </c>
      <c r="FAI1" s="46" t="s">
        <v>4106</v>
      </c>
      <c r="FAJ1" s="46" t="s">
        <v>4107</v>
      </c>
      <c r="FAK1" s="46" t="s">
        <v>4108</v>
      </c>
      <c r="FAL1" s="46" t="s">
        <v>4109</v>
      </c>
      <c r="FAM1" s="46" t="s">
        <v>4110</v>
      </c>
      <c r="FAN1" s="46" t="s">
        <v>4111</v>
      </c>
      <c r="FAO1" s="46" t="s">
        <v>4112</v>
      </c>
      <c r="FAP1" s="46" t="s">
        <v>4113</v>
      </c>
      <c r="FAQ1" s="46" t="s">
        <v>4114</v>
      </c>
      <c r="FAR1" s="46" t="s">
        <v>4115</v>
      </c>
      <c r="FAS1" s="46" t="s">
        <v>4116</v>
      </c>
      <c r="FAT1" s="46" t="s">
        <v>4117</v>
      </c>
      <c r="FAU1" s="46" t="s">
        <v>4118</v>
      </c>
      <c r="FAV1" s="46" t="s">
        <v>4119</v>
      </c>
      <c r="FAW1" s="46" t="s">
        <v>4120</v>
      </c>
      <c r="FAX1" s="46" t="s">
        <v>4121</v>
      </c>
      <c r="FAY1" s="46" t="s">
        <v>4122</v>
      </c>
      <c r="FAZ1" s="46" t="s">
        <v>4123</v>
      </c>
      <c r="FBA1" s="46" t="s">
        <v>4124</v>
      </c>
      <c r="FBB1" s="46" t="s">
        <v>4125</v>
      </c>
      <c r="FBC1" s="46" t="s">
        <v>4126</v>
      </c>
      <c r="FBD1" s="46" t="s">
        <v>4127</v>
      </c>
      <c r="FBE1" s="46" t="s">
        <v>4128</v>
      </c>
      <c r="FBF1" s="46" t="s">
        <v>4129</v>
      </c>
      <c r="FBG1" s="46" t="s">
        <v>4130</v>
      </c>
      <c r="FBH1" s="46" t="s">
        <v>4131</v>
      </c>
      <c r="FBI1" s="46" t="s">
        <v>4132</v>
      </c>
      <c r="FBJ1" s="46" t="s">
        <v>4133</v>
      </c>
      <c r="FBK1" s="46" t="s">
        <v>4134</v>
      </c>
      <c r="FBL1" s="46" t="s">
        <v>4135</v>
      </c>
      <c r="FBM1" s="46" t="s">
        <v>4136</v>
      </c>
      <c r="FBN1" s="46" t="s">
        <v>4137</v>
      </c>
      <c r="FBO1" s="46" t="s">
        <v>4138</v>
      </c>
      <c r="FBP1" s="46" t="s">
        <v>4139</v>
      </c>
      <c r="FBQ1" s="46" t="s">
        <v>4140</v>
      </c>
      <c r="FBR1" s="46" t="s">
        <v>4141</v>
      </c>
      <c r="FBS1" s="46" t="s">
        <v>4142</v>
      </c>
      <c r="FBT1" s="46" t="s">
        <v>4143</v>
      </c>
      <c r="FBU1" s="46" t="s">
        <v>4144</v>
      </c>
      <c r="FBV1" s="46" t="s">
        <v>4145</v>
      </c>
      <c r="FBW1" s="46" t="s">
        <v>4146</v>
      </c>
      <c r="FBX1" s="46" t="s">
        <v>4147</v>
      </c>
      <c r="FBY1" s="46" t="s">
        <v>4148</v>
      </c>
      <c r="FBZ1" s="46" t="s">
        <v>4149</v>
      </c>
      <c r="FCA1" s="46" t="s">
        <v>4150</v>
      </c>
      <c r="FCB1" s="46" t="s">
        <v>4151</v>
      </c>
      <c r="FCC1" s="46" t="s">
        <v>4152</v>
      </c>
      <c r="FCD1" s="46" t="s">
        <v>4153</v>
      </c>
      <c r="FCE1" s="46" t="s">
        <v>4154</v>
      </c>
      <c r="FCF1" s="46" t="s">
        <v>4155</v>
      </c>
      <c r="FCG1" s="46" t="s">
        <v>4156</v>
      </c>
      <c r="FCH1" s="46" t="s">
        <v>4157</v>
      </c>
      <c r="FCI1" s="46" t="s">
        <v>4158</v>
      </c>
      <c r="FCJ1" s="46" t="s">
        <v>4159</v>
      </c>
      <c r="FCK1" s="46" t="s">
        <v>4160</v>
      </c>
      <c r="FCL1" s="46" t="s">
        <v>4161</v>
      </c>
      <c r="FCM1" s="46" t="s">
        <v>4162</v>
      </c>
      <c r="FCN1" s="46" t="s">
        <v>4163</v>
      </c>
      <c r="FCO1" s="46" t="s">
        <v>4164</v>
      </c>
      <c r="FCP1" s="46" t="s">
        <v>4165</v>
      </c>
      <c r="FCQ1" s="46" t="s">
        <v>4166</v>
      </c>
      <c r="FCR1" s="46" t="s">
        <v>4167</v>
      </c>
      <c r="FCS1" s="46" t="s">
        <v>4168</v>
      </c>
      <c r="FCT1" s="46" t="s">
        <v>4169</v>
      </c>
      <c r="FCU1" s="46" t="s">
        <v>4170</v>
      </c>
      <c r="FCV1" s="46" t="s">
        <v>4171</v>
      </c>
      <c r="FCW1" s="46" t="s">
        <v>4172</v>
      </c>
      <c r="FCX1" s="46" t="s">
        <v>4173</v>
      </c>
      <c r="FCY1" s="46" t="s">
        <v>4174</v>
      </c>
      <c r="FCZ1" s="46" t="s">
        <v>4175</v>
      </c>
      <c r="FDA1" s="46" t="s">
        <v>4176</v>
      </c>
      <c r="FDB1" s="46" t="s">
        <v>4177</v>
      </c>
      <c r="FDC1" s="46" t="s">
        <v>4178</v>
      </c>
      <c r="FDD1" s="46" t="s">
        <v>4179</v>
      </c>
      <c r="FDE1" s="46" t="s">
        <v>4180</v>
      </c>
      <c r="FDF1" s="46" t="s">
        <v>4181</v>
      </c>
      <c r="FDG1" s="46" t="s">
        <v>4182</v>
      </c>
      <c r="FDH1" s="46" t="s">
        <v>4183</v>
      </c>
      <c r="FDI1" s="46" t="s">
        <v>4184</v>
      </c>
      <c r="FDJ1" s="46" t="s">
        <v>4185</v>
      </c>
      <c r="FDK1" s="46" t="s">
        <v>4186</v>
      </c>
      <c r="FDL1" s="46" t="s">
        <v>4187</v>
      </c>
      <c r="FDM1" s="46" t="s">
        <v>4188</v>
      </c>
      <c r="FDN1" s="46" t="s">
        <v>4189</v>
      </c>
      <c r="FDO1" s="46" t="s">
        <v>4190</v>
      </c>
      <c r="FDP1" s="46" t="s">
        <v>4191</v>
      </c>
      <c r="FDQ1" s="46" t="s">
        <v>4192</v>
      </c>
      <c r="FDR1" s="46" t="s">
        <v>4193</v>
      </c>
      <c r="FDS1" s="46" t="s">
        <v>4194</v>
      </c>
      <c r="FDT1" s="46" t="s">
        <v>4195</v>
      </c>
      <c r="FDU1" s="46" t="s">
        <v>4196</v>
      </c>
      <c r="FDV1" s="46" t="s">
        <v>4197</v>
      </c>
      <c r="FDW1" s="46" t="s">
        <v>4198</v>
      </c>
      <c r="FDX1" s="46" t="s">
        <v>4199</v>
      </c>
      <c r="FDY1" s="46" t="s">
        <v>4200</v>
      </c>
      <c r="FDZ1" s="46" t="s">
        <v>4201</v>
      </c>
      <c r="FEA1" s="46" t="s">
        <v>4202</v>
      </c>
      <c r="FEB1" s="46" t="s">
        <v>4203</v>
      </c>
      <c r="FEC1" s="46" t="s">
        <v>4204</v>
      </c>
      <c r="FED1" s="46" t="s">
        <v>4205</v>
      </c>
      <c r="FEE1" s="46" t="s">
        <v>4206</v>
      </c>
      <c r="FEF1" s="46" t="s">
        <v>4207</v>
      </c>
      <c r="FEG1" s="46" t="s">
        <v>4208</v>
      </c>
      <c r="FEH1" s="46" t="s">
        <v>4209</v>
      </c>
      <c r="FEI1" s="46" t="s">
        <v>4210</v>
      </c>
      <c r="FEJ1" s="46" t="s">
        <v>4211</v>
      </c>
      <c r="FEK1" s="46" t="s">
        <v>4212</v>
      </c>
      <c r="FEL1" s="46" t="s">
        <v>4213</v>
      </c>
      <c r="FEM1" s="46" t="s">
        <v>4214</v>
      </c>
      <c r="FEN1" s="46" t="s">
        <v>4215</v>
      </c>
      <c r="FEO1" s="46" t="s">
        <v>4216</v>
      </c>
      <c r="FEP1" s="46" t="s">
        <v>4217</v>
      </c>
      <c r="FEQ1" s="46" t="s">
        <v>4218</v>
      </c>
      <c r="FER1" s="46" t="s">
        <v>4219</v>
      </c>
      <c r="FES1" s="46" t="s">
        <v>4220</v>
      </c>
      <c r="FET1" s="46" t="s">
        <v>4221</v>
      </c>
      <c r="FEU1" s="46" t="s">
        <v>4222</v>
      </c>
      <c r="FEV1" s="46" t="s">
        <v>4223</v>
      </c>
      <c r="FEW1" s="46" t="s">
        <v>4224</v>
      </c>
      <c r="FEX1" s="46" t="s">
        <v>4225</v>
      </c>
      <c r="FEY1" s="46" t="s">
        <v>4226</v>
      </c>
      <c r="FEZ1" s="46" t="s">
        <v>4227</v>
      </c>
      <c r="FFA1" s="46" t="s">
        <v>4228</v>
      </c>
      <c r="FFB1" s="46" t="s">
        <v>4229</v>
      </c>
      <c r="FFC1" s="46" t="s">
        <v>4230</v>
      </c>
      <c r="FFD1" s="46" t="s">
        <v>4231</v>
      </c>
      <c r="FFE1" s="46" t="s">
        <v>4232</v>
      </c>
      <c r="FFF1" s="46" t="s">
        <v>4233</v>
      </c>
      <c r="FFG1" s="46" t="s">
        <v>4234</v>
      </c>
      <c r="FFH1" s="46" t="s">
        <v>4235</v>
      </c>
      <c r="FFI1" s="46" t="s">
        <v>4236</v>
      </c>
      <c r="FFJ1" s="46" t="s">
        <v>4237</v>
      </c>
      <c r="FFK1" s="46" t="s">
        <v>4238</v>
      </c>
      <c r="FFL1" s="46" t="s">
        <v>4239</v>
      </c>
      <c r="FFM1" s="46" t="s">
        <v>4240</v>
      </c>
      <c r="FFN1" s="46" t="s">
        <v>4241</v>
      </c>
      <c r="FFO1" s="46" t="s">
        <v>4242</v>
      </c>
      <c r="FFP1" s="46" t="s">
        <v>4243</v>
      </c>
      <c r="FFQ1" s="46" t="s">
        <v>4244</v>
      </c>
      <c r="FFR1" s="46" t="s">
        <v>4245</v>
      </c>
      <c r="FFS1" s="46" t="s">
        <v>4246</v>
      </c>
      <c r="FFT1" s="46" t="s">
        <v>4247</v>
      </c>
      <c r="FFU1" s="46" t="s">
        <v>4248</v>
      </c>
      <c r="FFV1" s="46" t="s">
        <v>4249</v>
      </c>
      <c r="FFW1" s="46" t="s">
        <v>4250</v>
      </c>
      <c r="FFX1" s="46" t="s">
        <v>4251</v>
      </c>
      <c r="FFY1" s="46" t="s">
        <v>4252</v>
      </c>
      <c r="FFZ1" s="46" t="s">
        <v>4253</v>
      </c>
      <c r="FGA1" s="46" t="s">
        <v>4254</v>
      </c>
      <c r="FGB1" s="46" t="s">
        <v>4255</v>
      </c>
      <c r="FGC1" s="46" t="s">
        <v>4256</v>
      </c>
      <c r="FGD1" s="46" t="s">
        <v>4257</v>
      </c>
      <c r="FGE1" s="46" t="s">
        <v>4258</v>
      </c>
      <c r="FGF1" s="46" t="s">
        <v>4259</v>
      </c>
      <c r="FGG1" s="46" t="s">
        <v>4260</v>
      </c>
      <c r="FGH1" s="46" t="s">
        <v>4261</v>
      </c>
      <c r="FGI1" s="46" t="s">
        <v>4262</v>
      </c>
      <c r="FGJ1" s="46" t="s">
        <v>4263</v>
      </c>
      <c r="FGK1" s="46" t="s">
        <v>4264</v>
      </c>
      <c r="FGL1" s="46" t="s">
        <v>4265</v>
      </c>
      <c r="FGM1" s="46" t="s">
        <v>4266</v>
      </c>
      <c r="FGN1" s="46" t="s">
        <v>4267</v>
      </c>
      <c r="FGO1" s="46" t="s">
        <v>4268</v>
      </c>
      <c r="FGP1" s="46" t="s">
        <v>4269</v>
      </c>
      <c r="FGQ1" s="46" t="s">
        <v>4270</v>
      </c>
      <c r="FGR1" s="46" t="s">
        <v>4271</v>
      </c>
      <c r="FGS1" s="46" t="s">
        <v>4272</v>
      </c>
      <c r="FGT1" s="46" t="s">
        <v>4273</v>
      </c>
      <c r="FGU1" s="46" t="s">
        <v>4274</v>
      </c>
      <c r="FGV1" s="46" t="s">
        <v>4275</v>
      </c>
      <c r="FGW1" s="46" t="s">
        <v>4276</v>
      </c>
      <c r="FGX1" s="46" t="s">
        <v>4277</v>
      </c>
      <c r="FGY1" s="46" t="s">
        <v>4278</v>
      </c>
      <c r="FGZ1" s="46" t="s">
        <v>4279</v>
      </c>
      <c r="FHA1" s="46" t="s">
        <v>4280</v>
      </c>
      <c r="FHB1" s="46" t="s">
        <v>4281</v>
      </c>
      <c r="FHC1" s="46" t="s">
        <v>4282</v>
      </c>
      <c r="FHD1" s="46" t="s">
        <v>4283</v>
      </c>
      <c r="FHE1" s="46" t="s">
        <v>4284</v>
      </c>
      <c r="FHF1" s="46" t="s">
        <v>4285</v>
      </c>
      <c r="FHG1" s="46" t="s">
        <v>4286</v>
      </c>
      <c r="FHH1" s="46" t="s">
        <v>4287</v>
      </c>
      <c r="FHI1" s="46" t="s">
        <v>4288</v>
      </c>
      <c r="FHJ1" s="46" t="s">
        <v>4289</v>
      </c>
      <c r="FHK1" s="46" t="s">
        <v>4290</v>
      </c>
      <c r="FHL1" s="46" t="s">
        <v>4291</v>
      </c>
      <c r="FHM1" s="46" t="s">
        <v>4292</v>
      </c>
      <c r="FHN1" s="46" t="s">
        <v>4293</v>
      </c>
      <c r="FHO1" s="46" t="s">
        <v>4294</v>
      </c>
      <c r="FHP1" s="46" t="s">
        <v>4295</v>
      </c>
      <c r="FHQ1" s="46" t="s">
        <v>4296</v>
      </c>
      <c r="FHR1" s="46" t="s">
        <v>4297</v>
      </c>
      <c r="FHS1" s="46" t="s">
        <v>4298</v>
      </c>
      <c r="FHT1" s="46" t="s">
        <v>4299</v>
      </c>
      <c r="FHU1" s="46" t="s">
        <v>4300</v>
      </c>
      <c r="FHV1" s="46" t="s">
        <v>4301</v>
      </c>
      <c r="FHW1" s="46" t="s">
        <v>4302</v>
      </c>
      <c r="FHX1" s="46" t="s">
        <v>4303</v>
      </c>
      <c r="FHY1" s="46" t="s">
        <v>4304</v>
      </c>
      <c r="FHZ1" s="46" t="s">
        <v>4305</v>
      </c>
      <c r="FIA1" s="46" t="s">
        <v>4306</v>
      </c>
      <c r="FIB1" s="46" t="s">
        <v>4307</v>
      </c>
      <c r="FIC1" s="46" t="s">
        <v>4308</v>
      </c>
      <c r="FID1" s="46" t="s">
        <v>4309</v>
      </c>
      <c r="FIE1" s="46" t="s">
        <v>4310</v>
      </c>
      <c r="FIF1" s="46" t="s">
        <v>4311</v>
      </c>
      <c r="FIG1" s="46" t="s">
        <v>4312</v>
      </c>
      <c r="FIH1" s="46" t="s">
        <v>4313</v>
      </c>
      <c r="FII1" s="46" t="s">
        <v>4314</v>
      </c>
      <c r="FIJ1" s="46" t="s">
        <v>4315</v>
      </c>
      <c r="FIK1" s="46" t="s">
        <v>4316</v>
      </c>
      <c r="FIL1" s="46" t="s">
        <v>4317</v>
      </c>
      <c r="FIM1" s="46" t="s">
        <v>4318</v>
      </c>
      <c r="FIN1" s="46" t="s">
        <v>4319</v>
      </c>
      <c r="FIO1" s="46" t="s">
        <v>4320</v>
      </c>
      <c r="FIP1" s="46" t="s">
        <v>4321</v>
      </c>
      <c r="FIQ1" s="46" t="s">
        <v>4322</v>
      </c>
      <c r="FIR1" s="46" t="s">
        <v>4323</v>
      </c>
      <c r="FIS1" s="46" t="s">
        <v>4324</v>
      </c>
      <c r="FIT1" s="46" t="s">
        <v>4325</v>
      </c>
      <c r="FIU1" s="46" t="s">
        <v>4326</v>
      </c>
      <c r="FIV1" s="46" t="s">
        <v>4327</v>
      </c>
      <c r="FIW1" s="46" t="s">
        <v>4328</v>
      </c>
      <c r="FIX1" s="46" t="s">
        <v>4329</v>
      </c>
      <c r="FIY1" s="46" t="s">
        <v>4330</v>
      </c>
      <c r="FIZ1" s="46" t="s">
        <v>4331</v>
      </c>
      <c r="FJA1" s="46" t="s">
        <v>4332</v>
      </c>
      <c r="FJB1" s="46" t="s">
        <v>4333</v>
      </c>
      <c r="FJC1" s="46" t="s">
        <v>4334</v>
      </c>
      <c r="FJD1" s="46" t="s">
        <v>4335</v>
      </c>
      <c r="FJE1" s="46" t="s">
        <v>4336</v>
      </c>
      <c r="FJF1" s="46" t="s">
        <v>4337</v>
      </c>
      <c r="FJG1" s="46" t="s">
        <v>4338</v>
      </c>
      <c r="FJH1" s="46" t="s">
        <v>4339</v>
      </c>
      <c r="FJI1" s="46" t="s">
        <v>4340</v>
      </c>
      <c r="FJJ1" s="46" t="s">
        <v>4341</v>
      </c>
      <c r="FJK1" s="46" t="s">
        <v>4342</v>
      </c>
      <c r="FJL1" s="46" t="s">
        <v>4343</v>
      </c>
      <c r="FJM1" s="46" t="s">
        <v>4344</v>
      </c>
      <c r="FJN1" s="46" t="s">
        <v>4345</v>
      </c>
      <c r="FJO1" s="46" t="s">
        <v>4346</v>
      </c>
      <c r="FJP1" s="46" t="s">
        <v>4347</v>
      </c>
      <c r="FJQ1" s="46" t="s">
        <v>4348</v>
      </c>
      <c r="FJR1" s="46" t="s">
        <v>4349</v>
      </c>
      <c r="FJS1" s="46" t="s">
        <v>4350</v>
      </c>
      <c r="FJT1" s="46" t="s">
        <v>4351</v>
      </c>
      <c r="FJU1" s="46" t="s">
        <v>4352</v>
      </c>
      <c r="FJV1" s="46" t="s">
        <v>4353</v>
      </c>
      <c r="FJW1" s="46" t="s">
        <v>4354</v>
      </c>
      <c r="FJX1" s="46" t="s">
        <v>4355</v>
      </c>
      <c r="FJY1" s="46" t="s">
        <v>4356</v>
      </c>
      <c r="FJZ1" s="46" t="s">
        <v>4357</v>
      </c>
      <c r="FKA1" s="46" t="s">
        <v>4358</v>
      </c>
      <c r="FKB1" s="46" t="s">
        <v>4359</v>
      </c>
      <c r="FKC1" s="46" t="s">
        <v>4360</v>
      </c>
      <c r="FKD1" s="46" t="s">
        <v>4361</v>
      </c>
      <c r="FKE1" s="46" t="s">
        <v>4362</v>
      </c>
      <c r="FKF1" s="46" t="s">
        <v>4363</v>
      </c>
      <c r="FKG1" s="46" t="s">
        <v>4364</v>
      </c>
      <c r="FKH1" s="46" t="s">
        <v>4365</v>
      </c>
      <c r="FKI1" s="46" t="s">
        <v>4366</v>
      </c>
      <c r="FKJ1" s="46" t="s">
        <v>4367</v>
      </c>
      <c r="FKK1" s="46" t="s">
        <v>4368</v>
      </c>
      <c r="FKL1" s="46" t="s">
        <v>4369</v>
      </c>
      <c r="FKM1" s="46" t="s">
        <v>4370</v>
      </c>
      <c r="FKN1" s="46" t="s">
        <v>4371</v>
      </c>
      <c r="FKO1" s="46" t="s">
        <v>4372</v>
      </c>
      <c r="FKP1" s="46" t="s">
        <v>4373</v>
      </c>
      <c r="FKQ1" s="46" t="s">
        <v>4374</v>
      </c>
      <c r="FKR1" s="46" t="s">
        <v>4375</v>
      </c>
      <c r="FKS1" s="46" t="s">
        <v>4376</v>
      </c>
      <c r="FKT1" s="46" t="s">
        <v>4377</v>
      </c>
      <c r="FKU1" s="46" t="s">
        <v>4378</v>
      </c>
      <c r="FKV1" s="46" t="s">
        <v>4379</v>
      </c>
      <c r="FKW1" s="46" t="s">
        <v>4380</v>
      </c>
      <c r="FKX1" s="46" t="s">
        <v>4381</v>
      </c>
      <c r="FKY1" s="46" t="s">
        <v>4382</v>
      </c>
      <c r="FKZ1" s="46" t="s">
        <v>4383</v>
      </c>
      <c r="FLA1" s="46" t="s">
        <v>4384</v>
      </c>
      <c r="FLB1" s="46" t="s">
        <v>4385</v>
      </c>
      <c r="FLC1" s="46" t="s">
        <v>4386</v>
      </c>
      <c r="FLD1" s="46" t="s">
        <v>4387</v>
      </c>
      <c r="FLE1" s="46" t="s">
        <v>4388</v>
      </c>
      <c r="FLF1" s="46" t="s">
        <v>4389</v>
      </c>
      <c r="FLG1" s="46" t="s">
        <v>4390</v>
      </c>
      <c r="FLH1" s="46" t="s">
        <v>4391</v>
      </c>
      <c r="FLI1" s="46" t="s">
        <v>4392</v>
      </c>
      <c r="FLJ1" s="46" t="s">
        <v>4393</v>
      </c>
      <c r="FLK1" s="46" t="s">
        <v>4394</v>
      </c>
      <c r="FLL1" s="46" t="s">
        <v>4395</v>
      </c>
      <c r="FLM1" s="46" t="s">
        <v>4396</v>
      </c>
      <c r="FLN1" s="46" t="s">
        <v>4397</v>
      </c>
      <c r="FLO1" s="46" t="s">
        <v>4398</v>
      </c>
      <c r="FLP1" s="46" t="s">
        <v>4399</v>
      </c>
      <c r="FLQ1" s="46" t="s">
        <v>4400</v>
      </c>
      <c r="FLR1" s="46" t="s">
        <v>4401</v>
      </c>
      <c r="FLS1" s="46" t="s">
        <v>4402</v>
      </c>
      <c r="FLT1" s="46" t="s">
        <v>4403</v>
      </c>
      <c r="FLU1" s="46" t="s">
        <v>4404</v>
      </c>
      <c r="FLV1" s="46" t="s">
        <v>4405</v>
      </c>
      <c r="FLW1" s="46" t="s">
        <v>4406</v>
      </c>
      <c r="FLX1" s="46" t="s">
        <v>4407</v>
      </c>
      <c r="FLY1" s="46" t="s">
        <v>4408</v>
      </c>
      <c r="FLZ1" s="46" t="s">
        <v>4409</v>
      </c>
      <c r="FMA1" s="46" t="s">
        <v>4410</v>
      </c>
      <c r="FMB1" s="46" t="s">
        <v>4411</v>
      </c>
      <c r="FMC1" s="46" t="s">
        <v>4412</v>
      </c>
      <c r="FMD1" s="46" t="s">
        <v>4413</v>
      </c>
      <c r="FME1" s="46" t="s">
        <v>4414</v>
      </c>
      <c r="FMF1" s="46" t="s">
        <v>4415</v>
      </c>
      <c r="FMG1" s="46" t="s">
        <v>4416</v>
      </c>
      <c r="FMH1" s="46" t="s">
        <v>4417</v>
      </c>
      <c r="FMI1" s="46" t="s">
        <v>4418</v>
      </c>
      <c r="FMJ1" s="46" t="s">
        <v>4419</v>
      </c>
      <c r="FMK1" s="46" t="s">
        <v>4420</v>
      </c>
      <c r="FML1" s="46" t="s">
        <v>4421</v>
      </c>
      <c r="FMM1" s="46" t="s">
        <v>4422</v>
      </c>
      <c r="FMN1" s="46" t="s">
        <v>4423</v>
      </c>
      <c r="FMO1" s="46" t="s">
        <v>4424</v>
      </c>
      <c r="FMP1" s="46" t="s">
        <v>4425</v>
      </c>
      <c r="FMQ1" s="46" t="s">
        <v>4426</v>
      </c>
      <c r="FMR1" s="46" t="s">
        <v>4427</v>
      </c>
      <c r="FMS1" s="46" t="s">
        <v>4428</v>
      </c>
      <c r="FMT1" s="46" t="s">
        <v>4429</v>
      </c>
      <c r="FMU1" s="46" t="s">
        <v>4430</v>
      </c>
      <c r="FMV1" s="46" t="s">
        <v>4431</v>
      </c>
      <c r="FMW1" s="46" t="s">
        <v>4432</v>
      </c>
      <c r="FMX1" s="46" t="s">
        <v>4433</v>
      </c>
      <c r="FMY1" s="46" t="s">
        <v>4434</v>
      </c>
      <c r="FMZ1" s="46" t="s">
        <v>4435</v>
      </c>
      <c r="FNA1" s="46" t="s">
        <v>4436</v>
      </c>
      <c r="FNB1" s="46" t="s">
        <v>4437</v>
      </c>
      <c r="FNC1" s="46" t="s">
        <v>4438</v>
      </c>
      <c r="FND1" s="46" t="s">
        <v>4439</v>
      </c>
      <c r="FNE1" s="46" t="s">
        <v>4440</v>
      </c>
      <c r="FNF1" s="46" t="s">
        <v>4441</v>
      </c>
      <c r="FNG1" s="46" t="s">
        <v>4442</v>
      </c>
      <c r="FNH1" s="46" t="s">
        <v>4443</v>
      </c>
      <c r="FNI1" s="46" t="s">
        <v>4444</v>
      </c>
      <c r="FNJ1" s="46" t="s">
        <v>4445</v>
      </c>
      <c r="FNK1" s="46" t="s">
        <v>4446</v>
      </c>
      <c r="FNL1" s="46" t="s">
        <v>4447</v>
      </c>
      <c r="FNM1" s="46" t="s">
        <v>4448</v>
      </c>
      <c r="FNN1" s="46" t="s">
        <v>4449</v>
      </c>
      <c r="FNO1" s="46" t="s">
        <v>4450</v>
      </c>
      <c r="FNP1" s="46" t="s">
        <v>4451</v>
      </c>
      <c r="FNQ1" s="46" t="s">
        <v>4452</v>
      </c>
      <c r="FNR1" s="46" t="s">
        <v>4453</v>
      </c>
      <c r="FNS1" s="46" t="s">
        <v>4454</v>
      </c>
      <c r="FNT1" s="46" t="s">
        <v>4455</v>
      </c>
      <c r="FNU1" s="46" t="s">
        <v>4456</v>
      </c>
      <c r="FNV1" s="46" t="s">
        <v>4457</v>
      </c>
      <c r="FNW1" s="46" t="s">
        <v>4458</v>
      </c>
      <c r="FNX1" s="46" t="s">
        <v>4459</v>
      </c>
      <c r="FNY1" s="46" t="s">
        <v>4460</v>
      </c>
      <c r="FNZ1" s="46" t="s">
        <v>4461</v>
      </c>
      <c r="FOA1" s="46" t="s">
        <v>4462</v>
      </c>
      <c r="FOB1" s="46" t="s">
        <v>4463</v>
      </c>
      <c r="FOC1" s="46" t="s">
        <v>4464</v>
      </c>
      <c r="FOD1" s="46" t="s">
        <v>4465</v>
      </c>
      <c r="FOE1" s="46" t="s">
        <v>4466</v>
      </c>
      <c r="FOF1" s="46" t="s">
        <v>4467</v>
      </c>
      <c r="FOG1" s="46" t="s">
        <v>4468</v>
      </c>
      <c r="FOH1" s="46" t="s">
        <v>4469</v>
      </c>
      <c r="FOI1" s="46" t="s">
        <v>4470</v>
      </c>
      <c r="FOJ1" s="46" t="s">
        <v>4471</v>
      </c>
      <c r="FOK1" s="46" t="s">
        <v>4472</v>
      </c>
      <c r="FOL1" s="46" t="s">
        <v>4473</v>
      </c>
      <c r="FOM1" s="46" t="s">
        <v>4474</v>
      </c>
      <c r="FON1" s="46" t="s">
        <v>4475</v>
      </c>
      <c r="FOO1" s="46" t="s">
        <v>4476</v>
      </c>
      <c r="FOP1" s="46" t="s">
        <v>4477</v>
      </c>
      <c r="FOQ1" s="46" t="s">
        <v>4478</v>
      </c>
      <c r="FOR1" s="46" t="s">
        <v>4479</v>
      </c>
      <c r="FOS1" s="46" t="s">
        <v>4480</v>
      </c>
      <c r="FOT1" s="46" t="s">
        <v>4481</v>
      </c>
      <c r="FOU1" s="46" t="s">
        <v>4482</v>
      </c>
      <c r="FOV1" s="46" t="s">
        <v>4483</v>
      </c>
      <c r="FOW1" s="46" t="s">
        <v>4484</v>
      </c>
      <c r="FOX1" s="46" t="s">
        <v>4485</v>
      </c>
      <c r="FOY1" s="46" t="s">
        <v>4486</v>
      </c>
      <c r="FOZ1" s="46" t="s">
        <v>4487</v>
      </c>
      <c r="FPA1" s="46" t="s">
        <v>4488</v>
      </c>
      <c r="FPB1" s="46" t="s">
        <v>4489</v>
      </c>
      <c r="FPC1" s="46" t="s">
        <v>4490</v>
      </c>
      <c r="FPD1" s="46" t="s">
        <v>4491</v>
      </c>
      <c r="FPE1" s="46" t="s">
        <v>4492</v>
      </c>
      <c r="FPF1" s="46" t="s">
        <v>4493</v>
      </c>
      <c r="FPG1" s="46" t="s">
        <v>4494</v>
      </c>
      <c r="FPH1" s="46" t="s">
        <v>4495</v>
      </c>
      <c r="FPI1" s="46" t="s">
        <v>4496</v>
      </c>
      <c r="FPJ1" s="46" t="s">
        <v>4497</v>
      </c>
      <c r="FPK1" s="46" t="s">
        <v>4498</v>
      </c>
      <c r="FPL1" s="46" t="s">
        <v>4499</v>
      </c>
      <c r="FPM1" s="46" t="s">
        <v>4500</v>
      </c>
      <c r="FPN1" s="46" t="s">
        <v>4501</v>
      </c>
      <c r="FPO1" s="46" t="s">
        <v>4502</v>
      </c>
      <c r="FPP1" s="46" t="s">
        <v>4503</v>
      </c>
      <c r="FPQ1" s="46" t="s">
        <v>4504</v>
      </c>
      <c r="FPR1" s="46" t="s">
        <v>4505</v>
      </c>
      <c r="FPS1" s="46" t="s">
        <v>4506</v>
      </c>
      <c r="FPT1" s="46" t="s">
        <v>4507</v>
      </c>
      <c r="FPU1" s="46" t="s">
        <v>4508</v>
      </c>
      <c r="FPV1" s="46" t="s">
        <v>4509</v>
      </c>
      <c r="FPW1" s="46" t="s">
        <v>4510</v>
      </c>
      <c r="FPX1" s="46" t="s">
        <v>4511</v>
      </c>
      <c r="FPY1" s="46" t="s">
        <v>4512</v>
      </c>
      <c r="FPZ1" s="46" t="s">
        <v>4513</v>
      </c>
      <c r="FQA1" s="46" t="s">
        <v>4514</v>
      </c>
      <c r="FQB1" s="46" t="s">
        <v>4515</v>
      </c>
      <c r="FQC1" s="46" t="s">
        <v>4516</v>
      </c>
      <c r="FQD1" s="46" t="s">
        <v>4517</v>
      </c>
      <c r="FQE1" s="46" t="s">
        <v>4518</v>
      </c>
      <c r="FQF1" s="46" t="s">
        <v>4519</v>
      </c>
      <c r="FQG1" s="46" t="s">
        <v>4520</v>
      </c>
      <c r="FQH1" s="46" t="s">
        <v>4521</v>
      </c>
      <c r="FQI1" s="46" t="s">
        <v>4522</v>
      </c>
      <c r="FQJ1" s="46" t="s">
        <v>4523</v>
      </c>
      <c r="FQK1" s="46" t="s">
        <v>4524</v>
      </c>
      <c r="FQL1" s="46" t="s">
        <v>4525</v>
      </c>
      <c r="FQM1" s="46" t="s">
        <v>4526</v>
      </c>
      <c r="FQN1" s="46" t="s">
        <v>4527</v>
      </c>
      <c r="FQO1" s="46" t="s">
        <v>4528</v>
      </c>
      <c r="FQP1" s="46" t="s">
        <v>4529</v>
      </c>
      <c r="FQQ1" s="46" t="s">
        <v>4530</v>
      </c>
      <c r="FQR1" s="46" t="s">
        <v>4531</v>
      </c>
      <c r="FQS1" s="46" t="s">
        <v>4532</v>
      </c>
      <c r="FQT1" s="46" t="s">
        <v>4533</v>
      </c>
      <c r="FQU1" s="46" t="s">
        <v>4534</v>
      </c>
      <c r="FQV1" s="46" t="s">
        <v>4535</v>
      </c>
      <c r="FQW1" s="46" t="s">
        <v>4536</v>
      </c>
      <c r="FQX1" s="46" t="s">
        <v>4537</v>
      </c>
      <c r="FQY1" s="46" t="s">
        <v>4538</v>
      </c>
      <c r="FQZ1" s="46" t="s">
        <v>4539</v>
      </c>
      <c r="FRA1" s="46" t="s">
        <v>4540</v>
      </c>
      <c r="FRB1" s="46" t="s">
        <v>4541</v>
      </c>
      <c r="FRC1" s="46" t="s">
        <v>4542</v>
      </c>
      <c r="FRD1" s="46" t="s">
        <v>4543</v>
      </c>
      <c r="FRE1" s="46" t="s">
        <v>4544</v>
      </c>
      <c r="FRF1" s="46" t="s">
        <v>4545</v>
      </c>
      <c r="FRG1" s="46" t="s">
        <v>4546</v>
      </c>
      <c r="FRH1" s="46" t="s">
        <v>4547</v>
      </c>
      <c r="FRI1" s="46" t="s">
        <v>4548</v>
      </c>
      <c r="FRJ1" s="46" t="s">
        <v>4549</v>
      </c>
      <c r="FRK1" s="46" t="s">
        <v>4550</v>
      </c>
      <c r="FRL1" s="46" t="s">
        <v>4551</v>
      </c>
      <c r="FRM1" s="46" t="s">
        <v>4552</v>
      </c>
      <c r="FRN1" s="46" t="s">
        <v>4553</v>
      </c>
      <c r="FRO1" s="46" t="s">
        <v>4554</v>
      </c>
      <c r="FRP1" s="46" t="s">
        <v>4555</v>
      </c>
      <c r="FRQ1" s="46" t="s">
        <v>4556</v>
      </c>
      <c r="FRR1" s="46" t="s">
        <v>4557</v>
      </c>
      <c r="FRS1" s="46" t="s">
        <v>4558</v>
      </c>
      <c r="FRT1" s="46" t="s">
        <v>4559</v>
      </c>
      <c r="FRU1" s="46" t="s">
        <v>4560</v>
      </c>
      <c r="FRV1" s="46" t="s">
        <v>4561</v>
      </c>
      <c r="FRW1" s="46" t="s">
        <v>4562</v>
      </c>
      <c r="FRX1" s="46" t="s">
        <v>4563</v>
      </c>
      <c r="FRY1" s="46" t="s">
        <v>4564</v>
      </c>
      <c r="FRZ1" s="46" t="s">
        <v>4565</v>
      </c>
      <c r="FSA1" s="46" t="s">
        <v>4566</v>
      </c>
      <c r="FSB1" s="46" t="s">
        <v>4567</v>
      </c>
      <c r="FSC1" s="46" t="s">
        <v>4568</v>
      </c>
      <c r="FSD1" s="46" t="s">
        <v>4569</v>
      </c>
      <c r="FSE1" s="46" t="s">
        <v>4570</v>
      </c>
      <c r="FSF1" s="46" t="s">
        <v>4571</v>
      </c>
      <c r="FSG1" s="46" t="s">
        <v>4572</v>
      </c>
      <c r="FSH1" s="46" t="s">
        <v>4573</v>
      </c>
      <c r="FSI1" s="46" t="s">
        <v>4574</v>
      </c>
      <c r="FSJ1" s="46" t="s">
        <v>4575</v>
      </c>
      <c r="FSK1" s="46" t="s">
        <v>4576</v>
      </c>
      <c r="FSL1" s="46" t="s">
        <v>4577</v>
      </c>
      <c r="FSM1" s="46" t="s">
        <v>4578</v>
      </c>
      <c r="FSN1" s="46" t="s">
        <v>4579</v>
      </c>
      <c r="FSO1" s="46" t="s">
        <v>4580</v>
      </c>
      <c r="FSP1" s="46" t="s">
        <v>4581</v>
      </c>
      <c r="FSQ1" s="46" t="s">
        <v>4582</v>
      </c>
      <c r="FSR1" s="46" t="s">
        <v>4583</v>
      </c>
      <c r="FSS1" s="46" t="s">
        <v>4584</v>
      </c>
      <c r="FST1" s="46" t="s">
        <v>4585</v>
      </c>
      <c r="FSU1" s="46" t="s">
        <v>4586</v>
      </c>
      <c r="FSV1" s="46" t="s">
        <v>4587</v>
      </c>
      <c r="FSW1" s="46" t="s">
        <v>4588</v>
      </c>
      <c r="FSX1" s="46" t="s">
        <v>4589</v>
      </c>
      <c r="FSY1" s="46" t="s">
        <v>4590</v>
      </c>
      <c r="FSZ1" s="46" t="s">
        <v>4591</v>
      </c>
      <c r="FTA1" s="46" t="s">
        <v>4592</v>
      </c>
      <c r="FTB1" s="46" t="s">
        <v>4593</v>
      </c>
      <c r="FTC1" s="46" t="s">
        <v>4594</v>
      </c>
      <c r="FTD1" s="46" t="s">
        <v>4595</v>
      </c>
      <c r="FTE1" s="46" t="s">
        <v>4596</v>
      </c>
      <c r="FTF1" s="46" t="s">
        <v>4597</v>
      </c>
      <c r="FTG1" s="46" t="s">
        <v>4598</v>
      </c>
      <c r="FTH1" s="46" t="s">
        <v>4599</v>
      </c>
      <c r="FTI1" s="46" t="s">
        <v>4600</v>
      </c>
      <c r="FTJ1" s="46" t="s">
        <v>4601</v>
      </c>
      <c r="FTK1" s="46" t="s">
        <v>4602</v>
      </c>
      <c r="FTL1" s="46" t="s">
        <v>4603</v>
      </c>
      <c r="FTM1" s="46" t="s">
        <v>4604</v>
      </c>
      <c r="FTN1" s="46" t="s">
        <v>4605</v>
      </c>
      <c r="FTO1" s="46" t="s">
        <v>4606</v>
      </c>
      <c r="FTP1" s="46" t="s">
        <v>4607</v>
      </c>
      <c r="FTQ1" s="46" t="s">
        <v>4608</v>
      </c>
      <c r="FTR1" s="46" t="s">
        <v>4609</v>
      </c>
      <c r="FTS1" s="46" t="s">
        <v>4610</v>
      </c>
      <c r="FTT1" s="46" t="s">
        <v>4611</v>
      </c>
      <c r="FTU1" s="46" t="s">
        <v>4612</v>
      </c>
      <c r="FTV1" s="46" t="s">
        <v>4613</v>
      </c>
      <c r="FTW1" s="46" t="s">
        <v>4614</v>
      </c>
      <c r="FTX1" s="46" t="s">
        <v>4615</v>
      </c>
      <c r="FTY1" s="46" t="s">
        <v>4616</v>
      </c>
      <c r="FTZ1" s="46" t="s">
        <v>4617</v>
      </c>
      <c r="FUA1" s="46" t="s">
        <v>4618</v>
      </c>
      <c r="FUB1" s="46" t="s">
        <v>4619</v>
      </c>
      <c r="FUC1" s="46" t="s">
        <v>4620</v>
      </c>
      <c r="FUD1" s="46" t="s">
        <v>4621</v>
      </c>
      <c r="FUE1" s="46" t="s">
        <v>4622</v>
      </c>
      <c r="FUF1" s="46" t="s">
        <v>4623</v>
      </c>
      <c r="FUG1" s="46" t="s">
        <v>4624</v>
      </c>
      <c r="FUH1" s="46" t="s">
        <v>4625</v>
      </c>
      <c r="FUI1" s="46" t="s">
        <v>4626</v>
      </c>
      <c r="FUJ1" s="46" t="s">
        <v>4627</v>
      </c>
      <c r="FUK1" s="46" t="s">
        <v>4628</v>
      </c>
      <c r="FUL1" s="46" t="s">
        <v>4629</v>
      </c>
      <c r="FUM1" s="46" t="s">
        <v>4630</v>
      </c>
      <c r="FUN1" s="46" t="s">
        <v>4631</v>
      </c>
      <c r="FUO1" s="46" t="s">
        <v>4632</v>
      </c>
      <c r="FUP1" s="46" t="s">
        <v>4633</v>
      </c>
      <c r="FUQ1" s="46" t="s">
        <v>4634</v>
      </c>
      <c r="FUR1" s="46" t="s">
        <v>4635</v>
      </c>
      <c r="FUS1" s="46" t="s">
        <v>4636</v>
      </c>
      <c r="FUT1" s="46" t="s">
        <v>4637</v>
      </c>
      <c r="FUU1" s="46" t="s">
        <v>4638</v>
      </c>
      <c r="FUV1" s="46" t="s">
        <v>4639</v>
      </c>
      <c r="FUW1" s="46" t="s">
        <v>4640</v>
      </c>
      <c r="FUX1" s="46" t="s">
        <v>4641</v>
      </c>
      <c r="FUY1" s="46" t="s">
        <v>4642</v>
      </c>
      <c r="FUZ1" s="46" t="s">
        <v>4643</v>
      </c>
      <c r="FVA1" s="46" t="s">
        <v>4644</v>
      </c>
      <c r="FVB1" s="46" t="s">
        <v>4645</v>
      </c>
      <c r="FVC1" s="46" t="s">
        <v>4646</v>
      </c>
      <c r="FVD1" s="46" t="s">
        <v>4647</v>
      </c>
      <c r="FVE1" s="46" t="s">
        <v>4648</v>
      </c>
      <c r="FVF1" s="46" t="s">
        <v>4649</v>
      </c>
      <c r="FVG1" s="46" t="s">
        <v>4650</v>
      </c>
      <c r="FVH1" s="46" t="s">
        <v>4651</v>
      </c>
      <c r="FVI1" s="46" t="s">
        <v>4652</v>
      </c>
      <c r="FVJ1" s="46" t="s">
        <v>4653</v>
      </c>
      <c r="FVK1" s="46" t="s">
        <v>4654</v>
      </c>
      <c r="FVL1" s="46" t="s">
        <v>4655</v>
      </c>
      <c r="FVM1" s="46" t="s">
        <v>4656</v>
      </c>
      <c r="FVN1" s="46" t="s">
        <v>4657</v>
      </c>
      <c r="FVO1" s="46" t="s">
        <v>4658</v>
      </c>
      <c r="FVP1" s="46" t="s">
        <v>4659</v>
      </c>
      <c r="FVQ1" s="46" t="s">
        <v>4660</v>
      </c>
      <c r="FVR1" s="46" t="s">
        <v>4661</v>
      </c>
      <c r="FVS1" s="46" t="s">
        <v>4662</v>
      </c>
      <c r="FVT1" s="46" t="s">
        <v>4663</v>
      </c>
      <c r="FVU1" s="46" t="s">
        <v>4664</v>
      </c>
      <c r="FVV1" s="46" t="s">
        <v>4665</v>
      </c>
      <c r="FVW1" s="46" t="s">
        <v>4666</v>
      </c>
      <c r="FVX1" s="46" t="s">
        <v>4667</v>
      </c>
      <c r="FVY1" s="46" t="s">
        <v>4668</v>
      </c>
      <c r="FVZ1" s="46" t="s">
        <v>4669</v>
      </c>
      <c r="FWA1" s="46" t="s">
        <v>4670</v>
      </c>
      <c r="FWB1" s="46" t="s">
        <v>4671</v>
      </c>
      <c r="FWC1" s="46" t="s">
        <v>4672</v>
      </c>
      <c r="FWD1" s="46" t="s">
        <v>4673</v>
      </c>
      <c r="FWE1" s="46" t="s">
        <v>4674</v>
      </c>
      <c r="FWF1" s="46" t="s">
        <v>4675</v>
      </c>
      <c r="FWG1" s="46" t="s">
        <v>4676</v>
      </c>
      <c r="FWH1" s="46" t="s">
        <v>4677</v>
      </c>
      <c r="FWI1" s="46" t="s">
        <v>4678</v>
      </c>
      <c r="FWJ1" s="46" t="s">
        <v>4679</v>
      </c>
      <c r="FWK1" s="46" t="s">
        <v>4680</v>
      </c>
      <c r="FWL1" s="46" t="s">
        <v>4681</v>
      </c>
      <c r="FWM1" s="46" t="s">
        <v>4682</v>
      </c>
      <c r="FWN1" s="46" t="s">
        <v>4683</v>
      </c>
      <c r="FWO1" s="46" t="s">
        <v>4684</v>
      </c>
      <c r="FWP1" s="46" t="s">
        <v>4685</v>
      </c>
      <c r="FWQ1" s="46" t="s">
        <v>4686</v>
      </c>
      <c r="FWR1" s="46" t="s">
        <v>4687</v>
      </c>
      <c r="FWS1" s="46" t="s">
        <v>4688</v>
      </c>
      <c r="FWT1" s="46" t="s">
        <v>4689</v>
      </c>
      <c r="FWU1" s="46" t="s">
        <v>4690</v>
      </c>
      <c r="FWV1" s="46" t="s">
        <v>4691</v>
      </c>
      <c r="FWW1" s="46" t="s">
        <v>4692</v>
      </c>
      <c r="FWX1" s="46" t="s">
        <v>4693</v>
      </c>
      <c r="FWY1" s="46" t="s">
        <v>4694</v>
      </c>
      <c r="FWZ1" s="46" t="s">
        <v>4695</v>
      </c>
      <c r="FXA1" s="46" t="s">
        <v>4696</v>
      </c>
      <c r="FXB1" s="46" t="s">
        <v>4697</v>
      </c>
      <c r="FXC1" s="46" t="s">
        <v>4698</v>
      </c>
      <c r="FXD1" s="46" t="s">
        <v>4699</v>
      </c>
      <c r="FXE1" s="46" t="s">
        <v>4700</v>
      </c>
      <c r="FXF1" s="46" t="s">
        <v>4701</v>
      </c>
      <c r="FXG1" s="46" t="s">
        <v>4702</v>
      </c>
      <c r="FXH1" s="46" t="s">
        <v>4703</v>
      </c>
      <c r="FXI1" s="46" t="s">
        <v>4704</v>
      </c>
      <c r="FXJ1" s="46" t="s">
        <v>4705</v>
      </c>
      <c r="FXK1" s="46" t="s">
        <v>4706</v>
      </c>
      <c r="FXL1" s="46" t="s">
        <v>4707</v>
      </c>
      <c r="FXM1" s="46" t="s">
        <v>4708</v>
      </c>
      <c r="FXN1" s="46" t="s">
        <v>4709</v>
      </c>
      <c r="FXO1" s="46" t="s">
        <v>4710</v>
      </c>
      <c r="FXP1" s="46" t="s">
        <v>4711</v>
      </c>
      <c r="FXQ1" s="46" t="s">
        <v>4712</v>
      </c>
      <c r="FXR1" s="46" t="s">
        <v>4713</v>
      </c>
      <c r="FXS1" s="46" t="s">
        <v>4714</v>
      </c>
      <c r="FXT1" s="46" t="s">
        <v>4715</v>
      </c>
      <c r="FXU1" s="46" t="s">
        <v>4716</v>
      </c>
      <c r="FXV1" s="46" t="s">
        <v>4717</v>
      </c>
      <c r="FXW1" s="46" t="s">
        <v>4718</v>
      </c>
      <c r="FXX1" s="46" t="s">
        <v>4719</v>
      </c>
      <c r="FXY1" s="46" t="s">
        <v>4720</v>
      </c>
      <c r="FXZ1" s="46" t="s">
        <v>4721</v>
      </c>
      <c r="FYA1" s="46" t="s">
        <v>4722</v>
      </c>
      <c r="FYB1" s="46" t="s">
        <v>4723</v>
      </c>
      <c r="FYC1" s="46" t="s">
        <v>4724</v>
      </c>
      <c r="FYD1" s="46" t="s">
        <v>4725</v>
      </c>
      <c r="FYE1" s="46" t="s">
        <v>4726</v>
      </c>
      <c r="FYF1" s="46" t="s">
        <v>4727</v>
      </c>
      <c r="FYG1" s="46" t="s">
        <v>4728</v>
      </c>
      <c r="FYH1" s="46" t="s">
        <v>4729</v>
      </c>
      <c r="FYI1" s="46" t="s">
        <v>4730</v>
      </c>
      <c r="FYJ1" s="46" t="s">
        <v>4731</v>
      </c>
      <c r="FYK1" s="46" t="s">
        <v>4732</v>
      </c>
      <c r="FYL1" s="46" t="s">
        <v>4733</v>
      </c>
      <c r="FYM1" s="46" t="s">
        <v>4734</v>
      </c>
      <c r="FYN1" s="46" t="s">
        <v>4735</v>
      </c>
      <c r="FYO1" s="46" t="s">
        <v>4736</v>
      </c>
      <c r="FYP1" s="46" t="s">
        <v>4737</v>
      </c>
      <c r="FYQ1" s="46" t="s">
        <v>4738</v>
      </c>
      <c r="FYR1" s="46" t="s">
        <v>4739</v>
      </c>
      <c r="FYS1" s="46" t="s">
        <v>4740</v>
      </c>
      <c r="FYT1" s="46" t="s">
        <v>4741</v>
      </c>
      <c r="FYU1" s="46" t="s">
        <v>4742</v>
      </c>
      <c r="FYV1" s="46" t="s">
        <v>4743</v>
      </c>
      <c r="FYW1" s="46" t="s">
        <v>4744</v>
      </c>
      <c r="FYX1" s="46" t="s">
        <v>4745</v>
      </c>
      <c r="FYY1" s="46" t="s">
        <v>4746</v>
      </c>
      <c r="FYZ1" s="46" t="s">
        <v>4747</v>
      </c>
      <c r="FZA1" s="46" t="s">
        <v>4748</v>
      </c>
      <c r="FZB1" s="46" t="s">
        <v>4749</v>
      </c>
      <c r="FZC1" s="46" t="s">
        <v>4750</v>
      </c>
      <c r="FZD1" s="46" t="s">
        <v>4751</v>
      </c>
      <c r="FZE1" s="46" t="s">
        <v>4752</v>
      </c>
      <c r="FZF1" s="46" t="s">
        <v>4753</v>
      </c>
      <c r="FZG1" s="46" t="s">
        <v>4754</v>
      </c>
      <c r="FZH1" s="46" t="s">
        <v>4755</v>
      </c>
      <c r="FZI1" s="46" t="s">
        <v>4756</v>
      </c>
      <c r="FZJ1" s="46" t="s">
        <v>4757</v>
      </c>
      <c r="FZK1" s="46" t="s">
        <v>4758</v>
      </c>
      <c r="FZL1" s="46" t="s">
        <v>4759</v>
      </c>
      <c r="FZM1" s="46" t="s">
        <v>4760</v>
      </c>
      <c r="FZN1" s="46" t="s">
        <v>4761</v>
      </c>
      <c r="FZO1" s="46" t="s">
        <v>4762</v>
      </c>
      <c r="FZP1" s="46" t="s">
        <v>4763</v>
      </c>
      <c r="FZQ1" s="46" t="s">
        <v>4764</v>
      </c>
      <c r="FZR1" s="46" t="s">
        <v>4765</v>
      </c>
      <c r="FZS1" s="46" t="s">
        <v>4766</v>
      </c>
      <c r="FZT1" s="46" t="s">
        <v>4767</v>
      </c>
      <c r="FZU1" s="46" t="s">
        <v>4768</v>
      </c>
      <c r="FZV1" s="46" t="s">
        <v>4769</v>
      </c>
      <c r="FZW1" s="46" t="s">
        <v>4770</v>
      </c>
      <c r="FZX1" s="46" t="s">
        <v>4771</v>
      </c>
      <c r="FZY1" s="46" t="s">
        <v>4772</v>
      </c>
      <c r="FZZ1" s="46" t="s">
        <v>4773</v>
      </c>
      <c r="GAA1" s="46" t="s">
        <v>4774</v>
      </c>
      <c r="GAB1" s="46" t="s">
        <v>4775</v>
      </c>
      <c r="GAC1" s="46" t="s">
        <v>4776</v>
      </c>
      <c r="GAD1" s="46" t="s">
        <v>4777</v>
      </c>
      <c r="GAE1" s="46" t="s">
        <v>4778</v>
      </c>
      <c r="GAF1" s="46" t="s">
        <v>4779</v>
      </c>
      <c r="GAG1" s="46" t="s">
        <v>4780</v>
      </c>
      <c r="GAH1" s="46" t="s">
        <v>4781</v>
      </c>
      <c r="GAI1" s="46" t="s">
        <v>4782</v>
      </c>
      <c r="GAJ1" s="46" t="s">
        <v>4783</v>
      </c>
      <c r="GAK1" s="46" t="s">
        <v>4784</v>
      </c>
      <c r="GAL1" s="46" t="s">
        <v>4785</v>
      </c>
      <c r="GAM1" s="46" t="s">
        <v>4786</v>
      </c>
      <c r="GAN1" s="46" t="s">
        <v>4787</v>
      </c>
      <c r="GAO1" s="46" t="s">
        <v>4788</v>
      </c>
      <c r="GAP1" s="46" t="s">
        <v>4789</v>
      </c>
      <c r="GAQ1" s="46" t="s">
        <v>4790</v>
      </c>
      <c r="GAR1" s="46" t="s">
        <v>4791</v>
      </c>
      <c r="GAS1" s="46" t="s">
        <v>4792</v>
      </c>
      <c r="GAT1" s="46" t="s">
        <v>4793</v>
      </c>
      <c r="GAU1" s="46" t="s">
        <v>4794</v>
      </c>
      <c r="GAV1" s="46" t="s">
        <v>4795</v>
      </c>
      <c r="GAW1" s="46" t="s">
        <v>4796</v>
      </c>
      <c r="GAX1" s="46" t="s">
        <v>4797</v>
      </c>
      <c r="GAY1" s="46" t="s">
        <v>4798</v>
      </c>
      <c r="GAZ1" s="46" t="s">
        <v>4799</v>
      </c>
      <c r="GBA1" s="46" t="s">
        <v>4800</v>
      </c>
      <c r="GBB1" s="46" t="s">
        <v>4801</v>
      </c>
      <c r="GBC1" s="46" t="s">
        <v>4802</v>
      </c>
      <c r="GBD1" s="46" t="s">
        <v>4803</v>
      </c>
      <c r="GBE1" s="46" t="s">
        <v>4804</v>
      </c>
      <c r="GBF1" s="46" t="s">
        <v>4805</v>
      </c>
      <c r="GBG1" s="46" t="s">
        <v>4806</v>
      </c>
      <c r="GBH1" s="46" t="s">
        <v>4807</v>
      </c>
      <c r="GBI1" s="46" t="s">
        <v>4808</v>
      </c>
      <c r="GBJ1" s="46" t="s">
        <v>4809</v>
      </c>
      <c r="GBK1" s="46" t="s">
        <v>4810</v>
      </c>
      <c r="GBL1" s="46" t="s">
        <v>4811</v>
      </c>
      <c r="GBM1" s="46" t="s">
        <v>4812</v>
      </c>
      <c r="GBN1" s="46" t="s">
        <v>4813</v>
      </c>
      <c r="GBO1" s="46" t="s">
        <v>4814</v>
      </c>
      <c r="GBP1" s="46" t="s">
        <v>4815</v>
      </c>
      <c r="GBQ1" s="46" t="s">
        <v>4816</v>
      </c>
      <c r="GBR1" s="46" t="s">
        <v>4817</v>
      </c>
      <c r="GBS1" s="46" t="s">
        <v>4818</v>
      </c>
      <c r="GBT1" s="46" t="s">
        <v>4819</v>
      </c>
      <c r="GBU1" s="46" t="s">
        <v>4820</v>
      </c>
      <c r="GBV1" s="46" t="s">
        <v>4821</v>
      </c>
      <c r="GBW1" s="46" t="s">
        <v>4822</v>
      </c>
      <c r="GBX1" s="46" t="s">
        <v>4823</v>
      </c>
      <c r="GBY1" s="46" t="s">
        <v>4824</v>
      </c>
      <c r="GBZ1" s="46" t="s">
        <v>4825</v>
      </c>
      <c r="GCA1" s="46" t="s">
        <v>4826</v>
      </c>
      <c r="GCB1" s="46" t="s">
        <v>4827</v>
      </c>
      <c r="GCC1" s="46" t="s">
        <v>4828</v>
      </c>
      <c r="GCD1" s="46" t="s">
        <v>4829</v>
      </c>
      <c r="GCE1" s="46" t="s">
        <v>4830</v>
      </c>
      <c r="GCF1" s="46" t="s">
        <v>4831</v>
      </c>
      <c r="GCG1" s="46" t="s">
        <v>4832</v>
      </c>
      <c r="GCH1" s="46" t="s">
        <v>4833</v>
      </c>
      <c r="GCI1" s="46" t="s">
        <v>4834</v>
      </c>
      <c r="GCJ1" s="46" t="s">
        <v>4835</v>
      </c>
      <c r="GCK1" s="46" t="s">
        <v>4836</v>
      </c>
      <c r="GCL1" s="46" t="s">
        <v>4837</v>
      </c>
      <c r="GCM1" s="46" t="s">
        <v>4838</v>
      </c>
      <c r="GCN1" s="46" t="s">
        <v>4839</v>
      </c>
      <c r="GCO1" s="46" t="s">
        <v>4840</v>
      </c>
      <c r="GCP1" s="46" t="s">
        <v>4841</v>
      </c>
      <c r="GCQ1" s="46" t="s">
        <v>4842</v>
      </c>
      <c r="GCR1" s="46" t="s">
        <v>4843</v>
      </c>
      <c r="GCS1" s="46" t="s">
        <v>4844</v>
      </c>
      <c r="GCT1" s="46" t="s">
        <v>4845</v>
      </c>
      <c r="GCU1" s="46" t="s">
        <v>4846</v>
      </c>
      <c r="GCV1" s="46" t="s">
        <v>4847</v>
      </c>
      <c r="GCW1" s="46" t="s">
        <v>4848</v>
      </c>
      <c r="GCX1" s="46" t="s">
        <v>4849</v>
      </c>
      <c r="GCY1" s="46" t="s">
        <v>4850</v>
      </c>
      <c r="GCZ1" s="46" t="s">
        <v>4851</v>
      </c>
      <c r="GDA1" s="46" t="s">
        <v>4852</v>
      </c>
      <c r="GDB1" s="46" t="s">
        <v>4853</v>
      </c>
      <c r="GDC1" s="46" t="s">
        <v>4854</v>
      </c>
      <c r="GDD1" s="46" t="s">
        <v>4855</v>
      </c>
      <c r="GDE1" s="46" t="s">
        <v>4856</v>
      </c>
      <c r="GDF1" s="46" t="s">
        <v>4857</v>
      </c>
      <c r="GDG1" s="46" t="s">
        <v>4858</v>
      </c>
      <c r="GDH1" s="46" t="s">
        <v>4859</v>
      </c>
      <c r="GDI1" s="46" t="s">
        <v>4860</v>
      </c>
      <c r="GDJ1" s="46" t="s">
        <v>4861</v>
      </c>
      <c r="GDK1" s="46" t="s">
        <v>4862</v>
      </c>
      <c r="GDL1" s="46" t="s">
        <v>4863</v>
      </c>
      <c r="GDM1" s="46" t="s">
        <v>4864</v>
      </c>
      <c r="GDN1" s="46" t="s">
        <v>4865</v>
      </c>
      <c r="GDO1" s="46" t="s">
        <v>4866</v>
      </c>
      <c r="GDP1" s="46" t="s">
        <v>4867</v>
      </c>
      <c r="GDQ1" s="46" t="s">
        <v>4868</v>
      </c>
      <c r="GDR1" s="46" t="s">
        <v>4869</v>
      </c>
      <c r="GDS1" s="46" t="s">
        <v>4870</v>
      </c>
      <c r="GDT1" s="46" t="s">
        <v>4871</v>
      </c>
      <c r="GDU1" s="46" t="s">
        <v>4872</v>
      </c>
      <c r="GDV1" s="46" t="s">
        <v>4873</v>
      </c>
      <c r="GDW1" s="46" t="s">
        <v>4874</v>
      </c>
      <c r="GDX1" s="46" t="s">
        <v>4875</v>
      </c>
      <c r="GDY1" s="46" t="s">
        <v>4876</v>
      </c>
      <c r="GDZ1" s="46" t="s">
        <v>4877</v>
      </c>
      <c r="GEA1" s="46" t="s">
        <v>4878</v>
      </c>
      <c r="GEB1" s="46" t="s">
        <v>4879</v>
      </c>
      <c r="GEC1" s="46" t="s">
        <v>4880</v>
      </c>
      <c r="GED1" s="46" t="s">
        <v>4881</v>
      </c>
      <c r="GEE1" s="46" t="s">
        <v>4882</v>
      </c>
      <c r="GEF1" s="46" t="s">
        <v>4883</v>
      </c>
      <c r="GEG1" s="46" t="s">
        <v>4884</v>
      </c>
      <c r="GEH1" s="46" t="s">
        <v>4885</v>
      </c>
      <c r="GEI1" s="46" t="s">
        <v>4886</v>
      </c>
      <c r="GEJ1" s="46" t="s">
        <v>4887</v>
      </c>
      <c r="GEK1" s="46" t="s">
        <v>4888</v>
      </c>
      <c r="GEL1" s="46" t="s">
        <v>4889</v>
      </c>
      <c r="GEM1" s="46" t="s">
        <v>4890</v>
      </c>
      <c r="GEN1" s="46" t="s">
        <v>4891</v>
      </c>
      <c r="GEO1" s="46" t="s">
        <v>4892</v>
      </c>
      <c r="GEP1" s="46" t="s">
        <v>4893</v>
      </c>
      <c r="GEQ1" s="46" t="s">
        <v>4894</v>
      </c>
      <c r="GER1" s="46" t="s">
        <v>4895</v>
      </c>
      <c r="GES1" s="46" t="s">
        <v>4896</v>
      </c>
      <c r="GET1" s="46" t="s">
        <v>4897</v>
      </c>
      <c r="GEU1" s="46" t="s">
        <v>4898</v>
      </c>
      <c r="GEV1" s="46" t="s">
        <v>4899</v>
      </c>
      <c r="GEW1" s="46" t="s">
        <v>4900</v>
      </c>
      <c r="GEX1" s="46" t="s">
        <v>4901</v>
      </c>
      <c r="GEY1" s="46" t="s">
        <v>4902</v>
      </c>
      <c r="GEZ1" s="46" t="s">
        <v>4903</v>
      </c>
      <c r="GFA1" s="46" t="s">
        <v>4904</v>
      </c>
      <c r="GFB1" s="46" t="s">
        <v>4905</v>
      </c>
      <c r="GFC1" s="46" t="s">
        <v>4906</v>
      </c>
      <c r="GFD1" s="46" t="s">
        <v>4907</v>
      </c>
      <c r="GFE1" s="46" t="s">
        <v>4908</v>
      </c>
      <c r="GFF1" s="46" t="s">
        <v>4909</v>
      </c>
      <c r="GFG1" s="46" t="s">
        <v>4910</v>
      </c>
      <c r="GFH1" s="46" t="s">
        <v>4911</v>
      </c>
      <c r="GFI1" s="46" t="s">
        <v>4912</v>
      </c>
      <c r="GFJ1" s="46" t="s">
        <v>4913</v>
      </c>
      <c r="GFK1" s="46" t="s">
        <v>4914</v>
      </c>
      <c r="GFL1" s="46" t="s">
        <v>4915</v>
      </c>
      <c r="GFM1" s="46" t="s">
        <v>4916</v>
      </c>
      <c r="GFN1" s="46" t="s">
        <v>4917</v>
      </c>
      <c r="GFO1" s="46" t="s">
        <v>4918</v>
      </c>
      <c r="GFP1" s="46" t="s">
        <v>4919</v>
      </c>
      <c r="GFQ1" s="46" t="s">
        <v>4920</v>
      </c>
      <c r="GFR1" s="46" t="s">
        <v>4921</v>
      </c>
      <c r="GFS1" s="46" t="s">
        <v>4922</v>
      </c>
      <c r="GFT1" s="46" t="s">
        <v>4923</v>
      </c>
      <c r="GFU1" s="46" t="s">
        <v>4924</v>
      </c>
      <c r="GFV1" s="46" t="s">
        <v>4925</v>
      </c>
      <c r="GFW1" s="46" t="s">
        <v>4926</v>
      </c>
      <c r="GFX1" s="46" t="s">
        <v>4927</v>
      </c>
      <c r="GFY1" s="46" t="s">
        <v>4928</v>
      </c>
      <c r="GFZ1" s="46" t="s">
        <v>4929</v>
      </c>
      <c r="GGA1" s="46" t="s">
        <v>4930</v>
      </c>
      <c r="GGB1" s="46" t="s">
        <v>4931</v>
      </c>
      <c r="GGC1" s="46" t="s">
        <v>4932</v>
      </c>
      <c r="GGD1" s="46" t="s">
        <v>4933</v>
      </c>
      <c r="GGE1" s="46" t="s">
        <v>4934</v>
      </c>
      <c r="GGF1" s="46" t="s">
        <v>4935</v>
      </c>
      <c r="GGG1" s="46" t="s">
        <v>4936</v>
      </c>
      <c r="GGH1" s="46" t="s">
        <v>4937</v>
      </c>
      <c r="GGI1" s="46" t="s">
        <v>4938</v>
      </c>
      <c r="GGJ1" s="46" t="s">
        <v>4939</v>
      </c>
      <c r="GGK1" s="46" t="s">
        <v>4940</v>
      </c>
      <c r="GGL1" s="46" t="s">
        <v>4941</v>
      </c>
      <c r="GGM1" s="46" t="s">
        <v>4942</v>
      </c>
      <c r="GGN1" s="46" t="s">
        <v>4943</v>
      </c>
      <c r="GGO1" s="46" t="s">
        <v>4944</v>
      </c>
      <c r="GGP1" s="46" t="s">
        <v>4945</v>
      </c>
      <c r="GGQ1" s="46" t="s">
        <v>4946</v>
      </c>
      <c r="GGR1" s="46" t="s">
        <v>4947</v>
      </c>
      <c r="GGS1" s="46" t="s">
        <v>4948</v>
      </c>
      <c r="GGT1" s="46" t="s">
        <v>4949</v>
      </c>
      <c r="GGU1" s="46" t="s">
        <v>4950</v>
      </c>
      <c r="GGV1" s="46" t="s">
        <v>4951</v>
      </c>
      <c r="GGW1" s="46" t="s">
        <v>4952</v>
      </c>
      <c r="GGX1" s="46" t="s">
        <v>4953</v>
      </c>
      <c r="GGY1" s="46" t="s">
        <v>4954</v>
      </c>
      <c r="GGZ1" s="46" t="s">
        <v>4955</v>
      </c>
      <c r="GHA1" s="46" t="s">
        <v>4956</v>
      </c>
      <c r="GHB1" s="46" t="s">
        <v>4957</v>
      </c>
      <c r="GHC1" s="46" t="s">
        <v>4958</v>
      </c>
      <c r="GHD1" s="46" t="s">
        <v>4959</v>
      </c>
      <c r="GHE1" s="46" t="s">
        <v>4960</v>
      </c>
      <c r="GHF1" s="46" t="s">
        <v>4961</v>
      </c>
      <c r="GHG1" s="46" t="s">
        <v>4962</v>
      </c>
      <c r="GHH1" s="46" t="s">
        <v>4963</v>
      </c>
      <c r="GHI1" s="46" t="s">
        <v>4964</v>
      </c>
      <c r="GHJ1" s="46" t="s">
        <v>4965</v>
      </c>
      <c r="GHK1" s="46" t="s">
        <v>4966</v>
      </c>
      <c r="GHL1" s="46" t="s">
        <v>4967</v>
      </c>
      <c r="GHM1" s="46" t="s">
        <v>4968</v>
      </c>
      <c r="GHN1" s="46" t="s">
        <v>4969</v>
      </c>
      <c r="GHO1" s="46" t="s">
        <v>4970</v>
      </c>
      <c r="GHP1" s="46" t="s">
        <v>4971</v>
      </c>
      <c r="GHQ1" s="46" t="s">
        <v>4972</v>
      </c>
      <c r="GHR1" s="46" t="s">
        <v>4973</v>
      </c>
      <c r="GHS1" s="46" t="s">
        <v>4974</v>
      </c>
      <c r="GHT1" s="46" t="s">
        <v>4975</v>
      </c>
      <c r="GHU1" s="46" t="s">
        <v>4976</v>
      </c>
      <c r="GHV1" s="46" t="s">
        <v>4977</v>
      </c>
      <c r="GHW1" s="46" t="s">
        <v>4978</v>
      </c>
      <c r="GHX1" s="46" t="s">
        <v>4979</v>
      </c>
      <c r="GHY1" s="46" t="s">
        <v>4980</v>
      </c>
      <c r="GHZ1" s="46" t="s">
        <v>4981</v>
      </c>
      <c r="GIA1" s="46" t="s">
        <v>4982</v>
      </c>
      <c r="GIB1" s="46" t="s">
        <v>4983</v>
      </c>
      <c r="GIC1" s="46" t="s">
        <v>4984</v>
      </c>
      <c r="GID1" s="46" t="s">
        <v>4985</v>
      </c>
      <c r="GIE1" s="46" t="s">
        <v>4986</v>
      </c>
      <c r="GIF1" s="46" t="s">
        <v>4987</v>
      </c>
      <c r="GIG1" s="46" t="s">
        <v>4988</v>
      </c>
      <c r="GIH1" s="46" t="s">
        <v>4989</v>
      </c>
      <c r="GII1" s="46" t="s">
        <v>4990</v>
      </c>
      <c r="GIJ1" s="46" t="s">
        <v>4991</v>
      </c>
      <c r="GIK1" s="46" t="s">
        <v>4992</v>
      </c>
      <c r="GIL1" s="46" t="s">
        <v>4993</v>
      </c>
      <c r="GIM1" s="46" t="s">
        <v>4994</v>
      </c>
      <c r="GIN1" s="46" t="s">
        <v>4995</v>
      </c>
      <c r="GIO1" s="46" t="s">
        <v>4996</v>
      </c>
      <c r="GIP1" s="46" t="s">
        <v>4997</v>
      </c>
      <c r="GIQ1" s="46" t="s">
        <v>4998</v>
      </c>
      <c r="GIR1" s="46" t="s">
        <v>4999</v>
      </c>
      <c r="GIS1" s="46" t="s">
        <v>5000</v>
      </c>
      <c r="GIT1" s="46" t="s">
        <v>5001</v>
      </c>
      <c r="GIU1" s="46" t="s">
        <v>5002</v>
      </c>
      <c r="GIV1" s="46" t="s">
        <v>5003</v>
      </c>
      <c r="GIW1" s="46" t="s">
        <v>5004</v>
      </c>
      <c r="GIX1" s="46" t="s">
        <v>5005</v>
      </c>
      <c r="GIY1" s="46" t="s">
        <v>5006</v>
      </c>
      <c r="GIZ1" s="46" t="s">
        <v>5007</v>
      </c>
      <c r="GJA1" s="46" t="s">
        <v>5008</v>
      </c>
      <c r="GJB1" s="46" t="s">
        <v>5009</v>
      </c>
      <c r="GJC1" s="46" t="s">
        <v>5010</v>
      </c>
      <c r="GJD1" s="46" t="s">
        <v>5011</v>
      </c>
      <c r="GJE1" s="46" t="s">
        <v>5012</v>
      </c>
      <c r="GJF1" s="46" t="s">
        <v>5013</v>
      </c>
      <c r="GJG1" s="46" t="s">
        <v>5014</v>
      </c>
      <c r="GJH1" s="46" t="s">
        <v>5015</v>
      </c>
      <c r="GJI1" s="46" t="s">
        <v>5016</v>
      </c>
      <c r="GJJ1" s="46" t="s">
        <v>5017</v>
      </c>
      <c r="GJK1" s="46" t="s">
        <v>5018</v>
      </c>
      <c r="GJL1" s="46" t="s">
        <v>5019</v>
      </c>
      <c r="GJM1" s="46" t="s">
        <v>5020</v>
      </c>
      <c r="GJN1" s="46" t="s">
        <v>5021</v>
      </c>
      <c r="GJO1" s="46" t="s">
        <v>5022</v>
      </c>
      <c r="GJP1" s="46" t="s">
        <v>5023</v>
      </c>
      <c r="GJQ1" s="46" t="s">
        <v>5024</v>
      </c>
      <c r="GJR1" s="46" t="s">
        <v>5025</v>
      </c>
      <c r="GJS1" s="46" t="s">
        <v>5026</v>
      </c>
      <c r="GJT1" s="46" t="s">
        <v>5027</v>
      </c>
      <c r="GJU1" s="46" t="s">
        <v>5028</v>
      </c>
      <c r="GJV1" s="46" t="s">
        <v>5029</v>
      </c>
      <c r="GJW1" s="46" t="s">
        <v>5030</v>
      </c>
      <c r="GJX1" s="46" t="s">
        <v>5031</v>
      </c>
      <c r="GJY1" s="46" t="s">
        <v>5032</v>
      </c>
      <c r="GJZ1" s="46" t="s">
        <v>5033</v>
      </c>
      <c r="GKA1" s="46" t="s">
        <v>5034</v>
      </c>
      <c r="GKB1" s="46" t="s">
        <v>5035</v>
      </c>
      <c r="GKC1" s="46" t="s">
        <v>5036</v>
      </c>
      <c r="GKD1" s="46" t="s">
        <v>5037</v>
      </c>
      <c r="GKE1" s="46" t="s">
        <v>5038</v>
      </c>
      <c r="GKF1" s="46" t="s">
        <v>5039</v>
      </c>
      <c r="GKG1" s="46" t="s">
        <v>5040</v>
      </c>
      <c r="GKH1" s="46" t="s">
        <v>5041</v>
      </c>
      <c r="GKI1" s="46" t="s">
        <v>5042</v>
      </c>
      <c r="GKJ1" s="46" t="s">
        <v>5043</v>
      </c>
      <c r="GKK1" s="46" t="s">
        <v>5044</v>
      </c>
      <c r="GKL1" s="46" t="s">
        <v>5045</v>
      </c>
      <c r="GKM1" s="46" t="s">
        <v>5046</v>
      </c>
      <c r="GKN1" s="46" t="s">
        <v>5047</v>
      </c>
      <c r="GKO1" s="46" t="s">
        <v>5048</v>
      </c>
      <c r="GKP1" s="46" t="s">
        <v>5049</v>
      </c>
      <c r="GKQ1" s="46" t="s">
        <v>5050</v>
      </c>
      <c r="GKR1" s="46" t="s">
        <v>5051</v>
      </c>
      <c r="GKS1" s="46" t="s">
        <v>5052</v>
      </c>
      <c r="GKT1" s="46" t="s">
        <v>5053</v>
      </c>
      <c r="GKU1" s="46" t="s">
        <v>5054</v>
      </c>
      <c r="GKV1" s="46" t="s">
        <v>5055</v>
      </c>
      <c r="GKW1" s="46" t="s">
        <v>5056</v>
      </c>
      <c r="GKX1" s="46" t="s">
        <v>5057</v>
      </c>
      <c r="GKY1" s="46" t="s">
        <v>5058</v>
      </c>
      <c r="GKZ1" s="46" t="s">
        <v>5059</v>
      </c>
      <c r="GLA1" s="46" t="s">
        <v>5060</v>
      </c>
      <c r="GLB1" s="46" t="s">
        <v>5061</v>
      </c>
      <c r="GLC1" s="46" t="s">
        <v>5062</v>
      </c>
      <c r="GLD1" s="46" t="s">
        <v>5063</v>
      </c>
      <c r="GLE1" s="46" t="s">
        <v>5064</v>
      </c>
      <c r="GLF1" s="46" t="s">
        <v>5065</v>
      </c>
      <c r="GLG1" s="46" t="s">
        <v>5066</v>
      </c>
      <c r="GLH1" s="46" t="s">
        <v>5067</v>
      </c>
      <c r="GLI1" s="46" t="s">
        <v>5068</v>
      </c>
      <c r="GLJ1" s="46" t="s">
        <v>5069</v>
      </c>
      <c r="GLK1" s="46" t="s">
        <v>5070</v>
      </c>
      <c r="GLL1" s="46" t="s">
        <v>5071</v>
      </c>
      <c r="GLM1" s="46" t="s">
        <v>5072</v>
      </c>
      <c r="GLN1" s="46" t="s">
        <v>5073</v>
      </c>
      <c r="GLO1" s="46" t="s">
        <v>5074</v>
      </c>
      <c r="GLP1" s="46" t="s">
        <v>5075</v>
      </c>
      <c r="GLQ1" s="46" t="s">
        <v>5076</v>
      </c>
      <c r="GLR1" s="46" t="s">
        <v>5077</v>
      </c>
      <c r="GLS1" s="46" t="s">
        <v>5078</v>
      </c>
      <c r="GLT1" s="46" t="s">
        <v>5079</v>
      </c>
      <c r="GLU1" s="46" t="s">
        <v>5080</v>
      </c>
      <c r="GLV1" s="46" t="s">
        <v>5081</v>
      </c>
      <c r="GLW1" s="46" t="s">
        <v>5082</v>
      </c>
      <c r="GLX1" s="46" t="s">
        <v>5083</v>
      </c>
      <c r="GLY1" s="46" t="s">
        <v>5084</v>
      </c>
      <c r="GLZ1" s="46" t="s">
        <v>5085</v>
      </c>
      <c r="GMA1" s="46" t="s">
        <v>5086</v>
      </c>
      <c r="GMB1" s="46" t="s">
        <v>5087</v>
      </c>
      <c r="GMC1" s="46" t="s">
        <v>5088</v>
      </c>
      <c r="GMD1" s="46" t="s">
        <v>5089</v>
      </c>
      <c r="GME1" s="46" t="s">
        <v>5090</v>
      </c>
      <c r="GMF1" s="46" t="s">
        <v>5091</v>
      </c>
      <c r="GMG1" s="46" t="s">
        <v>5092</v>
      </c>
      <c r="GMH1" s="46" t="s">
        <v>5093</v>
      </c>
      <c r="GMI1" s="46" t="s">
        <v>5094</v>
      </c>
      <c r="GMJ1" s="46" t="s">
        <v>5095</v>
      </c>
      <c r="GMK1" s="46" t="s">
        <v>5096</v>
      </c>
      <c r="GML1" s="46" t="s">
        <v>5097</v>
      </c>
      <c r="GMM1" s="46" t="s">
        <v>5098</v>
      </c>
      <c r="GMN1" s="46" t="s">
        <v>5099</v>
      </c>
      <c r="GMO1" s="46" t="s">
        <v>5100</v>
      </c>
      <c r="GMP1" s="46" t="s">
        <v>5101</v>
      </c>
      <c r="GMQ1" s="46" t="s">
        <v>5102</v>
      </c>
      <c r="GMR1" s="46" t="s">
        <v>5103</v>
      </c>
      <c r="GMS1" s="46" t="s">
        <v>5104</v>
      </c>
      <c r="GMT1" s="46" t="s">
        <v>5105</v>
      </c>
      <c r="GMU1" s="46" t="s">
        <v>5106</v>
      </c>
      <c r="GMV1" s="46" t="s">
        <v>5107</v>
      </c>
      <c r="GMW1" s="46" t="s">
        <v>5108</v>
      </c>
      <c r="GMX1" s="46" t="s">
        <v>5109</v>
      </c>
      <c r="GMY1" s="46" t="s">
        <v>5110</v>
      </c>
      <c r="GMZ1" s="46" t="s">
        <v>5111</v>
      </c>
      <c r="GNA1" s="46" t="s">
        <v>5112</v>
      </c>
      <c r="GNB1" s="46" t="s">
        <v>5113</v>
      </c>
      <c r="GNC1" s="46" t="s">
        <v>5114</v>
      </c>
      <c r="GND1" s="46" t="s">
        <v>5115</v>
      </c>
      <c r="GNE1" s="46" t="s">
        <v>5116</v>
      </c>
      <c r="GNF1" s="46" t="s">
        <v>5117</v>
      </c>
      <c r="GNG1" s="46" t="s">
        <v>5118</v>
      </c>
      <c r="GNH1" s="46" t="s">
        <v>5119</v>
      </c>
      <c r="GNI1" s="46" t="s">
        <v>5120</v>
      </c>
      <c r="GNJ1" s="46" t="s">
        <v>5121</v>
      </c>
      <c r="GNK1" s="46" t="s">
        <v>5122</v>
      </c>
      <c r="GNL1" s="46" t="s">
        <v>5123</v>
      </c>
      <c r="GNM1" s="46" t="s">
        <v>5124</v>
      </c>
      <c r="GNN1" s="46" t="s">
        <v>5125</v>
      </c>
      <c r="GNO1" s="46" t="s">
        <v>5126</v>
      </c>
      <c r="GNP1" s="46" t="s">
        <v>5127</v>
      </c>
      <c r="GNQ1" s="46" t="s">
        <v>5128</v>
      </c>
      <c r="GNR1" s="46" t="s">
        <v>5129</v>
      </c>
      <c r="GNS1" s="46" t="s">
        <v>5130</v>
      </c>
      <c r="GNT1" s="46" t="s">
        <v>5131</v>
      </c>
      <c r="GNU1" s="46" t="s">
        <v>5132</v>
      </c>
      <c r="GNV1" s="46" t="s">
        <v>5133</v>
      </c>
      <c r="GNW1" s="46" t="s">
        <v>5134</v>
      </c>
      <c r="GNX1" s="46" t="s">
        <v>5135</v>
      </c>
      <c r="GNY1" s="46" t="s">
        <v>5136</v>
      </c>
      <c r="GNZ1" s="46" t="s">
        <v>5137</v>
      </c>
      <c r="GOA1" s="46" t="s">
        <v>5138</v>
      </c>
      <c r="GOB1" s="46" t="s">
        <v>5139</v>
      </c>
      <c r="GOC1" s="46" t="s">
        <v>5140</v>
      </c>
      <c r="GOD1" s="46" t="s">
        <v>5141</v>
      </c>
      <c r="GOE1" s="46" t="s">
        <v>5142</v>
      </c>
      <c r="GOF1" s="46" t="s">
        <v>5143</v>
      </c>
      <c r="GOG1" s="46" t="s">
        <v>5144</v>
      </c>
      <c r="GOH1" s="46" t="s">
        <v>5145</v>
      </c>
      <c r="GOI1" s="46" t="s">
        <v>5146</v>
      </c>
      <c r="GOJ1" s="46" t="s">
        <v>5147</v>
      </c>
      <c r="GOK1" s="46" t="s">
        <v>5148</v>
      </c>
      <c r="GOL1" s="46" t="s">
        <v>5149</v>
      </c>
      <c r="GOM1" s="46" t="s">
        <v>5150</v>
      </c>
      <c r="GON1" s="46" t="s">
        <v>5151</v>
      </c>
      <c r="GOO1" s="46" t="s">
        <v>5152</v>
      </c>
      <c r="GOP1" s="46" t="s">
        <v>5153</v>
      </c>
      <c r="GOQ1" s="46" t="s">
        <v>5154</v>
      </c>
      <c r="GOR1" s="46" t="s">
        <v>5155</v>
      </c>
      <c r="GOS1" s="46" t="s">
        <v>5156</v>
      </c>
      <c r="GOT1" s="46" t="s">
        <v>5157</v>
      </c>
      <c r="GOU1" s="46" t="s">
        <v>5158</v>
      </c>
      <c r="GOV1" s="46" t="s">
        <v>5159</v>
      </c>
      <c r="GOW1" s="46" t="s">
        <v>5160</v>
      </c>
      <c r="GOX1" s="46" t="s">
        <v>5161</v>
      </c>
      <c r="GOY1" s="46" t="s">
        <v>5162</v>
      </c>
      <c r="GOZ1" s="46" t="s">
        <v>5163</v>
      </c>
      <c r="GPA1" s="46" t="s">
        <v>5164</v>
      </c>
      <c r="GPB1" s="46" t="s">
        <v>5165</v>
      </c>
      <c r="GPC1" s="46" t="s">
        <v>5166</v>
      </c>
      <c r="GPD1" s="46" t="s">
        <v>5167</v>
      </c>
      <c r="GPE1" s="46" t="s">
        <v>5168</v>
      </c>
      <c r="GPF1" s="46" t="s">
        <v>5169</v>
      </c>
      <c r="GPG1" s="46" t="s">
        <v>5170</v>
      </c>
      <c r="GPH1" s="46" t="s">
        <v>5171</v>
      </c>
      <c r="GPI1" s="46" t="s">
        <v>5172</v>
      </c>
      <c r="GPJ1" s="46" t="s">
        <v>5173</v>
      </c>
      <c r="GPK1" s="46" t="s">
        <v>5174</v>
      </c>
      <c r="GPL1" s="46" t="s">
        <v>5175</v>
      </c>
      <c r="GPM1" s="46" t="s">
        <v>5176</v>
      </c>
      <c r="GPN1" s="46" t="s">
        <v>5177</v>
      </c>
      <c r="GPO1" s="46" t="s">
        <v>5178</v>
      </c>
      <c r="GPP1" s="46" t="s">
        <v>5179</v>
      </c>
      <c r="GPQ1" s="46" t="s">
        <v>5180</v>
      </c>
      <c r="GPR1" s="46" t="s">
        <v>5181</v>
      </c>
      <c r="GPS1" s="46" t="s">
        <v>5182</v>
      </c>
      <c r="GPT1" s="46" t="s">
        <v>5183</v>
      </c>
      <c r="GPU1" s="46" t="s">
        <v>5184</v>
      </c>
      <c r="GPV1" s="46" t="s">
        <v>5185</v>
      </c>
      <c r="GPW1" s="46" t="s">
        <v>5186</v>
      </c>
      <c r="GPX1" s="46" t="s">
        <v>5187</v>
      </c>
      <c r="GPY1" s="46" t="s">
        <v>5188</v>
      </c>
      <c r="GPZ1" s="46" t="s">
        <v>5189</v>
      </c>
      <c r="GQA1" s="46" t="s">
        <v>5190</v>
      </c>
      <c r="GQB1" s="46" t="s">
        <v>5191</v>
      </c>
      <c r="GQC1" s="46" t="s">
        <v>5192</v>
      </c>
      <c r="GQD1" s="46" t="s">
        <v>5193</v>
      </c>
      <c r="GQE1" s="46" t="s">
        <v>5194</v>
      </c>
      <c r="GQF1" s="46" t="s">
        <v>5195</v>
      </c>
      <c r="GQG1" s="46" t="s">
        <v>5196</v>
      </c>
      <c r="GQH1" s="46" t="s">
        <v>5197</v>
      </c>
      <c r="GQI1" s="46" t="s">
        <v>5198</v>
      </c>
      <c r="GQJ1" s="46" t="s">
        <v>5199</v>
      </c>
      <c r="GQK1" s="46" t="s">
        <v>5200</v>
      </c>
      <c r="GQL1" s="46" t="s">
        <v>5201</v>
      </c>
      <c r="GQM1" s="46" t="s">
        <v>5202</v>
      </c>
      <c r="GQN1" s="46" t="s">
        <v>5203</v>
      </c>
      <c r="GQO1" s="46" t="s">
        <v>5204</v>
      </c>
      <c r="GQP1" s="46" t="s">
        <v>5205</v>
      </c>
      <c r="GQQ1" s="46" t="s">
        <v>5206</v>
      </c>
      <c r="GQR1" s="46" t="s">
        <v>5207</v>
      </c>
      <c r="GQS1" s="46" t="s">
        <v>5208</v>
      </c>
      <c r="GQT1" s="46" t="s">
        <v>5209</v>
      </c>
      <c r="GQU1" s="46" t="s">
        <v>5210</v>
      </c>
      <c r="GQV1" s="46" t="s">
        <v>5211</v>
      </c>
      <c r="GQW1" s="46" t="s">
        <v>5212</v>
      </c>
      <c r="GQX1" s="46" t="s">
        <v>5213</v>
      </c>
      <c r="GQY1" s="46" t="s">
        <v>5214</v>
      </c>
      <c r="GQZ1" s="46" t="s">
        <v>5215</v>
      </c>
      <c r="GRA1" s="46" t="s">
        <v>5216</v>
      </c>
      <c r="GRB1" s="46" t="s">
        <v>5217</v>
      </c>
      <c r="GRC1" s="46" t="s">
        <v>5218</v>
      </c>
      <c r="GRD1" s="46" t="s">
        <v>5219</v>
      </c>
      <c r="GRE1" s="46" t="s">
        <v>5220</v>
      </c>
      <c r="GRF1" s="46" t="s">
        <v>5221</v>
      </c>
      <c r="GRG1" s="46" t="s">
        <v>5222</v>
      </c>
      <c r="GRH1" s="46" t="s">
        <v>5223</v>
      </c>
      <c r="GRI1" s="46" t="s">
        <v>5224</v>
      </c>
      <c r="GRJ1" s="46" t="s">
        <v>5225</v>
      </c>
      <c r="GRK1" s="46" t="s">
        <v>5226</v>
      </c>
      <c r="GRL1" s="46" t="s">
        <v>5227</v>
      </c>
      <c r="GRM1" s="46" t="s">
        <v>5228</v>
      </c>
      <c r="GRN1" s="46" t="s">
        <v>5229</v>
      </c>
      <c r="GRO1" s="46" t="s">
        <v>5230</v>
      </c>
      <c r="GRP1" s="46" t="s">
        <v>5231</v>
      </c>
      <c r="GRQ1" s="46" t="s">
        <v>5232</v>
      </c>
      <c r="GRR1" s="46" t="s">
        <v>5233</v>
      </c>
      <c r="GRS1" s="46" t="s">
        <v>5234</v>
      </c>
      <c r="GRT1" s="46" t="s">
        <v>5235</v>
      </c>
      <c r="GRU1" s="46" t="s">
        <v>5236</v>
      </c>
      <c r="GRV1" s="46" t="s">
        <v>5237</v>
      </c>
      <c r="GRW1" s="46" t="s">
        <v>5238</v>
      </c>
      <c r="GRX1" s="46" t="s">
        <v>5239</v>
      </c>
      <c r="GRY1" s="46" t="s">
        <v>5240</v>
      </c>
      <c r="GRZ1" s="46" t="s">
        <v>5241</v>
      </c>
      <c r="GSA1" s="46" t="s">
        <v>5242</v>
      </c>
      <c r="GSB1" s="46" t="s">
        <v>5243</v>
      </c>
      <c r="GSC1" s="46" t="s">
        <v>5244</v>
      </c>
      <c r="GSD1" s="46" t="s">
        <v>5245</v>
      </c>
      <c r="GSE1" s="46" t="s">
        <v>5246</v>
      </c>
      <c r="GSF1" s="46" t="s">
        <v>5247</v>
      </c>
      <c r="GSG1" s="46" t="s">
        <v>5248</v>
      </c>
      <c r="GSH1" s="46" t="s">
        <v>5249</v>
      </c>
      <c r="GSI1" s="46" t="s">
        <v>5250</v>
      </c>
      <c r="GSJ1" s="46" t="s">
        <v>5251</v>
      </c>
      <c r="GSK1" s="46" t="s">
        <v>5252</v>
      </c>
      <c r="GSL1" s="46" t="s">
        <v>5253</v>
      </c>
      <c r="GSM1" s="46" t="s">
        <v>5254</v>
      </c>
      <c r="GSN1" s="46" t="s">
        <v>5255</v>
      </c>
      <c r="GSO1" s="46" t="s">
        <v>5256</v>
      </c>
      <c r="GSP1" s="46" t="s">
        <v>5257</v>
      </c>
      <c r="GSQ1" s="46" t="s">
        <v>5258</v>
      </c>
      <c r="GSR1" s="46" t="s">
        <v>5259</v>
      </c>
      <c r="GSS1" s="46" t="s">
        <v>5260</v>
      </c>
      <c r="GST1" s="46" t="s">
        <v>5261</v>
      </c>
      <c r="GSU1" s="46" t="s">
        <v>5262</v>
      </c>
      <c r="GSV1" s="46" t="s">
        <v>5263</v>
      </c>
      <c r="GSW1" s="46" t="s">
        <v>5264</v>
      </c>
      <c r="GSX1" s="46" t="s">
        <v>5265</v>
      </c>
      <c r="GSY1" s="46" t="s">
        <v>5266</v>
      </c>
      <c r="GSZ1" s="46" t="s">
        <v>5267</v>
      </c>
      <c r="GTA1" s="46" t="s">
        <v>5268</v>
      </c>
      <c r="GTB1" s="46" t="s">
        <v>5269</v>
      </c>
      <c r="GTC1" s="46" t="s">
        <v>5270</v>
      </c>
      <c r="GTD1" s="46" t="s">
        <v>5271</v>
      </c>
      <c r="GTE1" s="46" t="s">
        <v>5272</v>
      </c>
      <c r="GTF1" s="46" t="s">
        <v>5273</v>
      </c>
      <c r="GTG1" s="46" t="s">
        <v>5274</v>
      </c>
      <c r="GTH1" s="46" t="s">
        <v>5275</v>
      </c>
      <c r="GTI1" s="46" t="s">
        <v>5276</v>
      </c>
      <c r="GTJ1" s="46" t="s">
        <v>5277</v>
      </c>
      <c r="GTK1" s="46" t="s">
        <v>5278</v>
      </c>
      <c r="GTL1" s="46" t="s">
        <v>5279</v>
      </c>
      <c r="GTM1" s="46" t="s">
        <v>5280</v>
      </c>
      <c r="GTN1" s="46" t="s">
        <v>5281</v>
      </c>
      <c r="GTO1" s="46" t="s">
        <v>5282</v>
      </c>
      <c r="GTP1" s="46" t="s">
        <v>5283</v>
      </c>
      <c r="GTQ1" s="46" t="s">
        <v>5284</v>
      </c>
      <c r="GTR1" s="46" t="s">
        <v>5285</v>
      </c>
      <c r="GTS1" s="46" t="s">
        <v>5286</v>
      </c>
      <c r="GTT1" s="46" t="s">
        <v>5287</v>
      </c>
      <c r="GTU1" s="46" t="s">
        <v>5288</v>
      </c>
      <c r="GTV1" s="46" t="s">
        <v>5289</v>
      </c>
      <c r="GTW1" s="46" t="s">
        <v>5290</v>
      </c>
      <c r="GTX1" s="46" t="s">
        <v>5291</v>
      </c>
      <c r="GTY1" s="46" t="s">
        <v>5292</v>
      </c>
      <c r="GTZ1" s="46" t="s">
        <v>5293</v>
      </c>
      <c r="GUA1" s="46" t="s">
        <v>5294</v>
      </c>
      <c r="GUB1" s="46" t="s">
        <v>5295</v>
      </c>
      <c r="GUC1" s="46" t="s">
        <v>5296</v>
      </c>
      <c r="GUD1" s="46" t="s">
        <v>5297</v>
      </c>
      <c r="GUE1" s="46" t="s">
        <v>5298</v>
      </c>
      <c r="GUF1" s="46" t="s">
        <v>5299</v>
      </c>
      <c r="GUG1" s="46" t="s">
        <v>5300</v>
      </c>
      <c r="GUH1" s="46" t="s">
        <v>5301</v>
      </c>
      <c r="GUI1" s="46" t="s">
        <v>5302</v>
      </c>
      <c r="GUJ1" s="46" t="s">
        <v>5303</v>
      </c>
      <c r="GUK1" s="46" t="s">
        <v>5304</v>
      </c>
      <c r="GUL1" s="46" t="s">
        <v>5305</v>
      </c>
      <c r="GUM1" s="46" t="s">
        <v>5306</v>
      </c>
      <c r="GUN1" s="46" t="s">
        <v>5307</v>
      </c>
      <c r="GUO1" s="46" t="s">
        <v>5308</v>
      </c>
      <c r="GUP1" s="46" t="s">
        <v>5309</v>
      </c>
      <c r="GUQ1" s="46" t="s">
        <v>5310</v>
      </c>
      <c r="GUR1" s="46" t="s">
        <v>5311</v>
      </c>
      <c r="GUS1" s="46" t="s">
        <v>5312</v>
      </c>
      <c r="GUT1" s="46" t="s">
        <v>5313</v>
      </c>
      <c r="GUU1" s="46" t="s">
        <v>5314</v>
      </c>
      <c r="GUV1" s="46" t="s">
        <v>5315</v>
      </c>
      <c r="GUW1" s="46" t="s">
        <v>5316</v>
      </c>
      <c r="GUX1" s="46" t="s">
        <v>5317</v>
      </c>
      <c r="GUY1" s="46" t="s">
        <v>5318</v>
      </c>
      <c r="GUZ1" s="46" t="s">
        <v>5319</v>
      </c>
      <c r="GVA1" s="46" t="s">
        <v>5320</v>
      </c>
      <c r="GVB1" s="46" t="s">
        <v>5321</v>
      </c>
      <c r="GVC1" s="46" t="s">
        <v>5322</v>
      </c>
      <c r="GVD1" s="46" t="s">
        <v>5323</v>
      </c>
      <c r="GVE1" s="46" t="s">
        <v>5324</v>
      </c>
      <c r="GVF1" s="46" t="s">
        <v>5325</v>
      </c>
      <c r="GVG1" s="46" t="s">
        <v>5326</v>
      </c>
      <c r="GVH1" s="46" t="s">
        <v>5327</v>
      </c>
      <c r="GVI1" s="46" t="s">
        <v>5328</v>
      </c>
      <c r="GVJ1" s="46" t="s">
        <v>5329</v>
      </c>
      <c r="GVK1" s="46" t="s">
        <v>5330</v>
      </c>
      <c r="GVL1" s="46" t="s">
        <v>5331</v>
      </c>
      <c r="GVM1" s="46" t="s">
        <v>5332</v>
      </c>
      <c r="GVN1" s="46" t="s">
        <v>5333</v>
      </c>
      <c r="GVO1" s="46" t="s">
        <v>5334</v>
      </c>
      <c r="GVP1" s="46" t="s">
        <v>5335</v>
      </c>
      <c r="GVQ1" s="46" t="s">
        <v>5336</v>
      </c>
      <c r="GVR1" s="46" t="s">
        <v>5337</v>
      </c>
      <c r="GVS1" s="46" t="s">
        <v>5338</v>
      </c>
      <c r="GVT1" s="46" t="s">
        <v>5339</v>
      </c>
      <c r="GVU1" s="46" t="s">
        <v>5340</v>
      </c>
      <c r="GVV1" s="46" t="s">
        <v>5341</v>
      </c>
      <c r="GVW1" s="46" t="s">
        <v>5342</v>
      </c>
      <c r="GVX1" s="46" t="s">
        <v>5343</v>
      </c>
      <c r="GVY1" s="46" t="s">
        <v>5344</v>
      </c>
      <c r="GVZ1" s="46" t="s">
        <v>5345</v>
      </c>
      <c r="GWA1" s="46" t="s">
        <v>5346</v>
      </c>
      <c r="GWB1" s="46" t="s">
        <v>5347</v>
      </c>
      <c r="GWC1" s="46" t="s">
        <v>5348</v>
      </c>
      <c r="GWD1" s="46" t="s">
        <v>5349</v>
      </c>
      <c r="GWE1" s="46" t="s">
        <v>5350</v>
      </c>
      <c r="GWF1" s="46" t="s">
        <v>5351</v>
      </c>
      <c r="GWG1" s="46" t="s">
        <v>5352</v>
      </c>
      <c r="GWH1" s="46" t="s">
        <v>5353</v>
      </c>
      <c r="GWI1" s="46" t="s">
        <v>5354</v>
      </c>
      <c r="GWJ1" s="46" t="s">
        <v>5355</v>
      </c>
      <c r="GWK1" s="46" t="s">
        <v>5356</v>
      </c>
      <c r="GWL1" s="46" t="s">
        <v>5357</v>
      </c>
      <c r="GWM1" s="46" t="s">
        <v>5358</v>
      </c>
      <c r="GWN1" s="46" t="s">
        <v>5359</v>
      </c>
      <c r="GWO1" s="46" t="s">
        <v>5360</v>
      </c>
      <c r="GWP1" s="46" t="s">
        <v>5361</v>
      </c>
      <c r="GWQ1" s="46" t="s">
        <v>5362</v>
      </c>
      <c r="GWR1" s="46" t="s">
        <v>5363</v>
      </c>
      <c r="GWS1" s="46" t="s">
        <v>5364</v>
      </c>
      <c r="GWT1" s="46" t="s">
        <v>5365</v>
      </c>
      <c r="GWU1" s="46" t="s">
        <v>5366</v>
      </c>
      <c r="GWV1" s="46" t="s">
        <v>5367</v>
      </c>
      <c r="GWW1" s="46" t="s">
        <v>5368</v>
      </c>
      <c r="GWX1" s="46" t="s">
        <v>5369</v>
      </c>
      <c r="GWY1" s="46" t="s">
        <v>5370</v>
      </c>
      <c r="GWZ1" s="46" t="s">
        <v>5371</v>
      </c>
      <c r="GXA1" s="46" t="s">
        <v>5372</v>
      </c>
      <c r="GXB1" s="46" t="s">
        <v>5373</v>
      </c>
      <c r="GXC1" s="46" t="s">
        <v>5374</v>
      </c>
      <c r="GXD1" s="46" t="s">
        <v>5375</v>
      </c>
      <c r="GXE1" s="46" t="s">
        <v>5376</v>
      </c>
      <c r="GXF1" s="46" t="s">
        <v>5377</v>
      </c>
      <c r="GXG1" s="46" t="s">
        <v>5378</v>
      </c>
      <c r="GXH1" s="46" t="s">
        <v>5379</v>
      </c>
      <c r="GXI1" s="46" t="s">
        <v>5380</v>
      </c>
      <c r="GXJ1" s="46" t="s">
        <v>5381</v>
      </c>
      <c r="GXK1" s="46" t="s">
        <v>5382</v>
      </c>
      <c r="GXL1" s="46" t="s">
        <v>5383</v>
      </c>
      <c r="GXM1" s="46" t="s">
        <v>5384</v>
      </c>
      <c r="GXN1" s="46" t="s">
        <v>5385</v>
      </c>
      <c r="GXO1" s="46" t="s">
        <v>5386</v>
      </c>
      <c r="GXP1" s="46" t="s">
        <v>5387</v>
      </c>
      <c r="GXQ1" s="46" t="s">
        <v>5388</v>
      </c>
      <c r="GXR1" s="46" t="s">
        <v>5389</v>
      </c>
      <c r="GXS1" s="46" t="s">
        <v>5390</v>
      </c>
      <c r="GXT1" s="46" t="s">
        <v>5391</v>
      </c>
      <c r="GXU1" s="46" t="s">
        <v>5392</v>
      </c>
      <c r="GXV1" s="46" t="s">
        <v>5393</v>
      </c>
      <c r="GXW1" s="46" t="s">
        <v>5394</v>
      </c>
      <c r="GXX1" s="46" t="s">
        <v>5395</v>
      </c>
      <c r="GXY1" s="46" t="s">
        <v>5396</v>
      </c>
      <c r="GXZ1" s="46" t="s">
        <v>5397</v>
      </c>
      <c r="GYA1" s="46" t="s">
        <v>5398</v>
      </c>
      <c r="GYB1" s="46" t="s">
        <v>5399</v>
      </c>
      <c r="GYC1" s="46" t="s">
        <v>5400</v>
      </c>
      <c r="GYD1" s="46" t="s">
        <v>5401</v>
      </c>
      <c r="GYE1" s="46" t="s">
        <v>5402</v>
      </c>
      <c r="GYF1" s="46" t="s">
        <v>5403</v>
      </c>
      <c r="GYG1" s="46" t="s">
        <v>5404</v>
      </c>
      <c r="GYH1" s="46" t="s">
        <v>5405</v>
      </c>
      <c r="GYI1" s="46" t="s">
        <v>5406</v>
      </c>
      <c r="GYJ1" s="46" t="s">
        <v>5407</v>
      </c>
      <c r="GYK1" s="46" t="s">
        <v>5408</v>
      </c>
      <c r="GYL1" s="46" t="s">
        <v>5409</v>
      </c>
      <c r="GYM1" s="46" t="s">
        <v>5410</v>
      </c>
      <c r="GYN1" s="46" t="s">
        <v>5411</v>
      </c>
      <c r="GYO1" s="46" t="s">
        <v>5412</v>
      </c>
      <c r="GYP1" s="46" t="s">
        <v>5413</v>
      </c>
      <c r="GYQ1" s="46" t="s">
        <v>5414</v>
      </c>
      <c r="GYR1" s="46" t="s">
        <v>5415</v>
      </c>
      <c r="GYS1" s="46" t="s">
        <v>5416</v>
      </c>
      <c r="GYT1" s="46" t="s">
        <v>5417</v>
      </c>
      <c r="GYU1" s="46" t="s">
        <v>5418</v>
      </c>
      <c r="GYV1" s="46" t="s">
        <v>5419</v>
      </c>
      <c r="GYW1" s="46" t="s">
        <v>5420</v>
      </c>
      <c r="GYX1" s="46" t="s">
        <v>5421</v>
      </c>
      <c r="GYY1" s="46" t="s">
        <v>5422</v>
      </c>
      <c r="GYZ1" s="46" t="s">
        <v>5423</v>
      </c>
      <c r="GZA1" s="46" t="s">
        <v>5424</v>
      </c>
      <c r="GZB1" s="46" t="s">
        <v>5425</v>
      </c>
      <c r="GZC1" s="46" t="s">
        <v>5426</v>
      </c>
      <c r="GZD1" s="46" t="s">
        <v>5427</v>
      </c>
      <c r="GZE1" s="46" t="s">
        <v>5428</v>
      </c>
      <c r="GZF1" s="46" t="s">
        <v>5429</v>
      </c>
      <c r="GZG1" s="46" t="s">
        <v>5430</v>
      </c>
      <c r="GZH1" s="46" t="s">
        <v>5431</v>
      </c>
      <c r="GZI1" s="46" t="s">
        <v>5432</v>
      </c>
      <c r="GZJ1" s="46" t="s">
        <v>5433</v>
      </c>
      <c r="GZK1" s="46" t="s">
        <v>5434</v>
      </c>
      <c r="GZL1" s="46" t="s">
        <v>5435</v>
      </c>
      <c r="GZM1" s="46" t="s">
        <v>5436</v>
      </c>
      <c r="GZN1" s="46" t="s">
        <v>5437</v>
      </c>
      <c r="GZO1" s="46" t="s">
        <v>5438</v>
      </c>
      <c r="GZP1" s="46" t="s">
        <v>5439</v>
      </c>
      <c r="GZQ1" s="46" t="s">
        <v>5440</v>
      </c>
      <c r="GZR1" s="46" t="s">
        <v>5441</v>
      </c>
      <c r="GZS1" s="46" t="s">
        <v>5442</v>
      </c>
      <c r="GZT1" s="46" t="s">
        <v>5443</v>
      </c>
      <c r="GZU1" s="46" t="s">
        <v>5444</v>
      </c>
      <c r="GZV1" s="46" t="s">
        <v>5445</v>
      </c>
      <c r="GZW1" s="46" t="s">
        <v>5446</v>
      </c>
      <c r="GZX1" s="46" t="s">
        <v>5447</v>
      </c>
      <c r="GZY1" s="46" t="s">
        <v>5448</v>
      </c>
      <c r="GZZ1" s="46" t="s">
        <v>5449</v>
      </c>
      <c r="HAA1" s="46" t="s">
        <v>5450</v>
      </c>
      <c r="HAB1" s="46" t="s">
        <v>5451</v>
      </c>
      <c r="HAC1" s="46" t="s">
        <v>5452</v>
      </c>
      <c r="HAD1" s="46" t="s">
        <v>5453</v>
      </c>
      <c r="HAE1" s="46" t="s">
        <v>5454</v>
      </c>
      <c r="HAF1" s="46" t="s">
        <v>5455</v>
      </c>
      <c r="HAG1" s="46" t="s">
        <v>5456</v>
      </c>
      <c r="HAH1" s="46" t="s">
        <v>5457</v>
      </c>
      <c r="HAI1" s="46" t="s">
        <v>5458</v>
      </c>
      <c r="HAJ1" s="46" t="s">
        <v>5459</v>
      </c>
      <c r="HAK1" s="46" t="s">
        <v>5460</v>
      </c>
      <c r="HAL1" s="46" t="s">
        <v>5461</v>
      </c>
      <c r="HAM1" s="46" t="s">
        <v>5462</v>
      </c>
      <c r="HAN1" s="46" t="s">
        <v>5463</v>
      </c>
      <c r="HAO1" s="46" t="s">
        <v>5464</v>
      </c>
      <c r="HAP1" s="46" t="s">
        <v>5465</v>
      </c>
      <c r="HAQ1" s="46" t="s">
        <v>5466</v>
      </c>
      <c r="HAR1" s="46" t="s">
        <v>5467</v>
      </c>
      <c r="HAS1" s="46" t="s">
        <v>5468</v>
      </c>
      <c r="HAT1" s="46" t="s">
        <v>5469</v>
      </c>
      <c r="HAU1" s="46" t="s">
        <v>5470</v>
      </c>
      <c r="HAV1" s="46" t="s">
        <v>5471</v>
      </c>
      <c r="HAW1" s="46" t="s">
        <v>5472</v>
      </c>
      <c r="HAX1" s="46" t="s">
        <v>5473</v>
      </c>
      <c r="HAY1" s="46" t="s">
        <v>5474</v>
      </c>
      <c r="HAZ1" s="46" t="s">
        <v>5475</v>
      </c>
      <c r="HBA1" s="46" t="s">
        <v>5476</v>
      </c>
      <c r="HBB1" s="46" t="s">
        <v>5477</v>
      </c>
      <c r="HBC1" s="46" t="s">
        <v>5478</v>
      </c>
      <c r="HBD1" s="46" t="s">
        <v>5479</v>
      </c>
      <c r="HBE1" s="46" t="s">
        <v>5480</v>
      </c>
      <c r="HBF1" s="46" t="s">
        <v>5481</v>
      </c>
      <c r="HBG1" s="46" t="s">
        <v>5482</v>
      </c>
      <c r="HBH1" s="46" t="s">
        <v>5483</v>
      </c>
      <c r="HBI1" s="46" t="s">
        <v>5484</v>
      </c>
      <c r="HBJ1" s="46" t="s">
        <v>5485</v>
      </c>
      <c r="HBK1" s="46" t="s">
        <v>5486</v>
      </c>
      <c r="HBL1" s="46" t="s">
        <v>5487</v>
      </c>
      <c r="HBM1" s="46" t="s">
        <v>5488</v>
      </c>
      <c r="HBN1" s="46" t="s">
        <v>5489</v>
      </c>
      <c r="HBO1" s="46" t="s">
        <v>5490</v>
      </c>
      <c r="HBP1" s="46" t="s">
        <v>5491</v>
      </c>
      <c r="HBQ1" s="46" t="s">
        <v>5492</v>
      </c>
      <c r="HBR1" s="46" t="s">
        <v>5493</v>
      </c>
      <c r="HBS1" s="46" t="s">
        <v>5494</v>
      </c>
      <c r="HBT1" s="46" t="s">
        <v>5495</v>
      </c>
      <c r="HBU1" s="46" t="s">
        <v>5496</v>
      </c>
      <c r="HBV1" s="46" t="s">
        <v>5497</v>
      </c>
      <c r="HBW1" s="46" t="s">
        <v>5498</v>
      </c>
      <c r="HBX1" s="46" t="s">
        <v>5499</v>
      </c>
      <c r="HBY1" s="46" t="s">
        <v>5500</v>
      </c>
      <c r="HBZ1" s="46" t="s">
        <v>5501</v>
      </c>
      <c r="HCA1" s="46" t="s">
        <v>5502</v>
      </c>
      <c r="HCB1" s="46" t="s">
        <v>5503</v>
      </c>
      <c r="HCC1" s="46" t="s">
        <v>5504</v>
      </c>
      <c r="HCD1" s="46" t="s">
        <v>5505</v>
      </c>
      <c r="HCE1" s="46" t="s">
        <v>5506</v>
      </c>
      <c r="HCF1" s="46" t="s">
        <v>5507</v>
      </c>
      <c r="HCG1" s="46" t="s">
        <v>5508</v>
      </c>
      <c r="HCH1" s="46" t="s">
        <v>5509</v>
      </c>
      <c r="HCI1" s="46" t="s">
        <v>5510</v>
      </c>
      <c r="HCJ1" s="46" t="s">
        <v>5511</v>
      </c>
      <c r="HCK1" s="46" t="s">
        <v>5512</v>
      </c>
      <c r="HCL1" s="46" t="s">
        <v>5513</v>
      </c>
      <c r="HCM1" s="46" t="s">
        <v>5514</v>
      </c>
      <c r="HCN1" s="46" t="s">
        <v>5515</v>
      </c>
      <c r="HCO1" s="46" t="s">
        <v>5516</v>
      </c>
      <c r="HCP1" s="46" t="s">
        <v>5517</v>
      </c>
      <c r="HCQ1" s="46" t="s">
        <v>5518</v>
      </c>
      <c r="HCR1" s="46" t="s">
        <v>5519</v>
      </c>
      <c r="HCS1" s="46" t="s">
        <v>5520</v>
      </c>
      <c r="HCT1" s="46" t="s">
        <v>5521</v>
      </c>
      <c r="HCU1" s="46" t="s">
        <v>5522</v>
      </c>
      <c r="HCV1" s="46" t="s">
        <v>5523</v>
      </c>
      <c r="HCW1" s="46" t="s">
        <v>5524</v>
      </c>
      <c r="HCX1" s="46" t="s">
        <v>5525</v>
      </c>
      <c r="HCY1" s="46" t="s">
        <v>5526</v>
      </c>
      <c r="HCZ1" s="46" t="s">
        <v>5527</v>
      </c>
      <c r="HDA1" s="46" t="s">
        <v>5528</v>
      </c>
      <c r="HDB1" s="46" t="s">
        <v>5529</v>
      </c>
      <c r="HDC1" s="46" t="s">
        <v>5530</v>
      </c>
      <c r="HDD1" s="46" t="s">
        <v>5531</v>
      </c>
      <c r="HDE1" s="46" t="s">
        <v>5532</v>
      </c>
      <c r="HDF1" s="46" t="s">
        <v>5533</v>
      </c>
      <c r="HDG1" s="46" t="s">
        <v>5534</v>
      </c>
      <c r="HDH1" s="46" t="s">
        <v>5535</v>
      </c>
      <c r="HDI1" s="46" t="s">
        <v>5536</v>
      </c>
      <c r="HDJ1" s="46" t="s">
        <v>5537</v>
      </c>
      <c r="HDK1" s="46" t="s">
        <v>5538</v>
      </c>
      <c r="HDL1" s="46" t="s">
        <v>5539</v>
      </c>
      <c r="HDM1" s="46" t="s">
        <v>5540</v>
      </c>
      <c r="HDN1" s="46" t="s">
        <v>5541</v>
      </c>
      <c r="HDO1" s="46" t="s">
        <v>5542</v>
      </c>
      <c r="HDP1" s="46" t="s">
        <v>5543</v>
      </c>
      <c r="HDQ1" s="46" t="s">
        <v>5544</v>
      </c>
      <c r="HDR1" s="46" t="s">
        <v>5545</v>
      </c>
      <c r="HDS1" s="46" t="s">
        <v>5546</v>
      </c>
      <c r="HDT1" s="46" t="s">
        <v>5547</v>
      </c>
      <c r="HDU1" s="46" t="s">
        <v>5548</v>
      </c>
      <c r="HDV1" s="46" t="s">
        <v>5549</v>
      </c>
      <c r="HDW1" s="46" t="s">
        <v>5550</v>
      </c>
      <c r="HDX1" s="46" t="s">
        <v>5551</v>
      </c>
      <c r="HDY1" s="46" t="s">
        <v>5552</v>
      </c>
      <c r="HDZ1" s="46" t="s">
        <v>5553</v>
      </c>
      <c r="HEA1" s="46" t="s">
        <v>5554</v>
      </c>
      <c r="HEB1" s="46" t="s">
        <v>5555</v>
      </c>
      <c r="HEC1" s="46" t="s">
        <v>5556</v>
      </c>
      <c r="HED1" s="46" t="s">
        <v>5557</v>
      </c>
      <c r="HEE1" s="46" t="s">
        <v>5558</v>
      </c>
      <c r="HEF1" s="46" t="s">
        <v>5559</v>
      </c>
      <c r="HEG1" s="46" t="s">
        <v>5560</v>
      </c>
      <c r="HEH1" s="46" t="s">
        <v>5561</v>
      </c>
      <c r="HEI1" s="46" t="s">
        <v>5562</v>
      </c>
      <c r="HEJ1" s="46" t="s">
        <v>5563</v>
      </c>
      <c r="HEK1" s="46" t="s">
        <v>5564</v>
      </c>
      <c r="HEL1" s="46" t="s">
        <v>5565</v>
      </c>
      <c r="HEM1" s="46" t="s">
        <v>5566</v>
      </c>
      <c r="HEN1" s="46" t="s">
        <v>5567</v>
      </c>
      <c r="HEO1" s="46" t="s">
        <v>5568</v>
      </c>
      <c r="HEP1" s="46" t="s">
        <v>5569</v>
      </c>
      <c r="HEQ1" s="46" t="s">
        <v>5570</v>
      </c>
      <c r="HER1" s="46" t="s">
        <v>5571</v>
      </c>
      <c r="HES1" s="46" t="s">
        <v>5572</v>
      </c>
      <c r="HET1" s="46" t="s">
        <v>5573</v>
      </c>
      <c r="HEU1" s="46" t="s">
        <v>5574</v>
      </c>
      <c r="HEV1" s="46" t="s">
        <v>5575</v>
      </c>
      <c r="HEW1" s="46" t="s">
        <v>5576</v>
      </c>
      <c r="HEX1" s="46" t="s">
        <v>5577</v>
      </c>
      <c r="HEY1" s="46" t="s">
        <v>5578</v>
      </c>
      <c r="HEZ1" s="46" t="s">
        <v>5579</v>
      </c>
      <c r="HFA1" s="46" t="s">
        <v>5580</v>
      </c>
      <c r="HFB1" s="46" t="s">
        <v>5581</v>
      </c>
      <c r="HFC1" s="46" t="s">
        <v>5582</v>
      </c>
      <c r="HFD1" s="46" t="s">
        <v>5583</v>
      </c>
      <c r="HFE1" s="46" t="s">
        <v>5584</v>
      </c>
      <c r="HFF1" s="46" t="s">
        <v>5585</v>
      </c>
      <c r="HFG1" s="46" t="s">
        <v>5586</v>
      </c>
      <c r="HFH1" s="46" t="s">
        <v>5587</v>
      </c>
      <c r="HFI1" s="46" t="s">
        <v>5588</v>
      </c>
      <c r="HFJ1" s="46" t="s">
        <v>5589</v>
      </c>
      <c r="HFK1" s="46" t="s">
        <v>5590</v>
      </c>
      <c r="HFL1" s="46" t="s">
        <v>5591</v>
      </c>
      <c r="HFM1" s="46" t="s">
        <v>5592</v>
      </c>
      <c r="HFN1" s="46" t="s">
        <v>5593</v>
      </c>
      <c r="HFO1" s="46" t="s">
        <v>5594</v>
      </c>
      <c r="HFP1" s="46" t="s">
        <v>5595</v>
      </c>
      <c r="HFQ1" s="46" t="s">
        <v>5596</v>
      </c>
      <c r="HFR1" s="46" t="s">
        <v>5597</v>
      </c>
      <c r="HFS1" s="46" t="s">
        <v>5598</v>
      </c>
      <c r="HFT1" s="46" t="s">
        <v>5599</v>
      </c>
      <c r="HFU1" s="46" t="s">
        <v>5600</v>
      </c>
      <c r="HFV1" s="46" t="s">
        <v>5601</v>
      </c>
      <c r="HFW1" s="46" t="s">
        <v>5602</v>
      </c>
      <c r="HFX1" s="46" t="s">
        <v>5603</v>
      </c>
      <c r="HFY1" s="46" t="s">
        <v>5604</v>
      </c>
      <c r="HFZ1" s="46" t="s">
        <v>5605</v>
      </c>
      <c r="HGA1" s="46" t="s">
        <v>5606</v>
      </c>
      <c r="HGB1" s="46" t="s">
        <v>5607</v>
      </c>
      <c r="HGC1" s="46" t="s">
        <v>5608</v>
      </c>
      <c r="HGD1" s="46" t="s">
        <v>5609</v>
      </c>
      <c r="HGE1" s="46" t="s">
        <v>5610</v>
      </c>
      <c r="HGF1" s="46" t="s">
        <v>5611</v>
      </c>
      <c r="HGG1" s="46" t="s">
        <v>5612</v>
      </c>
      <c r="HGH1" s="46" t="s">
        <v>5613</v>
      </c>
      <c r="HGI1" s="46" t="s">
        <v>5614</v>
      </c>
      <c r="HGJ1" s="46" t="s">
        <v>5615</v>
      </c>
      <c r="HGK1" s="46" t="s">
        <v>5616</v>
      </c>
      <c r="HGL1" s="46" t="s">
        <v>5617</v>
      </c>
      <c r="HGM1" s="46" t="s">
        <v>5618</v>
      </c>
      <c r="HGN1" s="46" t="s">
        <v>5619</v>
      </c>
      <c r="HGO1" s="46" t="s">
        <v>5620</v>
      </c>
      <c r="HGP1" s="46" t="s">
        <v>5621</v>
      </c>
      <c r="HGQ1" s="46" t="s">
        <v>5622</v>
      </c>
      <c r="HGR1" s="46" t="s">
        <v>5623</v>
      </c>
      <c r="HGS1" s="46" t="s">
        <v>5624</v>
      </c>
      <c r="HGT1" s="46" t="s">
        <v>5625</v>
      </c>
      <c r="HGU1" s="46" t="s">
        <v>5626</v>
      </c>
      <c r="HGV1" s="46" t="s">
        <v>5627</v>
      </c>
      <c r="HGW1" s="46" t="s">
        <v>5628</v>
      </c>
      <c r="HGX1" s="46" t="s">
        <v>5629</v>
      </c>
      <c r="HGY1" s="46" t="s">
        <v>5630</v>
      </c>
      <c r="HGZ1" s="46" t="s">
        <v>5631</v>
      </c>
      <c r="HHA1" s="46" t="s">
        <v>5632</v>
      </c>
      <c r="HHB1" s="46" t="s">
        <v>5633</v>
      </c>
      <c r="HHC1" s="46" t="s">
        <v>5634</v>
      </c>
      <c r="HHD1" s="46" t="s">
        <v>5635</v>
      </c>
      <c r="HHE1" s="46" t="s">
        <v>5636</v>
      </c>
      <c r="HHF1" s="46" t="s">
        <v>5637</v>
      </c>
      <c r="HHG1" s="46" t="s">
        <v>5638</v>
      </c>
      <c r="HHH1" s="46" t="s">
        <v>5639</v>
      </c>
      <c r="HHI1" s="46" t="s">
        <v>5640</v>
      </c>
      <c r="HHJ1" s="46" t="s">
        <v>5641</v>
      </c>
      <c r="HHK1" s="46" t="s">
        <v>5642</v>
      </c>
      <c r="HHL1" s="46" t="s">
        <v>5643</v>
      </c>
      <c r="HHM1" s="46" t="s">
        <v>5644</v>
      </c>
      <c r="HHN1" s="46" t="s">
        <v>5645</v>
      </c>
      <c r="HHO1" s="46" t="s">
        <v>5646</v>
      </c>
      <c r="HHP1" s="46" t="s">
        <v>5647</v>
      </c>
      <c r="HHQ1" s="46" t="s">
        <v>5648</v>
      </c>
      <c r="HHR1" s="46" t="s">
        <v>5649</v>
      </c>
      <c r="HHS1" s="46" t="s">
        <v>5650</v>
      </c>
      <c r="HHT1" s="46" t="s">
        <v>5651</v>
      </c>
      <c r="HHU1" s="46" t="s">
        <v>5652</v>
      </c>
      <c r="HHV1" s="46" t="s">
        <v>5653</v>
      </c>
      <c r="HHW1" s="46" t="s">
        <v>5654</v>
      </c>
      <c r="HHX1" s="46" t="s">
        <v>5655</v>
      </c>
      <c r="HHY1" s="46" t="s">
        <v>5656</v>
      </c>
      <c r="HHZ1" s="46" t="s">
        <v>5657</v>
      </c>
      <c r="HIA1" s="46" t="s">
        <v>5658</v>
      </c>
      <c r="HIB1" s="46" t="s">
        <v>5659</v>
      </c>
      <c r="HIC1" s="46" t="s">
        <v>5660</v>
      </c>
      <c r="HID1" s="46" t="s">
        <v>5661</v>
      </c>
      <c r="HIE1" s="46" t="s">
        <v>5662</v>
      </c>
      <c r="HIF1" s="46" t="s">
        <v>5663</v>
      </c>
      <c r="HIG1" s="46" t="s">
        <v>5664</v>
      </c>
      <c r="HIH1" s="46" t="s">
        <v>5665</v>
      </c>
      <c r="HII1" s="46" t="s">
        <v>5666</v>
      </c>
      <c r="HIJ1" s="46" t="s">
        <v>5667</v>
      </c>
      <c r="HIK1" s="46" t="s">
        <v>5668</v>
      </c>
      <c r="HIL1" s="46" t="s">
        <v>5669</v>
      </c>
      <c r="HIM1" s="46" t="s">
        <v>5670</v>
      </c>
      <c r="HIN1" s="46" t="s">
        <v>5671</v>
      </c>
      <c r="HIO1" s="46" t="s">
        <v>5672</v>
      </c>
      <c r="HIP1" s="46" t="s">
        <v>5673</v>
      </c>
      <c r="HIQ1" s="46" t="s">
        <v>5674</v>
      </c>
      <c r="HIR1" s="46" t="s">
        <v>5675</v>
      </c>
      <c r="HIS1" s="46" t="s">
        <v>5676</v>
      </c>
      <c r="HIT1" s="46" t="s">
        <v>5677</v>
      </c>
      <c r="HIU1" s="46" t="s">
        <v>5678</v>
      </c>
      <c r="HIV1" s="46" t="s">
        <v>5679</v>
      </c>
      <c r="HIW1" s="46" t="s">
        <v>5680</v>
      </c>
      <c r="HIX1" s="46" t="s">
        <v>5681</v>
      </c>
      <c r="HIY1" s="46" t="s">
        <v>5682</v>
      </c>
      <c r="HIZ1" s="46" t="s">
        <v>5683</v>
      </c>
      <c r="HJA1" s="46" t="s">
        <v>5684</v>
      </c>
      <c r="HJB1" s="46" t="s">
        <v>5685</v>
      </c>
      <c r="HJC1" s="46" t="s">
        <v>5686</v>
      </c>
      <c r="HJD1" s="46" t="s">
        <v>5687</v>
      </c>
      <c r="HJE1" s="46" t="s">
        <v>5688</v>
      </c>
      <c r="HJF1" s="46" t="s">
        <v>5689</v>
      </c>
      <c r="HJG1" s="46" t="s">
        <v>5690</v>
      </c>
      <c r="HJH1" s="46" t="s">
        <v>5691</v>
      </c>
      <c r="HJI1" s="46" t="s">
        <v>5692</v>
      </c>
      <c r="HJJ1" s="46" t="s">
        <v>5693</v>
      </c>
      <c r="HJK1" s="46" t="s">
        <v>5694</v>
      </c>
      <c r="HJL1" s="46" t="s">
        <v>5695</v>
      </c>
      <c r="HJM1" s="46" t="s">
        <v>5696</v>
      </c>
      <c r="HJN1" s="46" t="s">
        <v>5697</v>
      </c>
      <c r="HJO1" s="46" t="s">
        <v>5698</v>
      </c>
      <c r="HJP1" s="46" t="s">
        <v>5699</v>
      </c>
      <c r="HJQ1" s="46" t="s">
        <v>5700</v>
      </c>
      <c r="HJR1" s="46" t="s">
        <v>5701</v>
      </c>
      <c r="HJS1" s="46" t="s">
        <v>5702</v>
      </c>
      <c r="HJT1" s="46" t="s">
        <v>5703</v>
      </c>
      <c r="HJU1" s="46" t="s">
        <v>5704</v>
      </c>
      <c r="HJV1" s="46" t="s">
        <v>5705</v>
      </c>
      <c r="HJW1" s="46" t="s">
        <v>5706</v>
      </c>
      <c r="HJX1" s="46" t="s">
        <v>5707</v>
      </c>
      <c r="HJY1" s="46" t="s">
        <v>5708</v>
      </c>
      <c r="HJZ1" s="46" t="s">
        <v>5709</v>
      </c>
      <c r="HKA1" s="46" t="s">
        <v>5710</v>
      </c>
      <c r="HKB1" s="46" t="s">
        <v>5711</v>
      </c>
      <c r="HKC1" s="46" t="s">
        <v>5712</v>
      </c>
      <c r="HKD1" s="46" t="s">
        <v>5713</v>
      </c>
      <c r="HKE1" s="46" t="s">
        <v>5714</v>
      </c>
      <c r="HKF1" s="46" t="s">
        <v>5715</v>
      </c>
      <c r="HKG1" s="46" t="s">
        <v>5716</v>
      </c>
      <c r="HKH1" s="46" t="s">
        <v>5717</v>
      </c>
      <c r="HKI1" s="46" t="s">
        <v>5718</v>
      </c>
      <c r="HKJ1" s="46" t="s">
        <v>5719</v>
      </c>
      <c r="HKK1" s="46" t="s">
        <v>5720</v>
      </c>
      <c r="HKL1" s="46" t="s">
        <v>5721</v>
      </c>
      <c r="HKM1" s="46" t="s">
        <v>5722</v>
      </c>
      <c r="HKN1" s="46" t="s">
        <v>5723</v>
      </c>
      <c r="HKO1" s="46" t="s">
        <v>5724</v>
      </c>
      <c r="HKP1" s="46" t="s">
        <v>5725</v>
      </c>
      <c r="HKQ1" s="46" t="s">
        <v>5726</v>
      </c>
      <c r="HKR1" s="46" t="s">
        <v>5727</v>
      </c>
      <c r="HKS1" s="46" t="s">
        <v>5728</v>
      </c>
      <c r="HKT1" s="46" t="s">
        <v>5729</v>
      </c>
      <c r="HKU1" s="46" t="s">
        <v>5730</v>
      </c>
      <c r="HKV1" s="46" t="s">
        <v>5731</v>
      </c>
      <c r="HKW1" s="46" t="s">
        <v>5732</v>
      </c>
      <c r="HKX1" s="46" t="s">
        <v>5733</v>
      </c>
      <c r="HKY1" s="46" t="s">
        <v>5734</v>
      </c>
      <c r="HKZ1" s="46" t="s">
        <v>5735</v>
      </c>
      <c r="HLA1" s="46" t="s">
        <v>5736</v>
      </c>
      <c r="HLB1" s="46" t="s">
        <v>5737</v>
      </c>
      <c r="HLC1" s="46" t="s">
        <v>5738</v>
      </c>
      <c r="HLD1" s="46" t="s">
        <v>5739</v>
      </c>
      <c r="HLE1" s="46" t="s">
        <v>5740</v>
      </c>
      <c r="HLF1" s="46" t="s">
        <v>5741</v>
      </c>
      <c r="HLG1" s="46" t="s">
        <v>5742</v>
      </c>
      <c r="HLH1" s="46" t="s">
        <v>5743</v>
      </c>
      <c r="HLI1" s="46" t="s">
        <v>5744</v>
      </c>
      <c r="HLJ1" s="46" t="s">
        <v>5745</v>
      </c>
      <c r="HLK1" s="46" t="s">
        <v>5746</v>
      </c>
      <c r="HLL1" s="46" t="s">
        <v>5747</v>
      </c>
      <c r="HLM1" s="46" t="s">
        <v>5748</v>
      </c>
      <c r="HLN1" s="46" t="s">
        <v>5749</v>
      </c>
      <c r="HLO1" s="46" t="s">
        <v>5750</v>
      </c>
      <c r="HLP1" s="46" t="s">
        <v>5751</v>
      </c>
      <c r="HLQ1" s="46" t="s">
        <v>5752</v>
      </c>
      <c r="HLR1" s="46" t="s">
        <v>5753</v>
      </c>
      <c r="HLS1" s="46" t="s">
        <v>5754</v>
      </c>
      <c r="HLT1" s="46" t="s">
        <v>5755</v>
      </c>
      <c r="HLU1" s="46" t="s">
        <v>5756</v>
      </c>
      <c r="HLV1" s="46" t="s">
        <v>5757</v>
      </c>
      <c r="HLW1" s="46" t="s">
        <v>5758</v>
      </c>
      <c r="HLX1" s="46" t="s">
        <v>5759</v>
      </c>
      <c r="HLY1" s="46" t="s">
        <v>5760</v>
      </c>
      <c r="HLZ1" s="46" t="s">
        <v>5761</v>
      </c>
      <c r="HMA1" s="46" t="s">
        <v>5762</v>
      </c>
      <c r="HMB1" s="46" t="s">
        <v>5763</v>
      </c>
      <c r="HMC1" s="46" t="s">
        <v>5764</v>
      </c>
      <c r="HMD1" s="46" t="s">
        <v>5765</v>
      </c>
      <c r="HME1" s="46" t="s">
        <v>5766</v>
      </c>
      <c r="HMF1" s="46" t="s">
        <v>5767</v>
      </c>
      <c r="HMG1" s="46" t="s">
        <v>5768</v>
      </c>
      <c r="HMH1" s="46" t="s">
        <v>5769</v>
      </c>
      <c r="HMI1" s="46" t="s">
        <v>5770</v>
      </c>
      <c r="HMJ1" s="46" t="s">
        <v>5771</v>
      </c>
      <c r="HMK1" s="46" t="s">
        <v>5772</v>
      </c>
      <c r="HML1" s="46" t="s">
        <v>5773</v>
      </c>
      <c r="HMM1" s="46" t="s">
        <v>5774</v>
      </c>
      <c r="HMN1" s="46" t="s">
        <v>5775</v>
      </c>
      <c r="HMO1" s="46" t="s">
        <v>5776</v>
      </c>
      <c r="HMP1" s="46" t="s">
        <v>5777</v>
      </c>
      <c r="HMQ1" s="46" t="s">
        <v>5778</v>
      </c>
      <c r="HMR1" s="46" t="s">
        <v>5779</v>
      </c>
      <c r="HMS1" s="46" t="s">
        <v>5780</v>
      </c>
      <c r="HMT1" s="46" t="s">
        <v>5781</v>
      </c>
      <c r="HMU1" s="46" t="s">
        <v>5782</v>
      </c>
      <c r="HMV1" s="46" t="s">
        <v>5783</v>
      </c>
      <c r="HMW1" s="46" t="s">
        <v>5784</v>
      </c>
      <c r="HMX1" s="46" t="s">
        <v>5785</v>
      </c>
      <c r="HMY1" s="46" t="s">
        <v>5786</v>
      </c>
      <c r="HMZ1" s="46" t="s">
        <v>5787</v>
      </c>
      <c r="HNA1" s="46" t="s">
        <v>5788</v>
      </c>
      <c r="HNB1" s="46" t="s">
        <v>5789</v>
      </c>
      <c r="HNC1" s="46" t="s">
        <v>5790</v>
      </c>
      <c r="HND1" s="46" t="s">
        <v>5791</v>
      </c>
      <c r="HNE1" s="46" t="s">
        <v>5792</v>
      </c>
      <c r="HNF1" s="46" t="s">
        <v>5793</v>
      </c>
      <c r="HNG1" s="46" t="s">
        <v>5794</v>
      </c>
      <c r="HNH1" s="46" t="s">
        <v>5795</v>
      </c>
      <c r="HNI1" s="46" t="s">
        <v>5796</v>
      </c>
      <c r="HNJ1" s="46" t="s">
        <v>5797</v>
      </c>
      <c r="HNK1" s="46" t="s">
        <v>5798</v>
      </c>
      <c r="HNL1" s="46" t="s">
        <v>5799</v>
      </c>
      <c r="HNM1" s="46" t="s">
        <v>5800</v>
      </c>
      <c r="HNN1" s="46" t="s">
        <v>5801</v>
      </c>
      <c r="HNO1" s="46" t="s">
        <v>5802</v>
      </c>
      <c r="HNP1" s="46" t="s">
        <v>5803</v>
      </c>
      <c r="HNQ1" s="46" t="s">
        <v>5804</v>
      </c>
      <c r="HNR1" s="46" t="s">
        <v>5805</v>
      </c>
      <c r="HNS1" s="46" t="s">
        <v>5806</v>
      </c>
      <c r="HNT1" s="46" t="s">
        <v>5807</v>
      </c>
      <c r="HNU1" s="46" t="s">
        <v>5808</v>
      </c>
      <c r="HNV1" s="46" t="s">
        <v>5809</v>
      </c>
      <c r="HNW1" s="46" t="s">
        <v>5810</v>
      </c>
      <c r="HNX1" s="46" t="s">
        <v>5811</v>
      </c>
      <c r="HNY1" s="46" t="s">
        <v>5812</v>
      </c>
      <c r="HNZ1" s="46" t="s">
        <v>5813</v>
      </c>
      <c r="HOA1" s="46" t="s">
        <v>5814</v>
      </c>
      <c r="HOB1" s="46" t="s">
        <v>5815</v>
      </c>
      <c r="HOC1" s="46" t="s">
        <v>5816</v>
      </c>
      <c r="HOD1" s="46" t="s">
        <v>5817</v>
      </c>
      <c r="HOE1" s="46" t="s">
        <v>5818</v>
      </c>
      <c r="HOF1" s="46" t="s">
        <v>5819</v>
      </c>
      <c r="HOG1" s="46" t="s">
        <v>5820</v>
      </c>
      <c r="HOH1" s="46" t="s">
        <v>5821</v>
      </c>
      <c r="HOI1" s="46" t="s">
        <v>5822</v>
      </c>
      <c r="HOJ1" s="46" t="s">
        <v>5823</v>
      </c>
      <c r="HOK1" s="46" t="s">
        <v>5824</v>
      </c>
      <c r="HOL1" s="46" t="s">
        <v>5825</v>
      </c>
      <c r="HOM1" s="46" t="s">
        <v>5826</v>
      </c>
      <c r="HON1" s="46" t="s">
        <v>5827</v>
      </c>
      <c r="HOO1" s="46" t="s">
        <v>5828</v>
      </c>
      <c r="HOP1" s="46" t="s">
        <v>5829</v>
      </c>
      <c r="HOQ1" s="46" t="s">
        <v>5830</v>
      </c>
      <c r="HOR1" s="46" t="s">
        <v>5831</v>
      </c>
      <c r="HOS1" s="46" t="s">
        <v>5832</v>
      </c>
      <c r="HOT1" s="46" t="s">
        <v>5833</v>
      </c>
      <c r="HOU1" s="46" t="s">
        <v>5834</v>
      </c>
      <c r="HOV1" s="46" t="s">
        <v>5835</v>
      </c>
      <c r="HOW1" s="46" t="s">
        <v>5836</v>
      </c>
      <c r="HOX1" s="46" t="s">
        <v>5837</v>
      </c>
      <c r="HOY1" s="46" t="s">
        <v>5838</v>
      </c>
      <c r="HOZ1" s="46" t="s">
        <v>5839</v>
      </c>
      <c r="HPA1" s="46" t="s">
        <v>5840</v>
      </c>
      <c r="HPB1" s="46" t="s">
        <v>5841</v>
      </c>
      <c r="HPC1" s="46" t="s">
        <v>5842</v>
      </c>
      <c r="HPD1" s="46" t="s">
        <v>5843</v>
      </c>
      <c r="HPE1" s="46" t="s">
        <v>5844</v>
      </c>
      <c r="HPF1" s="46" t="s">
        <v>5845</v>
      </c>
      <c r="HPG1" s="46" t="s">
        <v>5846</v>
      </c>
      <c r="HPH1" s="46" t="s">
        <v>5847</v>
      </c>
      <c r="HPI1" s="46" t="s">
        <v>5848</v>
      </c>
      <c r="HPJ1" s="46" t="s">
        <v>5849</v>
      </c>
      <c r="HPK1" s="46" t="s">
        <v>5850</v>
      </c>
      <c r="HPL1" s="46" t="s">
        <v>5851</v>
      </c>
      <c r="HPM1" s="46" t="s">
        <v>5852</v>
      </c>
      <c r="HPN1" s="46" t="s">
        <v>5853</v>
      </c>
      <c r="HPO1" s="46" t="s">
        <v>5854</v>
      </c>
      <c r="HPP1" s="46" t="s">
        <v>5855</v>
      </c>
      <c r="HPQ1" s="46" t="s">
        <v>5856</v>
      </c>
      <c r="HPR1" s="46" t="s">
        <v>5857</v>
      </c>
      <c r="HPS1" s="46" t="s">
        <v>5858</v>
      </c>
      <c r="HPT1" s="46" t="s">
        <v>5859</v>
      </c>
      <c r="HPU1" s="46" t="s">
        <v>5860</v>
      </c>
      <c r="HPV1" s="46" t="s">
        <v>5861</v>
      </c>
      <c r="HPW1" s="46" t="s">
        <v>5862</v>
      </c>
      <c r="HPX1" s="46" t="s">
        <v>5863</v>
      </c>
      <c r="HPY1" s="46" t="s">
        <v>5864</v>
      </c>
      <c r="HPZ1" s="46" t="s">
        <v>5865</v>
      </c>
      <c r="HQA1" s="46" t="s">
        <v>5866</v>
      </c>
      <c r="HQB1" s="46" t="s">
        <v>5867</v>
      </c>
      <c r="HQC1" s="46" t="s">
        <v>5868</v>
      </c>
      <c r="HQD1" s="46" t="s">
        <v>5869</v>
      </c>
      <c r="HQE1" s="46" t="s">
        <v>5870</v>
      </c>
      <c r="HQF1" s="46" t="s">
        <v>5871</v>
      </c>
      <c r="HQG1" s="46" t="s">
        <v>5872</v>
      </c>
      <c r="HQH1" s="46" t="s">
        <v>5873</v>
      </c>
      <c r="HQI1" s="46" t="s">
        <v>5874</v>
      </c>
      <c r="HQJ1" s="46" t="s">
        <v>5875</v>
      </c>
      <c r="HQK1" s="46" t="s">
        <v>5876</v>
      </c>
      <c r="HQL1" s="46" t="s">
        <v>5877</v>
      </c>
      <c r="HQM1" s="46" t="s">
        <v>5878</v>
      </c>
      <c r="HQN1" s="46" t="s">
        <v>5879</v>
      </c>
      <c r="HQO1" s="46" t="s">
        <v>5880</v>
      </c>
      <c r="HQP1" s="46" t="s">
        <v>5881</v>
      </c>
      <c r="HQQ1" s="46" t="s">
        <v>5882</v>
      </c>
      <c r="HQR1" s="46" t="s">
        <v>5883</v>
      </c>
      <c r="HQS1" s="46" t="s">
        <v>5884</v>
      </c>
      <c r="HQT1" s="46" t="s">
        <v>5885</v>
      </c>
      <c r="HQU1" s="46" t="s">
        <v>5886</v>
      </c>
      <c r="HQV1" s="46" t="s">
        <v>5887</v>
      </c>
      <c r="HQW1" s="46" t="s">
        <v>5888</v>
      </c>
      <c r="HQX1" s="46" t="s">
        <v>5889</v>
      </c>
      <c r="HQY1" s="46" t="s">
        <v>5890</v>
      </c>
      <c r="HQZ1" s="46" t="s">
        <v>5891</v>
      </c>
      <c r="HRA1" s="46" t="s">
        <v>5892</v>
      </c>
      <c r="HRB1" s="46" t="s">
        <v>5893</v>
      </c>
      <c r="HRC1" s="46" t="s">
        <v>5894</v>
      </c>
      <c r="HRD1" s="46" t="s">
        <v>5895</v>
      </c>
      <c r="HRE1" s="46" t="s">
        <v>5896</v>
      </c>
      <c r="HRF1" s="46" t="s">
        <v>5897</v>
      </c>
      <c r="HRG1" s="46" t="s">
        <v>5898</v>
      </c>
      <c r="HRH1" s="46" t="s">
        <v>5899</v>
      </c>
      <c r="HRI1" s="46" t="s">
        <v>5900</v>
      </c>
      <c r="HRJ1" s="46" t="s">
        <v>5901</v>
      </c>
      <c r="HRK1" s="46" t="s">
        <v>5902</v>
      </c>
      <c r="HRL1" s="46" t="s">
        <v>5903</v>
      </c>
      <c r="HRM1" s="46" t="s">
        <v>5904</v>
      </c>
      <c r="HRN1" s="46" t="s">
        <v>5905</v>
      </c>
      <c r="HRO1" s="46" t="s">
        <v>5906</v>
      </c>
      <c r="HRP1" s="46" t="s">
        <v>5907</v>
      </c>
      <c r="HRQ1" s="46" t="s">
        <v>5908</v>
      </c>
      <c r="HRR1" s="46" t="s">
        <v>5909</v>
      </c>
      <c r="HRS1" s="46" t="s">
        <v>5910</v>
      </c>
      <c r="HRT1" s="46" t="s">
        <v>5911</v>
      </c>
      <c r="HRU1" s="46" t="s">
        <v>5912</v>
      </c>
      <c r="HRV1" s="46" t="s">
        <v>5913</v>
      </c>
      <c r="HRW1" s="46" t="s">
        <v>5914</v>
      </c>
      <c r="HRX1" s="46" t="s">
        <v>5915</v>
      </c>
      <c r="HRY1" s="46" t="s">
        <v>5916</v>
      </c>
      <c r="HRZ1" s="46" t="s">
        <v>5917</v>
      </c>
      <c r="HSA1" s="46" t="s">
        <v>5918</v>
      </c>
      <c r="HSB1" s="46" t="s">
        <v>5919</v>
      </c>
      <c r="HSC1" s="46" t="s">
        <v>5920</v>
      </c>
      <c r="HSD1" s="46" t="s">
        <v>5921</v>
      </c>
      <c r="HSE1" s="46" t="s">
        <v>5922</v>
      </c>
      <c r="HSF1" s="46" t="s">
        <v>5923</v>
      </c>
      <c r="HSG1" s="46" t="s">
        <v>5924</v>
      </c>
      <c r="HSH1" s="46" t="s">
        <v>5925</v>
      </c>
      <c r="HSI1" s="46" t="s">
        <v>5926</v>
      </c>
      <c r="HSJ1" s="46" t="s">
        <v>5927</v>
      </c>
      <c r="HSK1" s="46" t="s">
        <v>5928</v>
      </c>
      <c r="HSL1" s="46" t="s">
        <v>5929</v>
      </c>
      <c r="HSM1" s="46" t="s">
        <v>5930</v>
      </c>
      <c r="HSN1" s="46" t="s">
        <v>5931</v>
      </c>
      <c r="HSO1" s="46" t="s">
        <v>5932</v>
      </c>
      <c r="HSP1" s="46" t="s">
        <v>5933</v>
      </c>
      <c r="HSQ1" s="46" t="s">
        <v>5934</v>
      </c>
      <c r="HSR1" s="46" t="s">
        <v>5935</v>
      </c>
      <c r="HSS1" s="46" t="s">
        <v>5936</v>
      </c>
      <c r="HST1" s="46" t="s">
        <v>5937</v>
      </c>
      <c r="HSU1" s="46" t="s">
        <v>5938</v>
      </c>
      <c r="HSV1" s="46" t="s">
        <v>5939</v>
      </c>
      <c r="HSW1" s="46" t="s">
        <v>5940</v>
      </c>
      <c r="HSX1" s="46" t="s">
        <v>5941</v>
      </c>
      <c r="HSY1" s="46" t="s">
        <v>5942</v>
      </c>
      <c r="HSZ1" s="46" t="s">
        <v>5943</v>
      </c>
      <c r="HTA1" s="46" t="s">
        <v>5944</v>
      </c>
      <c r="HTB1" s="46" t="s">
        <v>5945</v>
      </c>
      <c r="HTC1" s="46" t="s">
        <v>5946</v>
      </c>
      <c r="HTD1" s="46" t="s">
        <v>5947</v>
      </c>
      <c r="HTE1" s="46" t="s">
        <v>5948</v>
      </c>
      <c r="HTF1" s="46" t="s">
        <v>5949</v>
      </c>
      <c r="HTG1" s="46" t="s">
        <v>5950</v>
      </c>
      <c r="HTH1" s="46" t="s">
        <v>5951</v>
      </c>
      <c r="HTI1" s="46" t="s">
        <v>5952</v>
      </c>
      <c r="HTJ1" s="46" t="s">
        <v>5953</v>
      </c>
      <c r="HTK1" s="46" t="s">
        <v>5954</v>
      </c>
      <c r="HTL1" s="46" t="s">
        <v>5955</v>
      </c>
      <c r="HTM1" s="46" t="s">
        <v>5956</v>
      </c>
      <c r="HTN1" s="46" t="s">
        <v>5957</v>
      </c>
      <c r="HTO1" s="46" t="s">
        <v>5958</v>
      </c>
      <c r="HTP1" s="46" t="s">
        <v>5959</v>
      </c>
      <c r="HTQ1" s="46" t="s">
        <v>5960</v>
      </c>
      <c r="HTR1" s="46" t="s">
        <v>5961</v>
      </c>
      <c r="HTS1" s="46" t="s">
        <v>5962</v>
      </c>
      <c r="HTT1" s="46" t="s">
        <v>5963</v>
      </c>
      <c r="HTU1" s="46" t="s">
        <v>5964</v>
      </c>
      <c r="HTV1" s="46" t="s">
        <v>5965</v>
      </c>
      <c r="HTW1" s="46" t="s">
        <v>5966</v>
      </c>
      <c r="HTX1" s="46" t="s">
        <v>5967</v>
      </c>
      <c r="HTY1" s="46" t="s">
        <v>5968</v>
      </c>
      <c r="HTZ1" s="46" t="s">
        <v>5969</v>
      </c>
      <c r="HUA1" s="46" t="s">
        <v>5970</v>
      </c>
      <c r="HUB1" s="46" t="s">
        <v>5971</v>
      </c>
      <c r="HUC1" s="46" t="s">
        <v>5972</v>
      </c>
      <c r="HUD1" s="46" t="s">
        <v>5973</v>
      </c>
      <c r="HUE1" s="46" t="s">
        <v>5974</v>
      </c>
      <c r="HUF1" s="46" t="s">
        <v>5975</v>
      </c>
      <c r="HUG1" s="46" t="s">
        <v>5976</v>
      </c>
      <c r="HUH1" s="46" t="s">
        <v>5977</v>
      </c>
      <c r="HUI1" s="46" t="s">
        <v>5978</v>
      </c>
      <c r="HUJ1" s="46" t="s">
        <v>5979</v>
      </c>
      <c r="HUK1" s="46" t="s">
        <v>5980</v>
      </c>
      <c r="HUL1" s="46" t="s">
        <v>5981</v>
      </c>
      <c r="HUM1" s="46" t="s">
        <v>5982</v>
      </c>
      <c r="HUN1" s="46" t="s">
        <v>5983</v>
      </c>
      <c r="HUO1" s="46" t="s">
        <v>5984</v>
      </c>
      <c r="HUP1" s="46" t="s">
        <v>5985</v>
      </c>
      <c r="HUQ1" s="46" t="s">
        <v>5986</v>
      </c>
      <c r="HUR1" s="46" t="s">
        <v>5987</v>
      </c>
      <c r="HUS1" s="46" t="s">
        <v>5988</v>
      </c>
      <c r="HUT1" s="46" t="s">
        <v>5989</v>
      </c>
      <c r="HUU1" s="46" t="s">
        <v>5990</v>
      </c>
      <c r="HUV1" s="46" t="s">
        <v>5991</v>
      </c>
      <c r="HUW1" s="46" t="s">
        <v>5992</v>
      </c>
      <c r="HUX1" s="46" t="s">
        <v>5993</v>
      </c>
      <c r="HUY1" s="46" t="s">
        <v>5994</v>
      </c>
      <c r="HUZ1" s="46" t="s">
        <v>5995</v>
      </c>
      <c r="HVA1" s="46" t="s">
        <v>5996</v>
      </c>
      <c r="HVB1" s="46" t="s">
        <v>5997</v>
      </c>
      <c r="HVC1" s="46" t="s">
        <v>5998</v>
      </c>
      <c r="HVD1" s="46" t="s">
        <v>5999</v>
      </c>
      <c r="HVE1" s="46" t="s">
        <v>6000</v>
      </c>
      <c r="HVF1" s="46" t="s">
        <v>6001</v>
      </c>
      <c r="HVG1" s="46" t="s">
        <v>6002</v>
      </c>
      <c r="HVH1" s="46" t="s">
        <v>6003</v>
      </c>
      <c r="HVI1" s="46" t="s">
        <v>6004</v>
      </c>
      <c r="HVJ1" s="46" t="s">
        <v>6005</v>
      </c>
      <c r="HVK1" s="46" t="s">
        <v>6006</v>
      </c>
      <c r="HVL1" s="46" t="s">
        <v>6007</v>
      </c>
      <c r="HVM1" s="46" t="s">
        <v>6008</v>
      </c>
      <c r="HVN1" s="46" t="s">
        <v>6009</v>
      </c>
      <c r="HVO1" s="46" t="s">
        <v>6010</v>
      </c>
      <c r="HVP1" s="46" t="s">
        <v>6011</v>
      </c>
      <c r="HVQ1" s="46" t="s">
        <v>6012</v>
      </c>
      <c r="HVR1" s="46" t="s">
        <v>6013</v>
      </c>
      <c r="HVS1" s="46" t="s">
        <v>6014</v>
      </c>
      <c r="HVT1" s="46" t="s">
        <v>6015</v>
      </c>
      <c r="HVU1" s="46" t="s">
        <v>6016</v>
      </c>
      <c r="HVV1" s="46" t="s">
        <v>6017</v>
      </c>
      <c r="HVW1" s="46" t="s">
        <v>6018</v>
      </c>
      <c r="HVX1" s="46" t="s">
        <v>6019</v>
      </c>
      <c r="HVY1" s="46" t="s">
        <v>6020</v>
      </c>
      <c r="HVZ1" s="46" t="s">
        <v>6021</v>
      </c>
      <c r="HWA1" s="46" t="s">
        <v>6022</v>
      </c>
      <c r="HWB1" s="46" t="s">
        <v>6023</v>
      </c>
      <c r="HWC1" s="46" t="s">
        <v>6024</v>
      </c>
      <c r="HWD1" s="46" t="s">
        <v>6025</v>
      </c>
      <c r="HWE1" s="46" t="s">
        <v>6026</v>
      </c>
      <c r="HWF1" s="46" t="s">
        <v>6027</v>
      </c>
      <c r="HWG1" s="46" t="s">
        <v>6028</v>
      </c>
      <c r="HWH1" s="46" t="s">
        <v>6029</v>
      </c>
      <c r="HWI1" s="46" t="s">
        <v>6030</v>
      </c>
      <c r="HWJ1" s="46" t="s">
        <v>6031</v>
      </c>
      <c r="HWK1" s="46" t="s">
        <v>6032</v>
      </c>
      <c r="HWL1" s="46" t="s">
        <v>6033</v>
      </c>
      <c r="HWM1" s="46" t="s">
        <v>6034</v>
      </c>
      <c r="HWN1" s="46" t="s">
        <v>6035</v>
      </c>
      <c r="HWO1" s="46" t="s">
        <v>6036</v>
      </c>
      <c r="HWP1" s="46" t="s">
        <v>6037</v>
      </c>
      <c r="HWQ1" s="46" t="s">
        <v>6038</v>
      </c>
      <c r="HWR1" s="46" t="s">
        <v>6039</v>
      </c>
      <c r="HWS1" s="46" t="s">
        <v>6040</v>
      </c>
      <c r="HWT1" s="46" t="s">
        <v>6041</v>
      </c>
      <c r="HWU1" s="46" t="s">
        <v>6042</v>
      </c>
      <c r="HWV1" s="46" t="s">
        <v>6043</v>
      </c>
      <c r="HWW1" s="46" t="s">
        <v>6044</v>
      </c>
      <c r="HWX1" s="46" t="s">
        <v>6045</v>
      </c>
      <c r="HWY1" s="46" t="s">
        <v>6046</v>
      </c>
      <c r="HWZ1" s="46" t="s">
        <v>6047</v>
      </c>
      <c r="HXA1" s="46" t="s">
        <v>6048</v>
      </c>
      <c r="HXB1" s="46" t="s">
        <v>6049</v>
      </c>
      <c r="HXC1" s="46" t="s">
        <v>6050</v>
      </c>
      <c r="HXD1" s="46" t="s">
        <v>6051</v>
      </c>
      <c r="HXE1" s="46" t="s">
        <v>6052</v>
      </c>
      <c r="HXF1" s="46" t="s">
        <v>6053</v>
      </c>
      <c r="HXG1" s="46" t="s">
        <v>6054</v>
      </c>
      <c r="HXH1" s="46" t="s">
        <v>6055</v>
      </c>
      <c r="HXI1" s="46" t="s">
        <v>6056</v>
      </c>
      <c r="HXJ1" s="46" t="s">
        <v>6057</v>
      </c>
      <c r="HXK1" s="46" t="s">
        <v>6058</v>
      </c>
      <c r="HXL1" s="46" t="s">
        <v>6059</v>
      </c>
      <c r="HXM1" s="46" t="s">
        <v>6060</v>
      </c>
      <c r="HXN1" s="46" t="s">
        <v>6061</v>
      </c>
      <c r="HXO1" s="46" t="s">
        <v>6062</v>
      </c>
      <c r="HXP1" s="46" t="s">
        <v>6063</v>
      </c>
      <c r="HXQ1" s="46" t="s">
        <v>6064</v>
      </c>
      <c r="HXR1" s="46" t="s">
        <v>6065</v>
      </c>
      <c r="HXS1" s="46" t="s">
        <v>6066</v>
      </c>
      <c r="HXT1" s="46" t="s">
        <v>6067</v>
      </c>
      <c r="HXU1" s="46" t="s">
        <v>6068</v>
      </c>
      <c r="HXV1" s="46" t="s">
        <v>6069</v>
      </c>
      <c r="HXW1" s="46" t="s">
        <v>6070</v>
      </c>
      <c r="HXX1" s="46" t="s">
        <v>6071</v>
      </c>
      <c r="HXY1" s="46" t="s">
        <v>6072</v>
      </c>
      <c r="HXZ1" s="46" t="s">
        <v>6073</v>
      </c>
      <c r="HYA1" s="46" t="s">
        <v>6074</v>
      </c>
      <c r="HYB1" s="46" t="s">
        <v>6075</v>
      </c>
      <c r="HYC1" s="46" t="s">
        <v>6076</v>
      </c>
      <c r="HYD1" s="46" t="s">
        <v>6077</v>
      </c>
      <c r="HYE1" s="46" t="s">
        <v>6078</v>
      </c>
      <c r="HYF1" s="46" t="s">
        <v>6079</v>
      </c>
      <c r="HYG1" s="46" t="s">
        <v>6080</v>
      </c>
      <c r="HYH1" s="46" t="s">
        <v>6081</v>
      </c>
      <c r="HYI1" s="46" t="s">
        <v>6082</v>
      </c>
      <c r="HYJ1" s="46" t="s">
        <v>6083</v>
      </c>
      <c r="HYK1" s="46" t="s">
        <v>6084</v>
      </c>
      <c r="HYL1" s="46" t="s">
        <v>6085</v>
      </c>
      <c r="HYM1" s="46" t="s">
        <v>6086</v>
      </c>
      <c r="HYN1" s="46" t="s">
        <v>6087</v>
      </c>
      <c r="HYO1" s="46" t="s">
        <v>6088</v>
      </c>
      <c r="HYP1" s="46" t="s">
        <v>6089</v>
      </c>
      <c r="HYQ1" s="46" t="s">
        <v>6090</v>
      </c>
      <c r="HYR1" s="46" t="s">
        <v>6091</v>
      </c>
      <c r="HYS1" s="46" t="s">
        <v>6092</v>
      </c>
      <c r="HYT1" s="46" t="s">
        <v>6093</v>
      </c>
      <c r="HYU1" s="46" t="s">
        <v>6094</v>
      </c>
      <c r="HYV1" s="46" t="s">
        <v>6095</v>
      </c>
      <c r="HYW1" s="46" t="s">
        <v>6096</v>
      </c>
      <c r="HYX1" s="46" t="s">
        <v>6097</v>
      </c>
      <c r="HYY1" s="46" t="s">
        <v>6098</v>
      </c>
      <c r="HYZ1" s="46" t="s">
        <v>6099</v>
      </c>
      <c r="HZA1" s="46" t="s">
        <v>6100</v>
      </c>
      <c r="HZB1" s="46" t="s">
        <v>6101</v>
      </c>
      <c r="HZC1" s="46" t="s">
        <v>6102</v>
      </c>
      <c r="HZD1" s="46" t="s">
        <v>6103</v>
      </c>
      <c r="HZE1" s="46" t="s">
        <v>6104</v>
      </c>
      <c r="HZF1" s="46" t="s">
        <v>6105</v>
      </c>
      <c r="HZG1" s="46" t="s">
        <v>6106</v>
      </c>
      <c r="HZH1" s="46" t="s">
        <v>6107</v>
      </c>
      <c r="HZI1" s="46" t="s">
        <v>6108</v>
      </c>
      <c r="HZJ1" s="46" t="s">
        <v>6109</v>
      </c>
      <c r="HZK1" s="46" t="s">
        <v>6110</v>
      </c>
      <c r="HZL1" s="46" t="s">
        <v>6111</v>
      </c>
      <c r="HZM1" s="46" t="s">
        <v>6112</v>
      </c>
      <c r="HZN1" s="46" t="s">
        <v>6113</v>
      </c>
      <c r="HZO1" s="46" t="s">
        <v>6114</v>
      </c>
      <c r="HZP1" s="46" t="s">
        <v>6115</v>
      </c>
      <c r="HZQ1" s="46" t="s">
        <v>6116</v>
      </c>
      <c r="HZR1" s="46" t="s">
        <v>6117</v>
      </c>
      <c r="HZS1" s="46" t="s">
        <v>6118</v>
      </c>
      <c r="HZT1" s="46" t="s">
        <v>6119</v>
      </c>
      <c r="HZU1" s="46" t="s">
        <v>6120</v>
      </c>
      <c r="HZV1" s="46" t="s">
        <v>6121</v>
      </c>
      <c r="HZW1" s="46" t="s">
        <v>6122</v>
      </c>
      <c r="HZX1" s="46" t="s">
        <v>6123</v>
      </c>
      <c r="HZY1" s="46" t="s">
        <v>6124</v>
      </c>
      <c r="HZZ1" s="46" t="s">
        <v>6125</v>
      </c>
      <c r="IAA1" s="46" t="s">
        <v>6126</v>
      </c>
      <c r="IAB1" s="46" t="s">
        <v>6127</v>
      </c>
      <c r="IAC1" s="46" t="s">
        <v>6128</v>
      </c>
      <c r="IAD1" s="46" t="s">
        <v>6129</v>
      </c>
      <c r="IAE1" s="46" t="s">
        <v>6130</v>
      </c>
      <c r="IAF1" s="46" t="s">
        <v>6131</v>
      </c>
      <c r="IAG1" s="46" t="s">
        <v>6132</v>
      </c>
      <c r="IAH1" s="46" t="s">
        <v>6133</v>
      </c>
      <c r="IAI1" s="46" t="s">
        <v>6134</v>
      </c>
      <c r="IAJ1" s="46" t="s">
        <v>6135</v>
      </c>
      <c r="IAK1" s="46" t="s">
        <v>6136</v>
      </c>
      <c r="IAL1" s="46" t="s">
        <v>6137</v>
      </c>
      <c r="IAM1" s="46" t="s">
        <v>6138</v>
      </c>
      <c r="IAN1" s="46" t="s">
        <v>6139</v>
      </c>
      <c r="IAO1" s="46" t="s">
        <v>6140</v>
      </c>
      <c r="IAP1" s="46" t="s">
        <v>6141</v>
      </c>
      <c r="IAQ1" s="46" t="s">
        <v>6142</v>
      </c>
      <c r="IAR1" s="46" t="s">
        <v>6143</v>
      </c>
      <c r="IAS1" s="46" t="s">
        <v>6144</v>
      </c>
      <c r="IAT1" s="46" t="s">
        <v>6145</v>
      </c>
      <c r="IAU1" s="46" t="s">
        <v>6146</v>
      </c>
      <c r="IAV1" s="46" t="s">
        <v>6147</v>
      </c>
      <c r="IAW1" s="46" t="s">
        <v>6148</v>
      </c>
      <c r="IAX1" s="46" t="s">
        <v>6149</v>
      </c>
      <c r="IAY1" s="46" t="s">
        <v>6150</v>
      </c>
      <c r="IAZ1" s="46" t="s">
        <v>6151</v>
      </c>
      <c r="IBA1" s="46" t="s">
        <v>6152</v>
      </c>
      <c r="IBB1" s="46" t="s">
        <v>6153</v>
      </c>
      <c r="IBC1" s="46" t="s">
        <v>6154</v>
      </c>
      <c r="IBD1" s="46" t="s">
        <v>6155</v>
      </c>
      <c r="IBE1" s="46" t="s">
        <v>6156</v>
      </c>
      <c r="IBF1" s="46" t="s">
        <v>6157</v>
      </c>
      <c r="IBG1" s="46" t="s">
        <v>6158</v>
      </c>
      <c r="IBH1" s="46" t="s">
        <v>6159</v>
      </c>
      <c r="IBI1" s="46" t="s">
        <v>6160</v>
      </c>
      <c r="IBJ1" s="46" t="s">
        <v>6161</v>
      </c>
      <c r="IBK1" s="46" t="s">
        <v>6162</v>
      </c>
      <c r="IBL1" s="46" t="s">
        <v>6163</v>
      </c>
      <c r="IBM1" s="46" t="s">
        <v>6164</v>
      </c>
      <c r="IBN1" s="46" t="s">
        <v>6165</v>
      </c>
      <c r="IBO1" s="46" t="s">
        <v>6166</v>
      </c>
      <c r="IBP1" s="46" t="s">
        <v>6167</v>
      </c>
      <c r="IBQ1" s="46" t="s">
        <v>6168</v>
      </c>
      <c r="IBR1" s="46" t="s">
        <v>6169</v>
      </c>
      <c r="IBS1" s="46" t="s">
        <v>6170</v>
      </c>
      <c r="IBT1" s="46" t="s">
        <v>6171</v>
      </c>
      <c r="IBU1" s="46" t="s">
        <v>6172</v>
      </c>
      <c r="IBV1" s="46" t="s">
        <v>6173</v>
      </c>
      <c r="IBW1" s="46" t="s">
        <v>6174</v>
      </c>
      <c r="IBX1" s="46" t="s">
        <v>6175</v>
      </c>
      <c r="IBY1" s="46" t="s">
        <v>6176</v>
      </c>
      <c r="IBZ1" s="46" t="s">
        <v>6177</v>
      </c>
      <c r="ICA1" s="46" t="s">
        <v>6178</v>
      </c>
      <c r="ICB1" s="46" t="s">
        <v>6179</v>
      </c>
      <c r="ICC1" s="46" t="s">
        <v>6180</v>
      </c>
      <c r="ICD1" s="46" t="s">
        <v>6181</v>
      </c>
      <c r="ICE1" s="46" t="s">
        <v>6182</v>
      </c>
      <c r="ICF1" s="46" t="s">
        <v>6183</v>
      </c>
      <c r="ICG1" s="46" t="s">
        <v>6184</v>
      </c>
      <c r="ICH1" s="46" t="s">
        <v>6185</v>
      </c>
      <c r="ICI1" s="46" t="s">
        <v>6186</v>
      </c>
      <c r="ICJ1" s="46" t="s">
        <v>6187</v>
      </c>
      <c r="ICK1" s="46" t="s">
        <v>6188</v>
      </c>
      <c r="ICL1" s="46" t="s">
        <v>6189</v>
      </c>
      <c r="ICM1" s="46" t="s">
        <v>6190</v>
      </c>
      <c r="ICN1" s="46" t="s">
        <v>6191</v>
      </c>
      <c r="ICO1" s="46" t="s">
        <v>6192</v>
      </c>
      <c r="ICP1" s="46" t="s">
        <v>6193</v>
      </c>
      <c r="ICQ1" s="46" t="s">
        <v>6194</v>
      </c>
      <c r="ICR1" s="46" t="s">
        <v>6195</v>
      </c>
      <c r="ICS1" s="46" t="s">
        <v>6196</v>
      </c>
      <c r="ICT1" s="46" t="s">
        <v>6197</v>
      </c>
      <c r="ICU1" s="46" t="s">
        <v>6198</v>
      </c>
      <c r="ICV1" s="46" t="s">
        <v>6199</v>
      </c>
      <c r="ICW1" s="46" t="s">
        <v>6200</v>
      </c>
      <c r="ICX1" s="46" t="s">
        <v>6201</v>
      </c>
      <c r="ICY1" s="46" t="s">
        <v>6202</v>
      </c>
      <c r="ICZ1" s="46" t="s">
        <v>6203</v>
      </c>
      <c r="IDA1" s="46" t="s">
        <v>6204</v>
      </c>
      <c r="IDB1" s="46" t="s">
        <v>6205</v>
      </c>
      <c r="IDC1" s="46" t="s">
        <v>6206</v>
      </c>
      <c r="IDD1" s="46" t="s">
        <v>6207</v>
      </c>
      <c r="IDE1" s="46" t="s">
        <v>6208</v>
      </c>
      <c r="IDF1" s="46" t="s">
        <v>6209</v>
      </c>
      <c r="IDG1" s="46" t="s">
        <v>6210</v>
      </c>
      <c r="IDH1" s="46" t="s">
        <v>6211</v>
      </c>
      <c r="IDI1" s="46" t="s">
        <v>6212</v>
      </c>
      <c r="IDJ1" s="46" t="s">
        <v>6213</v>
      </c>
      <c r="IDK1" s="46" t="s">
        <v>6214</v>
      </c>
      <c r="IDL1" s="46" t="s">
        <v>6215</v>
      </c>
      <c r="IDM1" s="46" t="s">
        <v>6216</v>
      </c>
      <c r="IDN1" s="46" t="s">
        <v>6217</v>
      </c>
      <c r="IDO1" s="46" t="s">
        <v>6218</v>
      </c>
      <c r="IDP1" s="46" t="s">
        <v>6219</v>
      </c>
      <c r="IDQ1" s="46" t="s">
        <v>6220</v>
      </c>
      <c r="IDR1" s="46" t="s">
        <v>6221</v>
      </c>
      <c r="IDS1" s="46" t="s">
        <v>6222</v>
      </c>
      <c r="IDT1" s="46" t="s">
        <v>6223</v>
      </c>
      <c r="IDU1" s="46" t="s">
        <v>6224</v>
      </c>
      <c r="IDV1" s="46" t="s">
        <v>6225</v>
      </c>
      <c r="IDW1" s="46" t="s">
        <v>6226</v>
      </c>
      <c r="IDX1" s="46" t="s">
        <v>6227</v>
      </c>
      <c r="IDY1" s="46" t="s">
        <v>6228</v>
      </c>
      <c r="IDZ1" s="46" t="s">
        <v>6229</v>
      </c>
      <c r="IEA1" s="46" t="s">
        <v>6230</v>
      </c>
      <c r="IEB1" s="46" t="s">
        <v>6231</v>
      </c>
      <c r="IEC1" s="46" t="s">
        <v>6232</v>
      </c>
      <c r="IED1" s="46" t="s">
        <v>6233</v>
      </c>
      <c r="IEE1" s="46" t="s">
        <v>6234</v>
      </c>
      <c r="IEF1" s="46" t="s">
        <v>6235</v>
      </c>
      <c r="IEG1" s="46" t="s">
        <v>6236</v>
      </c>
      <c r="IEH1" s="46" t="s">
        <v>6237</v>
      </c>
      <c r="IEI1" s="46" t="s">
        <v>6238</v>
      </c>
      <c r="IEJ1" s="46" t="s">
        <v>6239</v>
      </c>
      <c r="IEK1" s="46" t="s">
        <v>6240</v>
      </c>
      <c r="IEL1" s="46" t="s">
        <v>6241</v>
      </c>
      <c r="IEM1" s="46" t="s">
        <v>6242</v>
      </c>
      <c r="IEN1" s="46" t="s">
        <v>6243</v>
      </c>
      <c r="IEO1" s="46" t="s">
        <v>6244</v>
      </c>
      <c r="IEP1" s="46" t="s">
        <v>6245</v>
      </c>
      <c r="IEQ1" s="46" t="s">
        <v>6246</v>
      </c>
      <c r="IER1" s="46" t="s">
        <v>6247</v>
      </c>
      <c r="IES1" s="46" t="s">
        <v>6248</v>
      </c>
      <c r="IET1" s="46" t="s">
        <v>6249</v>
      </c>
      <c r="IEU1" s="46" t="s">
        <v>6250</v>
      </c>
      <c r="IEV1" s="46" t="s">
        <v>6251</v>
      </c>
      <c r="IEW1" s="46" t="s">
        <v>6252</v>
      </c>
      <c r="IEX1" s="46" t="s">
        <v>6253</v>
      </c>
      <c r="IEY1" s="46" t="s">
        <v>6254</v>
      </c>
      <c r="IEZ1" s="46" t="s">
        <v>6255</v>
      </c>
      <c r="IFA1" s="46" t="s">
        <v>6256</v>
      </c>
      <c r="IFB1" s="46" t="s">
        <v>6257</v>
      </c>
      <c r="IFC1" s="46" t="s">
        <v>6258</v>
      </c>
      <c r="IFD1" s="46" t="s">
        <v>6259</v>
      </c>
      <c r="IFE1" s="46" t="s">
        <v>6260</v>
      </c>
      <c r="IFF1" s="46" t="s">
        <v>6261</v>
      </c>
      <c r="IFG1" s="46" t="s">
        <v>6262</v>
      </c>
      <c r="IFH1" s="46" t="s">
        <v>6263</v>
      </c>
      <c r="IFI1" s="46" t="s">
        <v>6264</v>
      </c>
      <c r="IFJ1" s="46" t="s">
        <v>6265</v>
      </c>
      <c r="IFK1" s="46" t="s">
        <v>6266</v>
      </c>
      <c r="IFL1" s="46" t="s">
        <v>6267</v>
      </c>
      <c r="IFM1" s="46" t="s">
        <v>6268</v>
      </c>
      <c r="IFN1" s="46" t="s">
        <v>6269</v>
      </c>
      <c r="IFO1" s="46" t="s">
        <v>6270</v>
      </c>
      <c r="IFP1" s="46" t="s">
        <v>6271</v>
      </c>
      <c r="IFQ1" s="46" t="s">
        <v>6272</v>
      </c>
      <c r="IFR1" s="46" t="s">
        <v>6273</v>
      </c>
      <c r="IFS1" s="46" t="s">
        <v>6274</v>
      </c>
      <c r="IFT1" s="46" t="s">
        <v>6275</v>
      </c>
      <c r="IFU1" s="46" t="s">
        <v>6276</v>
      </c>
      <c r="IFV1" s="46" t="s">
        <v>6277</v>
      </c>
      <c r="IFW1" s="46" t="s">
        <v>6278</v>
      </c>
      <c r="IFX1" s="46" t="s">
        <v>6279</v>
      </c>
      <c r="IFY1" s="46" t="s">
        <v>6280</v>
      </c>
      <c r="IFZ1" s="46" t="s">
        <v>6281</v>
      </c>
      <c r="IGA1" s="46" t="s">
        <v>6282</v>
      </c>
      <c r="IGB1" s="46" t="s">
        <v>6283</v>
      </c>
      <c r="IGC1" s="46" t="s">
        <v>6284</v>
      </c>
      <c r="IGD1" s="46" t="s">
        <v>6285</v>
      </c>
      <c r="IGE1" s="46" t="s">
        <v>6286</v>
      </c>
      <c r="IGF1" s="46" t="s">
        <v>6287</v>
      </c>
      <c r="IGG1" s="46" t="s">
        <v>6288</v>
      </c>
      <c r="IGH1" s="46" t="s">
        <v>6289</v>
      </c>
      <c r="IGI1" s="46" t="s">
        <v>6290</v>
      </c>
      <c r="IGJ1" s="46" t="s">
        <v>6291</v>
      </c>
      <c r="IGK1" s="46" t="s">
        <v>6292</v>
      </c>
      <c r="IGL1" s="46" t="s">
        <v>6293</v>
      </c>
      <c r="IGM1" s="46" t="s">
        <v>6294</v>
      </c>
      <c r="IGN1" s="46" t="s">
        <v>6295</v>
      </c>
      <c r="IGO1" s="46" t="s">
        <v>6296</v>
      </c>
      <c r="IGP1" s="46" t="s">
        <v>6297</v>
      </c>
      <c r="IGQ1" s="46" t="s">
        <v>6298</v>
      </c>
      <c r="IGR1" s="46" t="s">
        <v>6299</v>
      </c>
      <c r="IGS1" s="46" t="s">
        <v>6300</v>
      </c>
      <c r="IGT1" s="46" t="s">
        <v>6301</v>
      </c>
      <c r="IGU1" s="46" t="s">
        <v>6302</v>
      </c>
      <c r="IGV1" s="46" t="s">
        <v>6303</v>
      </c>
      <c r="IGW1" s="46" t="s">
        <v>6304</v>
      </c>
      <c r="IGX1" s="46" t="s">
        <v>6305</v>
      </c>
      <c r="IGY1" s="46" t="s">
        <v>6306</v>
      </c>
      <c r="IGZ1" s="46" t="s">
        <v>6307</v>
      </c>
      <c r="IHA1" s="46" t="s">
        <v>6308</v>
      </c>
      <c r="IHB1" s="46" t="s">
        <v>6309</v>
      </c>
      <c r="IHC1" s="46" t="s">
        <v>6310</v>
      </c>
      <c r="IHD1" s="46" t="s">
        <v>6311</v>
      </c>
      <c r="IHE1" s="46" t="s">
        <v>6312</v>
      </c>
      <c r="IHF1" s="46" t="s">
        <v>6313</v>
      </c>
      <c r="IHG1" s="46" t="s">
        <v>6314</v>
      </c>
      <c r="IHH1" s="46" t="s">
        <v>6315</v>
      </c>
      <c r="IHI1" s="46" t="s">
        <v>6316</v>
      </c>
      <c r="IHJ1" s="46" t="s">
        <v>6317</v>
      </c>
      <c r="IHK1" s="46" t="s">
        <v>6318</v>
      </c>
      <c r="IHL1" s="46" t="s">
        <v>6319</v>
      </c>
      <c r="IHM1" s="46" t="s">
        <v>6320</v>
      </c>
      <c r="IHN1" s="46" t="s">
        <v>6321</v>
      </c>
      <c r="IHO1" s="46" t="s">
        <v>6322</v>
      </c>
      <c r="IHP1" s="46" t="s">
        <v>6323</v>
      </c>
      <c r="IHQ1" s="46" t="s">
        <v>6324</v>
      </c>
      <c r="IHR1" s="46" t="s">
        <v>6325</v>
      </c>
      <c r="IHS1" s="46" t="s">
        <v>6326</v>
      </c>
      <c r="IHT1" s="46" t="s">
        <v>6327</v>
      </c>
      <c r="IHU1" s="46" t="s">
        <v>6328</v>
      </c>
      <c r="IHV1" s="46" t="s">
        <v>6329</v>
      </c>
      <c r="IHW1" s="46" t="s">
        <v>6330</v>
      </c>
      <c r="IHX1" s="46" t="s">
        <v>6331</v>
      </c>
      <c r="IHY1" s="46" t="s">
        <v>6332</v>
      </c>
      <c r="IHZ1" s="46" t="s">
        <v>6333</v>
      </c>
      <c r="IIA1" s="46" t="s">
        <v>6334</v>
      </c>
      <c r="IIB1" s="46" t="s">
        <v>6335</v>
      </c>
      <c r="IIC1" s="46" t="s">
        <v>6336</v>
      </c>
      <c r="IID1" s="46" t="s">
        <v>6337</v>
      </c>
      <c r="IIE1" s="46" t="s">
        <v>6338</v>
      </c>
      <c r="IIF1" s="46" t="s">
        <v>6339</v>
      </c>
      <c r="IIG1" s="46" t="s">
        <v>6340</v>
      </c>
      <c r="IIH1" s="46" t="s">
        <v>6341</v>
      </c>
      <c r="III1" s="46" t="s">
        <v>6342</v>
      </c>
      <c r="IIJ1" s="46" t="s">
        <v>6343</v>
      </c>
      <c r="IIK1" s="46" t="s">
        <v>6344</v>
      </c>
      <c r="IIL1" s="46" t="s">
        <v>6345</v>
      </c>
      <c r="IIM1" s="46" t="s">
        <v>6346</v>
      </c>
      <c r="IIN1" s="46" t="s">
        <v>6347</v>
      </c>
      <c r="IIO1" s="46" t="s">
        <v>6348</v>
      </c>
      <c r="IIP1" s="46" t="s">
        <v>6349</v>
      </c>
      <c r="IIQ1" s="46" t="s">
        <v>6350</v>
      </c>
      <c r="IIR1" s="46" t="s">
        <v>6351</v>
      </c>
      <c r="IIS1" s="46" t="s">
        <v>6352</v>
      </c>
      <c r="IIT1" s="46" t="s">
        <v>6353</v>
      </c>
      <c r="IIU1" s="46" t="s">
        <v>6354</v>
      </c>
      <c r="IIV1" s="46" t="s">
        <v>6355</v>
      </c>
      <c r="IIW1" s="46" t="s">
        <v>6356</v>
      </c>
      <c r="IIX1" s="46" t="s">
        <v>6357</v>
      </c>
      <c r="IIY1" s="46" t="s">
        <v>6358</v>
      </c>
      <c r="IIZ1" s="46" t="s">
        <v>6359</v>
      </c>
      <c r="IJA1" s="46" t="s">
        <v>6360</v>
      </c>
      <c r="IJB1" s="46" t="s">
        <v>6361</v>
      </c>
      <c r="IJC1" s="46" t="s">
        <v>6362</v>
      </c>
      <c r="IJD1" s="46" t="s">
        <v>6363</v>
      </c>
      <c r="IJE1" s="46" t="s">
        <v>6364</v>
      </c>
      <c r="IJF1" s="46" t="s">
        <v>6365</v>
      </c>
      <c r="IJG1" s="46" t="s">
        <v>6366</v>
      </c>
      <c r="IJH1" s="46" t="s">
        <v>6367</v>
      </c>
      <c r="IJI1" s="46" t="s">
        <v>6368</v>
      </c>
      <c r="IJJ1" s="46" t="s">
        <v>6369</v>
      </c>
      <c r="IJK1" s="46" t="s">
        <v>6370</v>
      </c>
      <c r="IJL1" s="46" t="s">
        <v>6371</v>
      </c>
      <c r="IJM1" s="46" t="s">
        <v>6372</v>
      </c>
      <c r="IJN1" s="46" t="s">
        <v>6373</v>
      </c>
      <c r="IJO1" s="46" t="s">
        <v>6374</v>
      </c>
      <c r="IJP1" s="46" t="s">
        <v>6375</v>
      </c>
      <c r="IJQ1" s="46" t="s">
        <v>6376</v>
      </c>
      <c r="IJR1" s="46" t="s">
        <v>6377</v>
      </c>
      <c r="IJS1" s="46" t="s">
        <v>6378</v>
      </c>
      <c r="IJT1" s="46" t="s">
        <v>6379</v>
      </c>
      <c r="IJU1" s="46" t="s">
        <v>6380</v>
      </c>
      <c r="IJV1" s="46" t="s">
        <v>6381</v>
      </c>
      <c r="IJW1" s="46" t="s">
        <v>6382</v>
      </c>
      <c r="IJX1" s="46" t="s">
        <v>6383</v>
      </c>
      <c r="IJY1" s="46" t="s">
        <v>6384</v>
      </c>
      <c r="IJZ1" s="46" t="s">
        <v>6385</v>
      </c>
      <c r="IKA1" s="46" t="s">
        <v>6386</v>
      </c>
      <c r="IKB1" s="46" t="s">
        <v>6387</v>
      </c>
      <c r="IKC1" s="46" t="s">
        <v>6388</v>
      </c>
      <c r="IKD1" s="46" t="s">
        <v>6389</v>
      </c>
      <c r="IKE1" s="46" t="s">
        <v>6390</v>
      </c>
      <c r="IKF1" s="46" t="s">
        <v>6391</v>
      </c>
      <c r="IKG1" s="46" t="s">
        <v>6392</v>
      </c>
      <c r="IKH1" s="46" t="s">
        <v>6393</v>
      </c>
      <c r="IKI1" s="46" t="s">
        <v>6394</v>
      </c>
      <c r="IKJ1" s="46" t="s">
        <v>6395</v>
      </c>
      <c r="IKK1" s="46" t="s">
        <v>6396</v>
      </c>
      <c r="IKL1" s="46" t="s">
        <v>6397</v>
      </c>
      <c r="IKM1" s="46" t="s">
        <v>6398</v>
      </c>
      <c r="IKN1" s="46" t="s">
        <v>6399</v>
      </c>
      <c r="IKO1" s="46" t="s">
        <v>6400</v>
      </c>
      <c r="IKP1" s="46" t="s">
        <v>6401</v>
      </c>
      <c r="IKQ1" s="46" t="s">
        <v>6402</v>
      </c>
      <c r="IKR1" s="46" t="s">
        <v>6403</v>
      </c>
      <c r="IKS1" s="46" t="s">
        <v>6404</v>
      </c>
      <c r="IKT1" s="46" t="s">
        <v>6405</v>
      </c>
      <c r="IKU1" s="46" t="s">
        <v>6406</v>
      </c>
      <c r="IKV1" s="46" t="s">
        <v>6407</v>
      </c>
      <c r="IKW1" s="46" t="s">
        <v>6408</v>
      </c>
      <c r="IKX1" s="46" t="s">
        <v>6409</v>
      </c>
      <c r="IKY1" s="46" t="s">
        <v>6410</v>
      </c>
      <c r="IKZ1" s="46" t="s">
        <v>6411</v>
      </c>
      <c r="ILA1" s="46" t="s">
        <v>6412</v>
      </c>
      <c r="ILB1" s="46" t="s">
        <v>6413</v>
      </c>
      <c r="ILC1" s="46" t="s">
        <v>6414</v>
      </c>
      <c r="ILD1" s="46" t="s">
        <v>6415</v>
      </c>
      <c r="ILE1" s="46" t="s">
        <v>6416</v>
      </c>
      <c r="ILF1" s="46" t="s">
        <v>6417</v>
      </c>
      <c r="ILG1" s="46" t="s">
        <v>6418</v>
      </c>
      <c r="ILH1" s="46" t="s">
        <v>6419</v>
      </c>
      <c r="ILI1" s="46" t="s">
        <v>6420</v>
      </c>
      <c r="ILJ1" s="46" t="s">
        <v>6421</v>
      </c>
      <c r="ILK1" s="46" t="s">
        <v>6422</v>
      </c>
      <c r="ILL1" s="46" t="s">
        <v>6423</v>
      </c>
      <c r="ILM1" s="46" t="s">
        <v>6424</v>
      </c>
      <c r="ILN1" s="46" t="s">
        <v>6425</v>
      </c>
      <c r="ILO1" s="46" t="s">
        <v>6426</v>
      </c>
      <c r="ILP1" s="46" t="s">
        <v>6427</v>
      </c>
      <c r="ILQ1" s="46" t="s">
        <v>6428</v>
      </c>
      <c r="ILR1" s="46" t="s">
        <v>6429</v>
      </c>
      <c r="ILS1" s="46" t="s">
        <v>6430</v>
      </c>
      <c r="ILT1" s="46" t="s">
        <v>6431</v>
      </c>
      <c r="ILU1" s="46" t="s">
        <v>6432</v>
      </c>
      <c r="ILV1" s="46" t="s">
        <v>6433</v>
      </c>
      <c r="ILW1" s="46" t="s">
        <v>6434</v>
      </c>
      <c r="ILX1" s="46" t="s">
        <v>6435</v>
      </c>
      <c r="ILY1" s="46" t="s">
        <v>6436</v>
      </c>
      <c r="ILZ1" s="46" t="s">
        <v>6437</v>
      </c>
      <c r="IMA1" s="46" t="s">
        <v>6438</v>
      </c>
      <c r="IMB1" s="46" t="s">
        <v>6439</v>
      </c>
      <c r="IMC1" s="46" t="s">
        <v>6440</v>
      </c>
      <c r="IMD1" s="46" t="s">
        <v>6441</v>
      </c>
      <c r="IME1" s="46" t="s">
        <v>6442</v>
      </c>
      <c r="IMF1" s="46" t="s">
        <v>6443</v>
      </c>
      <c r="IMG1" s="46" t="s">
        <v>6444</v>
      </c>
      <c r="IMH1" s="46" t="s">
        <v>6445</v>
      </c>
      <c r="IMI1" s="46" t="s">
        <v>6446</v>
      </c>
      <c r="IMJ1" s="46" t="s">
        <v>6447</v>
      </c>
      <c r="IMK1" s="46" t="s">
        <v>6448</v>
      </c>
      <c r="IML1" s="46" t="s">
        <v>6449</v>
      </c>
      <c r="IMM1" s="46" t="s">
        <v>6450</v>
      </c>
      <c r="IMN1" s="46" t="s">
        <v>6451</v>
      </c>
      <c r="IMO1" s="46" t="s">
        <v>6452</v>
      </c>
      <c r="IMP1" s="46" t="s">
        <v>6453</v>
      </c>
      <c r="IMQ1" s="46" t="s">
        <v>6454</v>
      </c>
      <c r="IMR1" s="46" t="s">
        <v>6455</v>
      </c>
      <c r="IMS1" s="46" t="s">
        <v>6456</v>
      </c>
      <c r="IMT1" s="46" t="s">
        <v>6457</v>
      </c>
      <c r="IMU1" s="46" t="s">
        <v>6458</v>
      </c>
      <c r="IMV1" s="46" t="s">
        <v>6459</v>
      </c>
      <c r="IMW1" s="46" t="s">
        <v>6460</v>
      </c>
      <c r="IMX1" s="46" t="s">
        <v>6461</v>
      </c>
      <c r="IMY1" s="46" t="s">
        <v>6462</v>
      </c>
      <c r="IMZ1" s="46" t="s">
        <v>6463</v>
      </c>
      <c r="INA1" s="46" t="s">
        <v>6464</v>
      </c>
      <c r="INB1" s="46" t="s">
        <v>6465</v>
      </c>
      <c r="INC1" s="46" t="s">
        <v>6466</v>
      </c>
      <c r="IND1" s="46" t="s">
        <v>6467</v>
      </c>
      <c r="INE1" s="46" t="s">
        <v>6468</v>
      </c>
      <c r="INF1" s="46" t="s">
        <v>6469</v>
      </c>
      <c r="ING1" s="46" t="s">
        <v>6470</v>
      </c>
      <c r="INH1" s="46" t="s">
        <v>6471</v>
      </c>
      <c r="INI1" s="46" t="s">
        <v>6472</v>
      </c>
      <c r="INJ1" s="46" t="s">
        <v>6473</v>
      </c>
      <c r="INK1" s="46" t="s">
        <v>6474</v>
      </c>
      <c r="INL1" s="46" t="s">
        <v>6475</v>
      </c>
      <c r="INM1" s="46" t="s">
        <v>6476</v>
      </c>
      <c r="INN1" s="46" t="s">
        <v>6477</v>
      </c>
      <c r="INO1" s="46" t="s">
        <v>6478</v>
      </c>
      <c r="INP1" s="46" t="s">
        <v>6479</v>
      </c>
      <c r="INQ1" s="46" t="s">
        <v>6480</v>
      </c>
      <c r="INR1" s="46" t="s">
        <v>6481</v>
      </c>
      <c r="INS1" s="46" t="s">
        <v>6482</v>
      </c>
      <c r="INT1" s="46" t="s">
        <v>6483</v>
      </c>
      <c r="INU1" s="46" t="s">
        <v>6484</v>
      </c>
      <c r="INV1" s="46" t="s">
        <v>6485</v>
      </c>
      <c r="INW1" s="46" t="s">
        <v>6486</v>
      </c>
      <c r="INX1" s="46" t="s">
        <v>6487</v>
      </c>
      <c r="INY1" s="46" t="s">
        <v>6488</v>
      </c>
      <c r="INZ1" s="46" t="s">
        <v>6489</v>
      </c>
      <c r="IOA1" s="46" t="s">
        <v>6490</v>
      </c>
      <c r="IOB1" s="46" t="s">
        <v>6491</v>
      </c>
      <c r="IOC1" s="46" t="s">
        <v>6492</v>
      </c>
      <c r="IOD1" s="46" t="s">
        <v>6493</v>
      </c>
      <c r="IOE1" s="46" t="s">
        <v>6494</v>
      </c>
      <c r="IOF1" s="46" t="s">
        <v>6495</v>
      </c>
      <c r="IOG1" s="46" t="s">
        <v>6496</v>
      </c>
      <c r="IOH1" s="46" t="s">
        <v>6497</v>
      </c>
      <c r="IOI1" s="46" t="s">
        <v>6498</v>
      </c>
      <c r="IOJ1" s="46" t="s">
        <v>6499</v>
      </c>
      <c r="IOK1" s="46" t="s">
        <v>6500</v>
      </c>
      <c r="IOL1" s="46" t="s">
        <v>6501</v>
      </c>
      <c r="IOM1" s="46" t="s">
        <v>6502</v>
      </c>
      <c r="ION1" s="46" t="s">
        <v>6503</v>
      </c>
      <c r="IOO1" s="46" t="s">
        <v>6504</v>
      </c>
      <c r="IOP1" s="46" t="s">
        <v>6505</v>
      </c>
      <c r="IOQ1" s="46" t="s">
        <v>6506</v>
      </c>
      <c r="IOR1" s="46" t="s">
        <v>6507</v>
      </c>
      <c r="IOS1" s="46" t="s">
        <v>6508</v>
      </c>
      <c r="IOT1" s="46" t="s">
        <v>6509</v>
      </c>
      <c r="IOU1" s="46" t="s">
        <v>6510</v>
      </c>
      <c r="IOV1" s="46" t="s">
        <v>6511</v>
      </c>
      <c r="IOW1" s="46" t="s">
        <v>6512</v>
      </c>
      <c r="IOX1" s="46" t="s">
        <v>6513</v>
      </c>
      <c r="IOY1" s="46" t="s">
        <v>6514</v>
      </c>
      <c r="IOZ1" s="46" t="s">
        <v>6515</v>
      </c>
      <c r="IPA1" s="46" t="s">
        <v>6516</v>
      </c>
      <c r="IPB1" s="46" t="s">
        <v>6517</v>
      </c>
      <c r="IPC1" s="46" t="s">
        <v>6518</v>
      </c>
      <c r="IPD1" s="46" t="s">
        <v>6519</v>
      </c>
      <c r="IPE1" s="46" t="s">
        <v>6520</v>
      </c>
      <c r="IPF1" s="46" t="s">
        <v>6521</v>
      </c>
      <c r="IPG1" s="46" t="s">
        <v>6522</v>
      </c>
      <c r="IPH1" s="46" t="s">
        <v>6523</v>
      </c>
      <c r="IPI1" s="46" t="s">
        <v>6524</v>
      </c>
      <c r="IPJ1" s="46" t="s">
        <v>6525</v>
      </c>
      <c r="IPK1" s="46" t="s">
        <v>6526</v>
      </c>
      <c r="IPL1" s="46" t="s">
        <v>6527</v>
      </c>
      <c r="IPM1" s="46" t="s">
        <v>6528</v>
      </c>
      <c r="IPN1" s="46" t="s">
        <v>6529</v>
      </c>
      <c r="IPO1" s="46" t="s">
        <v>6530</v>
      </c>
      <c r="IPP1" s="46" t="s">
        <v>6531</v>
      </c>
      <c r="IPQ1" s="46" t="s">
        <v>6532</v>
      </c>
      <c r="IPR1" s="46" t="s">
        <v>6533</v>
      </c>
      <c r="IPS1" s="46" t="s">
        <v>6534</v>
      </c>
      <c r="IPT1" s="46" t="s">
        <v>6535</v>
      </c>
      <c r="IPU1" s="46" t="s">
        <v>6536</v>
      </c>
      <c r="IPV1" s="46" t="s">
        <v>6537</v>
      </c>
      <c r="IPW1" s="46" t="s">
        <v>6538</v>
      </c>
      <c r="IPX1" s="46" t="s">
        <v>6539</v>
      </c>
      <c r="IPY1" s="46" t="s">
        <v>6540</v>
      </c>
      <c r="IPZ1" s="46" t="s">
        <v>6541</v>
      </c>
      <c r="IQA1" s="46" t="s">
        <v>6542</v>
      </c>
      <c r="IQB1" s="46" t="s">
        <v>6543</v>
      </c>
      <c r="IQC1" s="46" t="s">
        <v>6544</v>
      </c>
      <c r="IQD1" s="46" t="s">
        <v>6545</v>
      </c>
      <c r="IQE1" s="46" t="s">
        <v>6546</v>
      </c>
      <c r="IQF1" s="46" t="s">
        <v>6547</v>
      </c>
      <c r="IQG1" s="46" t="s">
        <v>6548</v>
      </c>
      <c r="IQH1" s="46" t="s">
        <v>6549</v>
      </c>
      <c r="IQI1" s="46" t="s">
        <v>6550</v>
      </c>
      <c r="IQJ1" s="46" t="s">
        <v>6551</v>
      </c>
      <c r="IQK1" s="46" t="s">
        <v>6552</v>
      </c>
      <c r="IQL1" s="46" t="s">
        <v>6553</v>
      </c>
      <c r="IQM1" s="46" t="s">
        <v>6554</v>
      </c>
      <c r="IQN1" s="46" t="s">
        <v>6555</v>
      </c>
      <c r="IQO1" s="46" t="s">
        <v>6556</v>
      </c>
      <c r="IQP1" s="46" t="s">
        <v>6557</v>
      </c>
      <c r="IQQ1" s="46" t="s">
        <v>6558</v>
      </c>
      <c r="IQR1" s="46" t="s">
        <v>6559</v>
      </c>
      <c r="IQS1" s="46" t="s">
        <v>6560</v>
      </c>
      <c r="IQT1" s="46" t="s">
        <v>6561</v>
      </c>
      <c r="IQU1" s="46" t="s">
        <v>6562</v>
      </c>
      <c r="IQV1" s="46" t="s">
        <v>6563</v>
      </c>
      <c r="IQW1" s="46" t="s">
        <v>6564</v>
      </c>
      <c r="IQX1" s="46" t="s">
        <v>6565</v>
      </c>
      <c r="IQY1" s="46" t="s">
        <v>6566</v>
      </c>
      <c r="IQZ1" s="46" t="s">
        <v>6567</v>
      </c>
      <c r="IRA1" s="46" t="s">
        <v>6568</v>
      </c>
      <c r="IRB1" s="46" t="s">
        <v>6569</v>
      </c>
      <c r="IRC1" s="46" t="s">
        <v>6570</v>
      </c>
      <c r="IRD1" s="46" t="s">
        <v>6571</v>
      </c>
      <c r="IRE1" s="46" t="s">
        <v>6572</v>
      </c>
      <c r="IRF1" s="46" t="s">
        <v>6573</v>
      </c>
      <c r="IRG1" s="46" t="s">
        <v>6574</v>
      </c>
      <c r="IRH1" s="46" t="s">
        <v>6575</v>
      </c>
      <c r="IRI1" s="46" t="s">
        <v>6576</v>
      </c>
      <c r="IRJ1" s="46" t="s">
        <v>6577</v>
      </c>
      <c r="IRK1" s="46" t="s">
        <v>6578</v>
      </c>
      <c r="IRL1" s="46" t="s">
        <v>6579</v>
      </c>
      <c r="IRM1" s="46" t="s">
        <v>6580</v>
      </c>
      <c r="IRN1" s="46" t="s">
        <v>6581</v>
      </c>
      <c r="IRO1" s="46" t="s">
        <v>6582</v>
      </c>
      <c r="IRP1" s="46" t="s">
        <v>6583</v>
      </c>
      <c r="IRQ1" s="46" t="s">
        <v>6584</v>
      </c>
      <c r="IRR1" s="46" t="s">
        <v>6585</v>
      </c>
      <c r="IRS1" s="46" t="s">
        <v>6586</v>
      </c>
      <c r="IRT1" s="46" t="s">
        <v>6587</v>
      </c>
      <c r="IRU1" s="46" t="s">
        <v>6588</v>
      </c>
      <c r="IRV1" s="46" t="s">
        <v>6589</v>
      </c>
      <c r="IRW1" s="46" t="s">
        <v>6590</v>
      </c>
      <c r="IRX1" s="46" t="s">
        <v>6591</v>
      </c>
      <c r="IRY1" s="46" t="s">
        <v>6592</v>
      </c>
      <c r="IRZ1" s="46" t="s">
        <v>6593</v>
      </c>
      <c r="ISA1" s="46" t="s">
        <v>6594</v>
      </c>
      <c r="ISB1" s="46" t="s">
        <v>6595</v>
      </c>
      <c r="ISC1" s="46" t="s">
        <v>6596</v>
      </c>
      <c r="ISD1" s="46" t="s">
        <v>6597</v>
      </c>
      <c r="ISE1" s="46" t="s">
        <v>6598</v>
      </c>
      <c r="ISF1" s="46" t="s">
        <v>6599</v>
      </c>
      <c r="ISG1" s="46" t="s">
        <v>6600</v>
      </c>
      <c r="ISH1" s="46" t="s">
        <v>6601</v>
      </c>
      <c r="ISI1" s="46" t="s">
        <v>6602</v>
      </c>
      <c r="ISJ1" s="46" t="s">
        <v>6603</v>
      </c>
      <c r="ISK1" s="46" t="s">
        <v>6604</v>
      </c>
      <c r="ISL1" s="46" t="s">
        <v>6605</v>
      </c>
      <c r="ISM1" s="46" t="s">
        <v>6606</v>
      </c>
      <c r="ISN1" s="46" t="s">
        <v>6607</v>
      </c>
      <c r="ISO1" s="46" t="s">
        <v>6608</v>
      </c>
      <c r="ISP1" s="46" t="s">
        <v>6609</v>
      </c>
      <c r="ISQ1" s="46" t="s">
        <v>6610</v>
      </c>
      <c r="ISR1" s="46" t="s">
        <v>6611</v>
      </c>
      <c r="ISS1" s="46" t="s">
        <v>6612</v>
      </c>
      <c r="IST1" s="46" t="s">
        <v>6613</v>
      </c>
      <c r="ISU1" s="46" t="s">
        <v>6614</v>
      </c>
      <c r="ISV1" s="46" t="s">
        <v>6615</v>
      </c>
      <c r="ISW1" s="46" t="s">
        <v>6616</v>
      </c>
      <c r="ISX1" s="46" t="s">
        <v>6617</v>
      </c>
      <c r="ISY1" s="46" t="s">
        <v>6618</v>
      </c>
      <c r="ISZ1" s="46" t="s">
        <v>6619</v>
      </c>
      <c r="ITA1" s="46" t="s">
        <v>6620</v>
      </c>
      <c r="ITB1" s="46" t="s">
        <v>6621</v>
      </c>
      <c r="ITC1" s="46" t="s">
        <v>6622</v>
      </c>
      <c r="ITD1" s="46" t="s">
        <v>6623</v>
      </c>
      <c r="ITE1" s="46" t="s">
        <v>6624</v>
      </c>
      <c r="ITF1" s="46" t="s">
        <v>6625</v>
      </c>
      <c r="ITG1" s="46" t="s">
        <v>6626</v>
      </c>
      <c r="ITH1" s="46" t="s">
        <v>6627</v>
      </c>
      <c r="ITI1" s="46" t="s">
        <v>6628</v>
      </c>
      <c r="ITJ1" s="46" t="s">
        <v>6629</v>
      </c>
      <c r="ITK1" s="46" t="s">
        <v>6630</v>
      </c>
      <c r="ITL1" s="46" t="s">
        <v>6631</v>
      </c>
      <c r="ITM1" s="46" t="s">
        <v>6632</v>
      </c>
      <c r="ITN1" s="46" t="s">
        <v>6633</v>
      </c>
      <c r="ITO1" s="46" t="s">
        <v>6634</v>
      </c>
      <c r="ITP1" s="46" t="s">
        <v>6635</v>
      </c>
      <c r="ITQ1" s="46" t="s">
        <v>6636</v>
      </c>
      <c r="ITR1" s="46" t="s">
        <v>6637</v>
      </c>
      <c r="ITS1" s="46" t="s">
        <v>6638</v>
      </c>
      <c r="ITT1" s="46" t="s">
        <v>6639</v>
      </c>
      <c r="ITU1" s="46" t="s">
        <v>6640</v>
      </c>
      <c r="ITV1" s="46" t="s">
        <v>6641</v>
      </c>
      <c r="ITW1" s="46" t="s">
        <v>6642</v>
      </c>
      <c r="ITX1" s="46" t="s">
        <v>6643</v>
      </c>
      <c r="ITY1" s="46" t="s">
        <v>6644</v>
      </c>
      <c r="ITZ1" s="46" t="s">
        <v>6645</v>
      </c>
      <c r="IUA1" s="46" t="s">
        <v>6646</v>
      </c>
      <c r="IUB1" s="46" t="s">
        <v>6647</v>
      </c>
      <c r="IUC1" s="46" t="s">
        <v>6648</v>
      </c>
      <c r="IUD1" s="46" t="s">
        <v>6649</v>
      </c>
      <c r="IUE1" s="46" t="s">
        <v>6650</v>
      </c>
      <c r="IUF1" s="46" t="s">
        <v>6651</v>
      </c>
      <c r="IUG1" s="46" t="s">
        <v>6652</v>
      </c>
      <c r="IUH1" s="46" t="s">
        <v>6653</v>
      </c>
      <c r="IUI1" s="46" t="s">
        <v>6654</v>
      </c>
      <c r="IUJ1" s="46" t="s">
        <v>6655</v>
      </c>
      <c r="IUK1" s="46" t="s">
        <v>6656</v>
      </c>
      <c r="IUL1" s="46" t="s">
        <v>6657</v>
      </c>
      <c r="IUM1" s="46" t="s">
        <v>6658</v>
      </c>
      <c r="IUN1" s="46" t="s">
        <v>6659</v>
      </c>
      <c r="IUO1" s="46" t="s">
        <v>6660</v>
      </c>
      <c r="IUP1" s="46" t="s">
        <v>6661</v>
      </c>
      <c r="IUQ1" s="46" t="s">
        <v>6662</v>
      </c>
      <c r="IUR1" s="46" t="s">
        <v>6663</v>
      </c>
      <c r="IUS1" s="46" t="s">
        <v>6664</v>
      </c>
      <c r="IUT1" s="46" t="s">
        <v>6665</v>
      </c>
      <c r="IUU1" s="46" t="s">
        <v>6666</v>
      </c>
      <c r="IUV1" s="46" t="s">
        <v>6667</v>
      </c>
      <c r="IUW1" s="46" t="s">
        <v>6668</v>
      </c>
      <c r="IUX1" s="46" t="s">
        <v>6669</v>
      </c>
      <c r="IUY1" s="46" t="s">
        <v>6670</v>
      </c>
      <c r="IUZ1" s="46" t="s">
        <v>6671</v>
      </c>
      <c r="IVA1" s="46" t="s">
        <v>6672</v>
      </c>
      <c r="IVB1" s="46" t="s">
        <v>6673</v>
      </c>
      <c r="IVC1" s="46" t="s">
        <v>6674</v>
      </c>
      <c r="IVD1" s="46" t="s">
        <v>6675</v>
      </c>
      <c r="IVE1" s="46" t="s">
        <v>6676</v>
      </c>
      <c r="IVF1" s="46" t="s">
        <v>6677</v>
      </c>
      <c r="IVG1" s="46" t="s">
        <v>6678</v>
      </c>
      <c r="IVH1" s="46" t="s">
        <v>6679</v>
      </c>
      <c r="IVI1" s="46" t="s">
        <v>6680</v>
      </c>
      <c r="IVJ1" s="46" t="s">
        <v>6681</v>
      </c>
      <c r="IVK1" s="46" t="s">
        <v>6682</v>
      </c>
      <c r="IVL1" s="46" t="s">
        <v>6683</v>
      </c>
      <c r="IVM1" s="46" t="s">
        <v>6684</v>
      </c>
      <c r="IVN1" s="46" t="s">
        <v>6685</v>
      </c>
      <c r="IVO1" s="46" t="s">
        <v>6686</v>
      </c>
      <c r="IVP1" s="46" t="s">
        <v>6687</v>
      </c>
      <c r="IVQ1" s="46" t="s">
        <v>6688</v>
      </c>
      <c r="IVR1" s="46" t="s">
        <v>6689</v>
      </c>
      <c r="IVS1" s="46" t="s">
        <v>6690</v>
      </c>
      <c r="IVT1" s="46" t="s">
        <v>6691</v>
      </c>
      <c r="IVU1" s="46" t="s">
        <v>6692</v>
      </c>
      <c r="IVV1" s="46" t="s">
        <v>6693</v>
      </c>
      <c r="IVW1" s="46" t="s">
        <v>6694</v>
      </c>
      <c r="IVX1" s="46" t="s">
        <v>6695</v>
      </c>
      <c r="IVY1" s="46" t="s">
        <v>6696</v>
      </c>
      <c r="IVZ1" s="46" t="s">
        <v>6697</v>
      </c>
      <c r="IWA1" s="46" t="s">
        <v>6698</v>
      </c>
      <c r="IWB1" s="46" t="s">
        <v>6699</v>
      </c>
      <c r="IWC1" s="46" t="s">
        <v>6700</v>
      </c>
      <c r="IWD1" s="46" t="s">
        <v>6701</v>
      </c>
      <c r="IWE1" s="46" t="s">
        <v>6702</v>
      </c>
      <c r="IWF1" s="46" t="s">
        <v>6703</v>
      </c>
      <c r="IWG1" s="46" t="s">
        <v>6704</v>
      </c>
      <c r="IWH1" s="46" t="s">
        <v>6705</v>
      </c>
      <c r="IWI1" s="46" t="s">
        <v>6706</v>
      </c>
      <c r="IWJ1" s="46" t="s">
        <v>6707</v>
      </c>
      <c r="IWK1" s="46" t="s">
        <v>6708</v>
      </c>
      <c r="IWL1" s="46" t="s">
        <v>6709</v>
      </c>
      <c r="IWM1" s="46" t="s">
        <v>6710</v>
      </c>
      <c r="IWN1" s="46" t="s">
        <v>6711</v>
      </c>
      <c r="IWO1" s="46" t="s">
        <v>6712</v>
      </c>
      <c r="IWP1" s="46" t="s">
        <v>6713</v>
      </c>
      <c r="IWQ1" s="46" t="s">
        <v>6714</v>
      </c>
      <c r="IWR1" s="46" t="s">
        <v>6715</v>
      </c>
      <c r="IWS1" s="46" t="s">
        <v>6716</v>
      </c>
      <c r="IWT1" s="46" t="s">
        <v>6717</v>
      </c>
      <c r="IWU1" s="46" t="s">
        <v>6718</v>
      </c>
      <c r="IWV1" s="46" t="s">
        <v>6719</v>
      </c>
      <c r="IWW1" s="46" t="s">
        <v>6720</v>
      </c>
      <c r="IWX1" s="46" t="s">
        <v>6721</v>
      </c>
      <c r="IWY1" s="46" t="s">
        <v>6722</v>
      </c>
      <c r="IWZ1" s="46" t="s">
        <v>6723</v>
      </c>
      <c r="IXA1" s="46" t="s">
        <v>6724</v>
      </c>
      <c r="IXB1" s="46" t="s">
        <v>6725</v>
      </c>
      <c r="IXC1" s="46" t="s">
        <v>6726</v>
      </c>
      <c r="IXD1" s="46" t="s">
        <v>6727</v>
      </c>
      <c r="IXE1" s="46" t="s">
        <v>6728</v>
      </c>
      <c r="IXF1" s="46" t="s">
        <v>6729</v>
      </c>
      <c r="IXG1" s="46" t="s">
        <v>6730</v>
      </c>
      <c r="IXH1" s="46" t="s">
        <v>6731</v>
      </c>
      <c r="IXI1" s="46" t="s">
        <v>6732</v>
      </c>
      <c r="IXJ1" s="46" t="s">
        <v>6733</v>
      </c>
      <c r="IXK1" s="46" t="s">
        <v>6734</v>
      </c>
      <c r="IXL1" s="46" t="s">
        <v>6735</v>
      </c>
      <c r="IXM1" s="46" t="s">
        <v>6736</v>
      </c>
      <c r="IXN1" s="46" t="s">
        <v>6737</v>
      </c>
      <c r="IXO1" s="46" t="s">
        <v>6738</v>
      </c>
      <c r="IXP1" s="46" t="s">
        <v>6739</v>
      </c>
      <c r="IXQ1" s="46" t="s">
        <v>6740</v>
      </c>
      <c r="IXR1" s="46" t="s">
        <v>6741</v>
      </c>
      <c r="IXS1" s="46" t="s">
        <v>6742</v>
      </c>
      <c r="IXT1" s="46" t="s">
        <v>6743</v>
      </c>
      <c r="IXU1" s="46" t="s">
        <v>6744</v>
      </c>
      <c r="IXV1" s="46" t="s">
        <v>6745</v>
      </c>
      <c r="IXW1" s="46" t="s">
        <v>6746</v>
      </c>
      <c r="IXX1" s="46" t="s">
        <v>6747</v>
      </c>
      <c r="IXY1" s="46" t="s">
        <v>6748</v>
      </c>
      <c r="IXZ1" s="46" t="s">
        <v>6749</v>
      </c>
      <c r="IYA1" s="46" t="s">
        <v>6750</v>
      </c>
      <c r="IYB1" s="46" t="s">
        <v>6751</v>
      </c>
      <c r="IYC1" s="46" t="s">
        <v>6752</v>
      </c>
      <c r="IYD1" s="46" t="s">
        <v>6753</v>
      </c>
      <c r="IYE1" s="46" t="s">
        <v>6754</v>
      </c>
      <c r="IYF1" s="46" t="s">
        <v>6755</v>
      </c>
      <c r="IYG1" s="46" t="s">
        <v>6756</v>
      </c>
      <c r="IYH1" s="46" t="s">
        <v>6757</v>
      </c>
      <c r="IYI1" s="46" t="s">
        <v>6758</v>
      </c>
      <c r="IYJ1" s="46" t="s">
        <v>6759</v>
      </c>
      <c r="IYK1" s="46" t="s">
        <v>6760</v>
      </c>
      <c r="IYL1" s="46" t="s">
        <v>6761</v>
      </c>
      <c r="IYM1" s="46" t="s">
        <v>6762</v>
      </c>
      <c r="IYN1" s="46" t="s">
        <v>6763</v>
      </c>
      <c r="IYO1" s="46" t="s">
        <v>6764</v>
      </c>
      <c r="IYP1" s="46" t="s">
        <v>6765</v>
      </c>
      <c r="IYQ1" s="46" t="s">
        <v>6766</v>
      </c>
      <c r="IYR1" s="46" t="s">
        <v>6767</v>
      </c>
      <c r="IYS1" s="46" t="s">
        <v>6768</v>
      </c>
      <c r="IYT1" s="46" t="s">
        <v>6769</v>
      </c>
      <c r="IYU1" s="46" t="s">
        <v>6770</v>
      </c>
      <c r="IYV1" s="46" t="s">
        <v>6771</v>
      </c>
      <c r="IYW1" s="46" t="s">
        <v>6772</v>
      </c>
      <c r="IYX1" s="46" t="s">
        <v>6773</v>
      </c>
      <c r="IYY1" s="46" t="s">
        <v>6774</v>
      </c>
      <c r="IYZ1" s="46" t="s">
        <v>6775</v>
      </c>
      <c r="IZA1" s="46" t="s">
        <v>6776</v>
      </c>
      <c r="IZB1" s="46" t="s">
        <v>6777</v>
      </c>
      <c r="IZC1" s="46" t="s">
        <v>6778</v>
      </c>
      <c r="IZD1" s="46" t="s">
        <v>6779</v>
      </c>
      <c r="IZE1" s="46" t="s">
        <v>6780</v>
      </c>
      <c r="IZF1" s="46" t="s">
        <v>6781</v>
      </c>
      <c r="IZG1" s="46" t="s">
        <v>6782</v>
      </c>
      <c r="IZH1" s="46" t="s">
        <v>6783</v>
      </c>
      <c r="IZI1" s="46" t="s">
        <v>6784</v>
      </c>
      <c r="IZJ1" s="46" t="s">
        <v>6785</v>
      </c>
      <c r="IZK1" s="46" t="s">
        <v>6786</v>
      </c>
      <c r="IZL1" s="46" t="s">
        <v>6787</v>
      </c>
      <c r="IZM1" s="46" t="s">
        <v>6788</v>
      </c>
      <c r="IZN1" s="46" t="s">
        <v>6789</v>
      </c>
      <c r="IZO1" s="46" t="s">
        <v>6790</v>
      </c>
      <c r="IZP1" s="46" t="s">
        <v>6791</v>
      </c>
      <c r="IZQ1" s="46" t="s">
        <v>6792</v>
      </c>
      <c r="IZR1" s="46" t="s">
        <v>6793</v>
      </c>
      <c r="IZS1" s="46" t="s">
        <v>6794</v>
      </c>
      <c r="IZT1" s="46" t="s">
        <v>6795</v>
      </c>
      <c r="IZU1" s="46" t="s">
        <v>6796</v>
      </c>
      <c r="IZV1" s="46" t="s">
        <v>6797</v>
      </c>
      <c r="IZW1" s="46" t="s">
        <v>6798</v>
      </c>
      <c r="IZX1" s="46" t="s">
        <v>6799</v>
      </c>
      <c r="IZY1" s="46" t="s">
        <v>6800</v>
      </c>
      <c r="IZZ1" s="46" t="s">
        <v>6801</v>
      </c>
      <c r="JAA1" s="46" t="s">
        <v>6802</v>
      </c>
      <c r="JAB1" s="46" t="s">
        <v>6803</v>
      </c>
      <c r="JAC1" s="46" t="s">
        <v>6804</v>
      </c>
      <c r="JAD1" s="46" t="s">
        <v>6805</v>
      </c>
      <c r="JAE1" s="46" t="s">
        <v>6806</v>
      </c>
      <c r="JAF1" s="46" t="s">
        <v>6807</v>
      </c>
      <c r="JAG1" s="46" t="s">
        <v>6808</v>
      </c>
      <c r="JAH1" s="46" t="s">
        <v>6809</v>
      </c>
      <c r="JAI1" s="46" t="s">
        <v>6810</v>
      </c>
      <c r="JAJ1" s="46" t="s">
        <v>6811</v>
      </c>
      <c r="JAK1" s="46" t="s">
        <v>6812</v>
      </c>
      <c r="JAL1" s="46" t="s">
        <v>6813</v>
      </c>
      <c r="JAM1" s="46" t="s">
        <v>6814</v>
      </c>
      <c r="JAN1" s="46" t="s">
        <v>6815</v>
      </c>
      <c r="JAO1" s="46" t="s">
        <v>6816</v>
      </c>
      <c r="JAP1" s="46" t="s">
        <v>6817</v>
      </c>
      <c r="JAQ1" s="46" t="s">
        <v>6818</v>
      </c>
      <c r="JAR1" s="46" t="s">
        <v>6819</v>
      </c>
      <c r="JAS1" s="46" t="s">
        <v>6820</v>
      </c>
      <c r="JAT1" s="46" t="s">
        <v>6821</v>
      </c>
      <c r="JAU1" s="46" t="s">
        <v>6822</v>
      </c>
      <c r="JAV1" s="46" t="s">
        <v>6823</v>
      </c>
      <c r="JAW1" s="46" t="s">
        <v>6824</v>
      </c>
      <c r="JAX1" s="46" t="s">
        <v>6825</v>
      </c>
      <c r="JAY1" s="46" t="s">
        <v>6826</v>
      </c>
      <c r="JAZ1" s="46" t="s">
        <v>6827</v>
      </c>
      <c r="JBA1" s="46" t="s">
        <v>6828</v>
      </c>
      <c r="JBB1" s="46" t="s">
        <v>6829</v>
      </c>
      <c r="JBC1" s="46" t="s">
        <v>6830</v>
      </c>
      <c r="JBD1" s="46" t="s">
        <v>6831</v>
      </c>
      <c r="JBE1" s="46" t="s">
        <v>6832</v>
      </c>
      <c r="JBF1" s="46" t="s">
        <v>6833</v>
      </c>
      <c r="JBG1" s="46" t="s">
        <v>6834</v>
      </c>
      <c r="JBH1" s="46" t="s">
        <v>6835</v>
      </c>
      <c r="JBI1" s="46" t="s">
        <v>6836</v>
      </c>
      <c r="JBJ1" s="46" t="s">
        <v>6837</v>
      </c>
      <c r="JBK1" s="46" t="s">
        <v>6838</v>
      </c>
      <c r="JBL1" s="46" t="s">
        <v>6839</v>
      </c>
      <c r="JBM1" s="46" t="s">
        <v>6840</v>
      </c>
      <c r="JBN1" s="46" t="s">
        <v>6841</v>
      </c>
      <c r="JBO1" s="46" t="s">
        <v>6842</v>
      </c>
      <c r="JBP1" s="46" t="s">
        <v>6843</v>
      </c>
      <c r="JBQ1" s="46" t="s">
        <v>6844</v>
      </c>
      <c r="JBR1" s="46" t="s">
        <v>6845</v>
      </c>
      <c r="JBS1" s="46" t="s">
        <v>6846</v>
      </c>
      <c r="JBT1" s="46" t="s">
        <v>6847</v>
      </c>
      <c r="JBU1" s="46" t="s">
        <v>6848</v>
      </c>
      <c r="JBV1" s="46" t="s">
        <v>6849</v>
      </c>
      <c r="JBW1" s="46" t="s">
        <v>6850</v>
      </c>
      <c r="JBX1" s="46" t="s">
        <v>6851</v>
      </c>
      <c r="JBY1" s="46" t="s">
        <v>6852</v>
      </c>
      <c r="JBZ1" s="46" t="s">
        <v>6853</v>
      </c>
      <c r="JCA1" s="46" t="s">
        <v>6854</v>
      </c>
      <c r="JCB1" s="46" t="s">
        <v>6855</v>
      </c>
      <c r="JCC1" s="46" t="s">
        <v>6856</v>
      </c>
      <c r="JCD1" s="46" t="s">
        <v>6857</v>
      </c>
      <c r="JCE1" s="46" t="s">
        <v>6858</v>
      </c>
      <c r="JCF1" s="46" t="s">
        <v>6859</v>
      </c>
      <c r="JCG1" s="46" t="s">
        <v>6860</v>
      </c>
      <c r="JCH1" s="46" t="s">
        <v>6861</v>
      </c>
      <c r="JCI1" s="46" t="s">
        <v>6862</v>
      </c>
      <c r="JCJ1" s="46" t="s">
        <v>6863</v>
      </c>
      <c r="JCK1" s="46" t="s">
        <v>6864</v>
      </c>
      <c r="JCL1" s="46" t="s">
        <v>6865</v>
      </c>
      <c r="JCM1" s="46" t="s">
        <v>6866</v>
      </c>
      <c r="JCN1" s="46" t="s">
        <v>6867</v>
      </c>
      <c r="JCO1" s="46" t="s">
        <v>6868</v>
      </c>
      <c r="JCP1" s="46" t="s">
        <v>6869</v>
      </c>
      <c r="JCQ1" s="46" t="s">
        <v>6870</v>
      </c>
      <c r="JCR1" s="46" t="s">
        <v>6871</v>
      </c>
      <c r="JCS1" s="46" t="s">
        <v>6872</v>
      </c>
      <c r="JCT1" s="46" t="s">
        <v>6873</v>
      </c>
      <c r="JCU1" s="46" t="s">
        <v>6874</v>
      </c>
      <c r="JCV1" s="46" t="s">
        <v>6875</v>
      </c>
      <c r="JCW1" s="46" t="s">
        <v>6876</v>
      </c>
      <c r="JCX1" s="46" t="s">
        <v>6877</v>
      </c>
      <c r="JCY1" s="46" t="s">
        <v>6878</v>
      </c>
      <c r="JCZ1" s="46" t="s">
        <v>6879</v>
      </c>
      <c r="JDA1" s="46" t="s">
        <v>6880</v>
      </c>
      <c r="JDB1" s="46" t="s">
        <v>6881</v>
      </c>
      <c r="JDC1" s="46" t="s">
        <v>6882</v>
      </c>
      <c r="JDD1" s="46" t="s">
        <v>6883</v>
      </c>
      <c r="JDE1" s="46" t="s">
        <v>6884</v>
      </c>
      <c r="JDF1" s="46" t="s">
        <v>6885</v>
      </c>
      <c r="JDG1" s="46" t="s">
        <v>6886</v>
      </c>
      <c r="JDH1" s="46" t="s">
        <v>6887</v>
      </c>
      <c r="JDI1" s="46" t="s">
        <v>6888</v>
      </c>
      <c r="JDJ1" s="46" t="s">
        <v>6889</v>
      </c>
      <c r="JDK1" s="46" t="s">
        <v>6890</v>
      </c>
      <c r="JDL1" s="46" t="s">
        <v>6891</v>
      </c>
      <c r="JDM1" s="46" t="s">
        <v>6892</v>
      </c>
      <c r="JDN1" s="46" t="s">
        <v>6893</v>
      </c>
      <c r="JDO1" s="46" t="s">
        <v>6894</v>
      </c>
      <c r="JDP1" s="46" t="s">
        <v>6895</v>
      </c>
      <c r="JDQ1" s="46" t="s">
        <v>6896</v>
      </c>
      <c r="JDR1" s="46" t="s">
        <v>6897</v>
      </c>
      <c r="JDS1" s="46" t="s">
        <v>6898</v>
      </c>
      <c r="JDT1" s="46" t="s">
        <v>6899</v>
      </c>
      <c r="JDU1" s="46" t="s">
        <v>6900</v>
      </c>
      <c r="JDV1" s="46" t="s">
        <v>6901</v>
      </c>
      <c r="JDW1" s="46" t="s">
        <v>6902</v>
      </c>
      <c r="JDX1" s="46" t="s">
        <v>6903</v>
      </c>
      <c r="JDY1" s="46" t="s">
        <v>6904</v>
      </c>
      <c r="JDZ1" s="46" t="s">
        <v>6905</v>
      </c>
      <c r="JEA1" s="46" t="s">
        <v>6906</v>
      </c>
      <c r="JEB1" s="46" t="s">
        <v>6907</v>
      </c>
      <c r="JEC1" s="46" t="s">
        <v>6908</v>
      </c>
      <c r="JED1" s="46" t="s">
        <v>6909</v>
      </c>
      <c r="JEE1" s="46" t="s">
        <v>6910</v>
      </c>
      <c r="JEF1" s="46" t="s">
        <v>6911</v>
      </c>
      <c r="JEG1" s="46" t="s">
        <v>6912</v>
      </c>
      <c r="JEH1" s="46" t="s">
        <v>6913</v>
      </c>
      <c r="JEI1" s="46" t="s">
        <v>6914</v>
      </c>
      <c r="JEJ1" s="46" t="s">
        <v>6915</v>
      </c>
      <c r="JEK1" s="46" t="s">
        <v>6916</v>
      </c>
      <c r="JEL1" s="46" t="s">
        <v>6917</v>
      </c>
      <c r="JEM1" s="46" t="s">
        <v>6918</v>
      </c>
      <c r="JEN1" s="46" t="s">
        <v>6919</v>
      </c>
      <c r="JEO1" s="46" t="s">
        <v>6920</v>
      </c>
      <c r="JEP1" s="46" t="s">
        <v>6921</v>
      </c>
      <c r="JEQ1" s="46" t="s">
        <v>6922</v>
      </c>
      <c r="JER1" s="46" t="s">
        <v>6923</v>
      </c>
      <c r="JES1" s="46" t="s">
        <v>6924</v>
      </c>
      <c r="JET1" s="46" t="s">
        <v>6925</v>
      </c>
      <c r="JEU1" s="46" t="s">
        <v>6926</v>
      </c>
      <c r="JEV1" s="46" t="s">
        <v>6927</v>
      </c>
      <c r="JEW1" s="46" t="s">
        <v>6928</v>
      </c>
      <c r="JEX1" s="46" t="s">
        <v>6929</v>
      </c>
      <c r="JEY1" s="46" t="s">
        <v>6930</v>
      </c>
      <c r="JEZ1" s="46" t="s">
        <v>6931</v>
      </c>
      <c r="JFA1" s="46" t="s">
        <v>6932</v>
      </c>
      <c r="JFB1" s="46" t="s">
        <v>6933</v>
      </c>
      <c r="JFC1" s="46" t="s">
        <v>6934</v>
      </c>
      <c r="JFD1" s="46" t="s">
        <v>6935</v>
      </c>
      <c r="JFE1" s="46" t="s">
        <v>6936</v>
      </c>
      <c r="JFF1" s="46" t="s">
        <v>6937</v>
      </c>
      <c r="JFG1" s="46" t="s">
        <v>6938</v>
      </c>
      <c r="JFH1" s="46" t="s">
        <v>6939</v>
      </c>
      <c r="JFI1" s="46" t="s">
        <v>6940</v>
      </c>
      <c r="JFJ1" s="46" t="s">
        <v>6941</v>
      </c>
      <c r="JFK1" s="46" t="s">
        <v>6942</v>
      </c>
      <c r="JFL1" s="46" t="s">
        <v>6943</v>
      </c>
      <c r="JFM1" s="46" t="s">
        <v>6944</v>
      </c>
      <c r="JFN1" s="46" t="s">
        <v>6945</v>
      </c>
      <c r="JFO1" s="46" t="s">
        <v>6946</v>
      </c>
      <c r="JFP1" s="46" t="s">
        <v>6947</v>
      </c>
      <c r="JFQ1" s="46" t="s">
        <v>6948</v>
      </c>
      <c r="JFR1" s="46" t="s">
        <v>6949</v>
      </c>
      <c r="JFS1" s="46" t="s">
        <v>6950</v>
      </c>
      <c r="JFT1" s="46" t="s">
        <v>6951</v>
      </c>
      <c r="JFU1" s="46" t="s">
        <v>6952</v>
      </c>
      <c r="JFV1" s="46" t="s">
        <v>6953</v>
      </c>
      <c r="JFW1" s="46" t="s">
        <v>6954</v>
      </c>
      <c r="JFX1" s="46" t="s">
        <v>6955</v>
      </c>
      <c r="JFY1" s="46" t="s">
        <v>6956</v>
      </c>
      <c r="JFZ1" s="46" t="s">
        <v>6957</v>
      </c>
      <c r="JGA1" s="46" t="s">
        <v>6958</v>
      </c>
      <c r="JGB1" s="46" t="s">
        <v>6959</v>
      </c>
      <c r="JGC1" s="46" t="s">
        <v>6960</v>
      </c>
      <c r="JGD1" s="46" t="s">
        <v>6961</v>
      </c>
      <c r="JGE1" s="46" t="s">
        <v>6962</v>
      </c>
      <c r="JGF1" s="46" t="s">
        <v>6963</v>
      </c>
      <c r="JGG1" s="46" t="s">
        <v>6964</v>
      </c>
      <c r="JGH1" s="46" t="s">
        <v>6965</v>
      </c>
      <c r="JGI1" s="46" t="s">
        <v>6966</v>
      </c>
      <c r="JGJ1" s="46" t="s">
        <v>6967</v>
      </c>
      <c r="JGK1" s="46" t="s">
        <v>6968</v>
      </c>
      <c r="JGL1" s="46" t="s">
        <v>6969</v>
      </c>
      <c r="JGM1" s="46" t="s">
        <v>6970</v>
      </c>
      <c r="JGN1" s="46" t="s">
        <v>6971</v>
      </c>
      <c r="JGO1" s="46" t="s">
        <v>6972</v>
      </c>
      <c r="JGP1" s="46" t="s">
        <v>6973</v>
      </c>
      <c r="JGQ1" s="46" t="s">
        <v>6974</v>
      </c>
      <c r="JGR1" s="46" t="s">
        <v>6975</v>
      </c>
      <c r="JGS1" s="46" t="s">
        <v>6976</v>
      </c>
      <c r="JGT1" s="46" t="s">
        <v>6977</v>
      </c>
      <c r="JGU1" s="46" t="s">
        <v>6978</v>
      </c>
      <c r="JGV1" s="46" t="s">
        <v>6979</v>
      </c>
      <c r="JGW1" s="46" t="s">
        <v>6980</v>
      </c>
      <c r="JGX1" s="46" t="s">
        <v>6981</v>
      </c>
      <c r="JGY1" s="46" t="s">
        <v>6982</v>
      </c>
      <c r="JGZ1" s="46" t="s">
        <v>6983</v>
      </c>
      <c r="JHA1" s="46" t="s">
        <v>6984</v>
      </c>
      <c r="JHB1" s="46" t="s">
        <v>6985</v>
      </c>
      <c r="JHC1" s="46" t="s">
        <v>6986</v>
      </c>
      <c r="JHD1" s="46" t="s">
        <v>6987</v>
      </c>
      <c r="JHE1" s="46" t="s">
        <v>6988</v>
      </c>
      <c r="JHF1" s="46" t="s">
        <v>6989</v>
      </c>
      <c r="JHG1" s="46" t="s">
        <v>6990</v>
      </c>
      <c r="JHH1" s="46" t="s">
        <v>6991</v>
      </c>
      <c r="JHI1" s="46" t="s">
        <v>6992</v>
      </c>
      <c r="JHJ1" s="46" t="s">
        <v>6993</v>
      </c>
      <c r="JHK1" s="46" t="s">
        <v>6994</v>
      </c>
      <c r="JHL1" s="46" t="s">
        <v>6995</v>
      </c>
      <c r="JHM1" s="46" t="s">
        <v>6996</v>
      </c>
      <c r="JHN1" s="46" t="s">
        <v>6997</v>
      </c>
      <c r="JHO1" s="46" t="s">
        <v>6998</v>
      </c>
      <c r="JHP1" s="46" t="s">
        <v>6999</v>
      </c>
      <c r="JHQ1" s="46" t="s">
        <v>7000</v>
      </c>
      <c r="JHR1" s="46" t="s">
        <v>7001</v>
      </c>
      <c r="JHS1" s="46" t="s">
        <v>7002</v>
      </c>
      <c r="JHT1" s="46" t="s">
        <v>7003</v>
      </c>
      <c r="JHU1" s="46" t="s">
        <v>7004</v>
      </c>
      <c r="JHV1" s="46" t="s">
        <v>7005</v>
      </c>
      <c r="JHW1" s="46" t="s">
        <v>7006</v>
      </c>
      <c r="JHX1" s="46" t="s">
        <v>7007</v>
      </c>
      <c r="JHY1" s="46" t="s">
        <v>7008</v>
      </c>
      <c r="JHZ1" s="46" t="s">
        <v>7009</v>
      </c>
      <c r="JIA1" s="46" t="s">
        <v>7010</v>
      </c>
      <c r="JIB1" s="46" t="s">
        <v>7011</v>
      </c>
      <c r="JIC1" s="46" t="s">
        <v>7012</v>
      </c>
      <c r="JID1" s="46" t="s">
        <v>7013</v>
      </c>
      <c r="JIE1" s="46" t="s">
        <v>7014</v>
      </c>
      <c r="JIF1" s="46" t="s">
        <v>7015</v>
      </c>
      <c r="JIG1" s="46" t="s">
        <v>7016</v>
      </c>
      <c r="JIH1" s="46" t="s">
        <v>7017</v>
      </c>
      <c r="JII1" s="46" t="s">
        <v>7018</v>
      </c>
      <c r="JIJ1" s="46" t="s">
        <v>7019</v>
      </c>
      <c r="JIK1" s="46" t="s">
        <v>7020</v>
      </c>
      <c r="JIL1" s="46" t="s">
        <v>7021</v>
      </c>
      <c r="JIM1" s="46" t="s">
        <v>7022</v>
      </c>
      <c r="JIN1" s="46" t="s">
        <v>7023</v>
      </c>
      <c r="JIO1" s="46" t="s">
        <v>7024</v>
      </c>
      <c r="JIP1" s="46" t="s">
        <v>7025</v>
      </c>
      <c r="JIQ1" s="46" t="s">
        <v>7026</v>
      </c>
      <c r="JIR1" s="46" t="s">
        <v>7027</v>
      </c>
      <c r="JIS1" s="46" t="s">
        <v>7028</v>
      </c>
      <c r="JIT1" s="46" t="s">
        <v>7029</v>
      </c>
      <c r="JIU1" s="46" t="s">
        <v>7030</v>
      </c>
      <c r="JIV1" s="46" t="s">
        <v>7031</v>
      </c>
      <c r="JIW1" s="46" t="s">
        <v>7032</v>
      </c>
      <c r="JIX1" s="46" t="s">
        <v>7033</v>
      </c>
      <c r="JIY1" s="46" t="s">
        <v>7034</v>
      </c>
      <c r="JIZ1" s="46" t="s">
        <v>7035</v>
      </c>
      <c r="JJA1" s="46" t="s">
        <v>7036</v>
      </c>
      <c r="JJB1" s="46" t="s">
        <v>7037</v>
      </c>
      <c r="JJC1" s="46" t="s">
        <v>7038</v>
      </c>
      <c r="JJD1" s="46" t="s">
        <v>7039</v>
      </c>
      <c r="JJE1" s="46" t="s">
        <v>7040</v>
      </c>
      <c r="JJF1" s="46" t="s">
        <v>7041</v>
      </c>
      <c r="JJG1" s="46" t="s">
        <v>7042</v>
      </c>
      <c r="JJH1" s="46" t="s">
        <v>7043</v>
      </c>
      <c r="JJI1" s="46" t="s">
        <v>7044</v>
      </c>
      <c r="JJJ1" s="46" t="s">
        <v>7045</v>
      </c>
      <c r="JJK1" s="46" t="s">
        <v>7046</v>
      </c>
      <c r="JJL1" s="46" t="s">
        <v>7047</v>
      </c>
      <c r="JJM1" s="46" t="s">
        <v>7048</v>
      </c>
      <c r="JJN1" s="46" t="s">
        <v>7049</v>
      </c>
      <c r="JJO1" s="46" t="s">
        <v>7050</v>
      </c>
      <c r="JJP1" s="46" t="s">
        <v>7051</v>
      </c>
      <c r="JJQ1" s="46" t="s">
        <v>7052</v>
      </c>
      <c r="JJR1" s="46" t="s">
        <v>7053</v>
      </c>
      <c r="JJS1" s="46" t="s">
        <v>7054</v>
      </c>
      <c r="JJT1" s="46" t="s">
        <v>7055</v>
      </c>
      <c r="JJU1" s="46" t="s">
        <v>7056</v>
      </c>
      <c r="JJV1" s="46" t="s">
        <v>7057</v>
      </c>
      <c r="JJW1" s="46" t="s">
        <v>7058</v>
      </c>
      <c r="JJX1" s="46" t="s">
        <v>7059</v>
      </c>
      <c r="JJY1" s="46" t="s">
        <v>7060</v>
      </c>
      <c r="JJZ1" s="46" t="s">
        <v>7061</v>
      </c>
      <c r="JKA1" s="46" t="s">
        <v>7062</v>
      </c>
      <c r="JKB1" s="46" t="s">
        <v>7063</v>
      </c>
      <c r="JKC1" s="46" t="s">
        <v>7064</v>
      </c>
      <c r="JKD1" s="46" t="s">
        <v>7065</v>
      </c>
      <c r="JKE1" s="46" t="s">
        <v>7066</v>
      </c>
      <c r="JKF1" s="46" t="s">
        <v>7067</v>
      </c>
      <c r="JKG1" s="46" t="s">
        <v>7068</v>
      </c>
      <c r="JKH1" s="46" t="s">
        <v>7069</v>
      </c>
      <c r="JKI1" s="46" t="s">
        <v>7070</v>
      </c>
      <c r="JKJ1" s="46" t="s">
        <v>7071</v>
      </c>
      <c r="JKK1" s="46" t="s">
        <v>7072</v>
      </c>
      <c r="JKL1" s="46" t="s">
        <v>7073</v>
      </c>
      <c r="JKM1" s="46" t="s">
        <v>7074</v>
      </c>
      <c r="JKN1" s="46" t="s">
        <v>7075</v>
      </c>
      <c r="JKO1" s="46" t="s">
        <v>7076</v>
      </c>
      <c r="JKP1" s="46" t="s">
        <v>7077</v>
      </c>
      <c r="JKQ1" s="46" t="s">
        <v>7078</v>
      </c>
      <c r="JKR1" s="46" t="s">
        <v>7079</v>
      </c>
      <c r="JKS1" s="46" t="s">
        <v>7080</v>
      </c>
      <c r="JKT1" s="46" t="s">
        <v>7081</v>
      </c>
      <c r="JKU1" s="46" t="s">
        <v>7082</v>
      </c>
      <c r="JKV1" s="46" t="s">
        <v>7083</v>
      </c>
      <c r="JKW1" s="46" t="s">
        <v>7084</v>
      </c>
      <c r="JKX1" s="46" t="s">
        <v>7085</v>
      </c>
      <c r="JKY1" s="46" t="s">
        <v>7086</v>
      </c>
      <c r="JKZ1" s="46" t="s">
        <v>7087</v>
      </c>
      <c r="JLA1" s="46" t="s">
        <v>7088</v>
      </c>
      <c r="JLB1" s="46" t="s">
        <v>7089</v>
      </c>
      <c r="JLC1" s="46" t="s">
        <v>7090</v>
      </c>
      <c r="JLD1" s="46" t="s">
        <v>7091</v>
      </c>
      <c r="JLE1" s="46" t="s">
        <v>7092</v>
      </c>
      <c r="JLF1" s="46" t="s">
        <v>7093</v>
      </c>
      <c r="JLG1" s="46" t="s">
        <v>7094</v>
      </c>
      <c r="JLH1" s="46" t="s">
        <v>7095</v>
      </c>
      <c r="JLI1" s="46" t="s">
        <v>7096</v>
      </c>
      <c r="JLJ1" s="46" t="s">
        <v>7097</v>
      </c>
      <c r="JLK1" s="46" t="s">
        <v>7098</v>
      </c>
      <c r="JLL1" s="46" t="s">
        <v>7099</v>
      </c>
      <c r="JLM1" s="46" t="s">
        <v>7100</v>
      </c>
      <c r="JLN1" s="46" t="s">
        <v>7101</v>
      </c>
      <c r="JLO1" s="46" t="s">
        <v>7102</v>
      </c>
      <c r="JLP1" s="46" t="s">
        <v>7103</v>
      </c>
      <c r="JLQ1" s="46" t="s">
        <v>7104</v>
      </c>
      <c r="JLR1" s="46" t="s">
        <v>7105</v>
      </c>
      <c r="JLS1" s="46" t="s">
        <v>7106</v>
      </c>
      <c r="JLT1" s="46" t="s">
        <v>7107</v>
      </c>
      <c r="JLU1" s="46" t="s">
        <v>7108</v>
      </c>
      <c r="JLV1" s="46" t="s">
        <v>7109</v>
      </c>
      <c r="JLW1" s="46" t="s">
        <v>7110</v>
      </c>
      <c r="JLX1" s="46" t="s">
        <v>7111</v>
      </c>
      <c r="JLY1" s="46" t="s">
        <v>7112</v>
      </c>
      <c r="JLZ1" s="46" t="s">
        <v>7113</v>
      </c>
      <c r="JMA1" s="46" t="s">
        <v>7114</v>
      </c>
      <c r="JMB1" s="46" t="s">
        <v>7115</v>
      </c>
      <c r="JMC1" s="46" t="s">
        <v>7116</v>
      </c>
      <c r="JMD1" s="46" t="s">
        <v>7117</v>
      </c>
      <c r="JME1" s="46" t="s">
        <v>7118</v>
      </c>
      <c r="JMF1" s="46" t="s">
        <v>7119</v>
      </c>
      <c r="JMG1" s="46" t="s">
        <v>7120</v>
      </c>
      <c r="JMH1" s="46" t="s">
        <v>7121</v>
      </c>
      <c r="JMI1" s="46" t="s">
        <v>7122</v>
      </c>
      <c r="JMJ1" s="46" t="s">
        <v>7123</v>
      </c>
      <c r="JMK1" s="46" t="s">
        <v>7124</v>
      </c>
      <c r="JML1" s="46" t="s">
        <v>7125</v>
      </c>
      <c r="JMM1" s="46" t="s">
        <v>7126</v>
      </c>
      <c r="JMN1" s="46" t="s">
        <v>7127</v>
      </c>
      <c r="JMO1" s="46" t="s">
        <v>7128</v>
      </c>
      <c r="JMP1" s="46" t="s">
        <v>7129</v>
      </c>
      <c r="JMQ1" s="46" t="s">
        <v>7130</v>
      </c>
      <c r="JMR1" s="46" t="s">
        <v>7131</v>
      </c>
      <c r="JMS1" s="46" t="s">
        <v>7132</v>
      </c>
      <c r="JMT1" s="46" t="s">
        <v>7133</v>
      </c>
      <c r="JMU1" s="46" t="s">
        <v>7134</v>
      </c>
      <c r="JMV1" s="46" t="s">
        <v>7135</v>
      </c>
      <c r="JMW1" s="46" t="s">
        <v>7136</v>
      </c>
      <c r="JMX1" s="46" t="s">
        <v>7137</v>
      </c>
      <c r="JMY1" s="46" t="s">
        <v>7138</v>
      </c>
      <c r="JMZ1" s="46" t="s">
        <v>7139</v>
      </c>
      <c r="JNA1" s="46" t="s">
        <v>7140</v>
      </c>
      <c r="JNB1" s="46" t="s">
        <v>7141</v>
      </c>
      <c r="JNC1" s="46" t="s">
        <v>7142</v>
      </c>
      <c r="JND1" s="46" t="s">
        <v>7143</v>
      </c>
      <c r="JNE1" s="46" t="s">
        <v>7144</v>
      </c>
      <c r="JNF1" s="46" t="s">
        <v>7145</v>
      </c>
      <c r="JNG1" s="46" t="s">
        <v>7146</v>
      </c>
      <c r="JNH1" s="46" t="s">
        <v>7147</v>
      </c>
      <c r="JNI1" s="46" t="s">
        <v>7148</v>
      </c>
      <c r="JNJ1" s="46" t="s">
        <v>7149</v>
      </c>
      <c r="JNK1" s="46" t="s">
        <v>7150</v>
      </c>
      <c r="JNL1" s="46" t="s">
        <v>7151</v>
      </c>
      <c r="JNM1" s="46" t="s">
        <v>7152</v>
      </c>
      <c r="JNN1" s="46" t="s">
        <v>7153</v>
      </c>
      <c r="JNO1" s="46" t="s">
        <v>7154</v>
      </c>
      <c r="JNP1" s="46" t="s">
        <v>7155</v>
      </c>
      <c r="JNQ1" s="46" t="s">
        <v>7156</v>
      </c>
      <c r="JNR1" s="46" t="s">
        <v>7157</v>
      </c>
      <c r="JNS1" s="46" t="s">
        <v>7158</v>
      </c>
      <c r="JNT1" s="46" t="s">
        <v>7159</v>
      </c>
      <c r="JNU1" s="46" t="s">
        <v>7160</v>
      </c>
      <c r="JNV1" s="46" t="s">
        <v>7161</v>
      </c>
      <c r="JNW1" s="46" t="s">
        <v>7162</v>
      </c>
      <c r="JNX1" s="46" t="s">
        <v>7163</v>
      </c>
      <c r="JNY1" s="46" t="s">
        <v>7164</v>
      </c>
      <c r="JNZ1" s="46" t="s">
        <v>7165</v>
      </c>
      <c r="JOA1" s="46" t="s">
        <v>7166</v>
      </c>
      <c r="JOB1" s="46" t="s">
        <v>7167</v>
      </c>
      <c r="JOC1" s="46" t="s">
        <v>7168</v>
      </c>
      <c r="JOD1" s="46" t="s">
        <v>7169</v>
      </c>
      <c r="JOE1" s="46" t="s">
        <v>7170</v>
      </c>
      <c r="JOF1" s="46" t="s">
        <v>7171</v>
      </c>
      <c r="JOG1" s="46" t="s">
        <v>7172</v>
      </c>
      <c r="JOH1" s="46" t="s">
        <v>7173</v>
      </c>
      <c r="JOI1" s="46" t="s">
        <v>7174</v>
      </c>
      <c r="JOJ1" s="46" t="s">
        <v>7175</v>
      </c>
      <c r="JOK1" s="46" t="s">
        <v>7176</v>
      </c>
      <c r="JOL1" s="46" t="s">
        <v>7177</v>
      </c>
      <c r="JOM1" s="46" t="s">
        <v>7178</v>
      </c>
      <c r="JON1" s="46" t="s">
        <v>7179</v>
      </c>
      <c r="JOO1" s="46" t="s">
        <v>7180</v>
      </c>
      <c r="JOP1" s="46" t="s">
        <v>7181</v>
      </c>
      <c r="JOQ1" s="46" t="s">
        <v>7182</v>
      </c>
      <c r="JOR1" s="46" t="s">
        <v>7183</v>
      </c>
      <c r="JOS1" s="46" t="s">
        <v>7184</v>
      </c>
      <c r="JOT1" s="46" t="s">
        <v>7185</v>
      </c>
      <c r="JOU1" s="46" t="s">
        <v>7186</v>
      </c>
      <c r="JOV1" s="46" t="s">
        <v>7187</v>
      </c>
      <c r="JOW1" s="46" t="s">
        <v>7188</v>
      </c>
      <c r="JOX1" s="46" t="s">
        <v>7189</v>
      </c>
      <c r="JOY1" s="46" t="s">
        <v>7190</v>
      </c>
      <c r="JOZ1" s="46" t="s">
        <v>7191</v>
      </c>
      <c r="JPA1" s="46" t="s">
        <v>7192</v>
      </c>
      <c r="JPB1" s="46" t="s">
        <v>7193</v>
      </c>
      <c r="JPC1" s="46" t="s">
        <v>7194</v>
      </c>
      <c r="JPD1" s="46" t="s">
        <v>7195</v>
      </c>
      <c r="JPE1" s="46" t="s">
        <v>7196</v>
      </c>
      <c r="JPF1" s="46" t="s">
        <v>7197</v>
      </c>
      <c r="JPG1" s="46" t="s">
        <v>7198</v>
      </c>
      <c r="JPH1" s="46" t="s">
        <v>7199</v>
      </c>
      <c r="JPI1" s="46" t="s">
        <v>7200</v>
      </c>
      <c r="JPJ1" s="46" t="s">
        <v>7201</v>
      </c>
      <c r="JPK1" s="46" t="s">
        <v>7202</v>
      </c>
      <c r="JPL1" s="46" t="s">
        <v>7203</v>
      </c>
      <c r="JPM1" s="46" t="s">
        <v>7204</v>
      </c>
      <c r="JPN1" s="46" t="s">
        <v>7205</v>
      </c>
      <c r="JPO1" s="46" t="s">
        <v>7206</v>
      </c>
      <c r="JPP1" s="46" t="s">
        <v>7207</v>
      </c>
      <c r="JPQ1" s="46" t="s">
        <v>7208</v>
      </c>
      <c r="JPR1" s="46" t="s">
        <v>7209</v>
      </c>
      <c r="JPS1" s="46" t="s">
        <v>7210</v>
      </c>
      <c r="JPT1" s="46" t="s">
        <v>7211</v>
      </c>
      <c r="JPU1" s="46" t="s">
        <v>7212</v>
      </c>
      <c r="JPV1" s="46" t="s">
        <v>7213</v>
      </c>
      <c r="JPW1" s="46" t="s">
        <v>7214</v>
      </c>
      <c r="JPX1" s="46" t="s">
        <v>7215</v>
      </c>
      <c r="JPY1" s="46" t="s">
        <v>7216</v>
      </c>
      <c r="JPZ1" s="46" t="s">
        <v>7217</v>
      </c>
      <c r="JQA1" s="46" t="s">
        <v>7218</v>
      </c>
      <c r="JQB1" s="46" t="s">
        <v>7219</v>
      </c>
      <c r="JQC1" s="46" t="s">
        <v>7220</v>
      </c>
      <c r="JQD1" s="46" t="s">
        <v>7221</v>
      </c>
      <c r="JQE1" s="46" t="s">
        <v>7222</v>
      </c>
      <c r="JQF1" s="46" t="s">
        <v>7223</v>
      </c>
      <c r="JQG1" s="46" t="s">
        <v>7224</v>
      </c>
      <c r="JQH1" s="46" t="s">
        <v>7225</v>
      </c>
      <c r="JQI1" s="46" t="s">
        <v>7226</v>
      </c>
      <c r="JQJ1" s="46" t="s">
        <v>7227</v>
      </c>
      <c r="JQK1" s="46" t="s">
        <v>7228</v>
      </c>
      <c r="JQL1" s="46" t="s">
        <v>7229</v>
      </c>
      <c r="JQM1" s="46" t="s">
        <v>7230</v>
      </c>
      <c r="JQN1" s="46" t="s">
        <v>7231</v>
      </c>
      <c r="JQO1" s="46" t="s">
        <v>7232</v>
      </c>
      <c r="JQP1" s="46" t="s">
        <v>7233</v>
      </c>
      <c r="JQQ1" s="46" t="s">
        <v>7234</v>
      </c>
      <c r="JQR1" s="46" t="s">
        <v>7235</v>
      </c>
      <c r="JQS1" s="46" t="s">
        <v>7236</v>
      </c>
      <c r="JQT1" s="46" t="s">
        <v>7237</v>
      </c>
      <c r="JQU1" s="46" t="s">
        <v>7238</v>
      </c>
      <c r="JQV1" s="46" t="s">
        <v>7239</v>
      </c>
      <c r="JQW1" s="46" t="s">
        <v>7240</v>
      </c>
      <c r="JQX1" s="46" t="s">
        <v>7241</v>
      </c>
      <c r="JQY1" s="46" t="s">
        <v>7242</v>
      </c>
      <c r="JQZ1" s="46" t="s">
        <v>7243</v>
      </c>
      <c r="JRA1" s="46" t="s">
        <v>7244</v>
      </c>
      <c r="JRB1" s="46" t="s">
        <v>7245</v>
      </c>
      <c r="JRC1" s="46" t="s">
        <v>7246</v>
      </c>
      <c r="JRD1" s="46" t="s">
        <v>7247</v>
      </c>
      <c r="JRE1" s="46" t="s">
        <v>7248</v>
      </c>
      <c r="JRF1" s="46" t="s">
        <v>7249</v>
      </c>
      <c r="JRG1" s="46" t="s">
        <v>7250</v>
      </c>
      <c r="JRH1" s="46" t="s">
        <v>7251</v>
      </c>
      <c r="JRI1" s="46" t="s">
        <v>7252</v>
      </c>
      <c r="JRJ1" s="46" t="s">
        <v>7253</v>
      </c>
      <c r="JRK1" s="46" t="s">
        <v>7254</v>
      </c>
      <c r="JRL1" s="46" t="s">
        <v>7255</v>
      </c>
      <c r="JRM1" s="46" t="s">
        <v>7256</v>
      </c>
      <c r="JRN1" s="46" t="s">
        <v>7257</v>
      </c>
      <c r="JRO1" s="46" t="s">
        <v>7258</v>
      </c>
      <c r="JRP1" s="46" t="s">
        <v>7259</v>
      </c>
      <c r="JRQ1" s="46" t="s">
        <v>7260</v>
      </c>
      <c r="JRR1" s="46" t="s">
        <v>7261</v>
      </c>
      <c r="JRS1" s="46" t="s">
        <v>7262</v>
      </c>
      <c r="JRT1" s="46" t="s">
        <v>7263</v>
      </c>
      <c r="JRU1" s="46" t="s">
        <v>7264</v>
      </c>
      <c r="JRV1" s="46" t="s">
        <v>7265</v>
      </c>
      <c r="JRW1" s="46" t="s">
        <v>7266</v>
      </c>
      <c r="JRX1" s="46" t="s">
        <v>7267</v>
      </c>
      <c r="JRY1" s="46" t="s">
        <v>7268</v>
      </c>
      <c r="JRZ1" s="46" t="s">
        <v>7269</v>
      </c>
      <c r="JSA1" s="46" t="s">
        <v>7270</v>
      </c>
      <c r="JSB1" s="46" t="s">
        <v>7271</v>
      </c>
      <c r="JSC1" s="46" t="s">
        <v>7272</v>
      </c>
      <c r="JSD1" s="46" t="s">
        <v>7273</v>
      </c>
      <c r="JSE1" s="46" t="s">
        <v>7274</v>
      </c>
      <c r="JSF1" s="46" t="s">
        <v>7275</v>
      </c>
      <c r="JSG1" s="46" t="s">
        <v>7276</v>
      </c>
      <c r="JSH1" s="46" t="s">
        <v>7277</v>
      </c>
      <c r="JSI1" s="46" t="s">
        <v>7278</v>
      </c>
      <c r="JSJ1" s="46" t="s">
        <v>7279</v>
      </c>
      <c r="JSK1" s="46" t="s">
        <v>7280</v>
      </c>
      <c r="JSL1" s="46" t="s">
        <v>7281</v>
      </c>
      <c r="JSM1" s="46" t="s">
        <v>7282</v>
      </c>
      <c r="JSN1" s="46" t="s">
        <v>7283</v>
      </c>
      <c r="JSO1" s="46" t="s">
        <v>7284</v>
      </c>
      <c r="JSP1" s="46" t="s">
        <v>7285</v>
      </c>
      <c r="JSQ1" s="46" t="s">
        <v>7286</v>
      </c>
      <c r="JSR1" s="46" t="s">
        <v>7287</v>
      </c>
      <c r="JSS1" s="46" t="s">
        <v>7288</v>
      </c>
      <c r="JST1" s="46" t="s">
        <v>7289</v>
      </c>
      <c r="JSU1" s="46" t="s">
        <v>7290</v>
      </c>
      <c r="JSV1" s="46" t="s">
        <v>7291</v>
      </c>
      <c r="JSW1" s="46" t="s">
        <v>7292</v>
      </c>
      <c r="JSX1" s="46" t="s">
        <v>7293</v>
      </c>
      <c r="JSY1" s="46" t="s">
        <v>7294</v>
      </c>
      <c r="JSZ1" s="46" t="s">
        <v>7295</v>
      </c>
      <c r="JTA1" s="46" t="s">
        <v>7296</v>
      </c>
      <c r="JTB1" s="46" t="s">
        <v>7297</v>
      </c>
      <c r="JTC1" s="46" t="s">
        <v>7298</v>
      </c>
      <c r="JTD1" s="46" t="s">
        <v>7299</v>
      </c>
      <c r="JTE1" s="46" t="s">
        <v>7300</v>
      </c>
      <c r="JTF1" s="46" t="s">
        <v>7301</v>
      </c>
      <c r="JTG1" s="46" t="s">
        <v>7302</v>
      </c>
      <c r="JTH1" s="46" t="s">
        <v>7303</v>
      </c>
      <c r="JTI1" s="46" t="s">
        <v>7304</v>
      </c>
      <c r="JTJ1" s="46" t="s">
        <v>7305</v>
      </c>
      <c r="JTK1" s="46" t="s">
        <v>7306</v>
      </c>
      <c r="JTL1" s="46" t="s">
        <v>7307</v>
      </c>
      <c r="JTM1" s="46" t="s">
        <v>7308</v>
      </c>
      <c r="JTN1" s="46" t="s">
        <v>7309</v>
      </c>
      <c r="JTO1" s="46" t="s">
        <v>7310</v>
      </c>
      <c r="JTP1" s="46" t="s">
        <v>7311</v>
      </c>
      <c r="JTQ1" s="46" t="s">
        <v>7312</v>
      </c>
      <c r="JTR1" s="46" t="s">
        <v>7313</v>
      </c>
      <c r="JTS1" s="46" t="s">
        <v>7314</v>
      </c>
      <c r="JTT1" s="46" t="s">
        <v>7315</v>
      </c>
      <c r="JTU1" s="46" t="s">
        <v>7316</v>
      </c>
      <c r="JTV1" s="46" t="s">
        <v>7317</v>
      </c>
      <c r="JTW1" s="46" t="s">
        <v>7318</v>
      </c>
      <c r="JTX1" s="46" t="s">
        <v>7319</v>
      </c>
      <c r="JTY1" s="46" t="s">
        <v>7320</v>
      </c>
      <c r="JTZ1" s="46" t="s">
        <v>7321</v>
      </c>
      <c r="JUA1" s="46" t="s">
        <v>7322</v>
      </c>
      <c r="JUB1" s="46" t="s">
        <v>7323</v>
      </c>
      <c r="JUC1" s="46" t="s">
        <v>7324</v>
      </c>
      <c r="JUD1" s="46" t="s">
        <v>7325</v>
      </c>
      <c r="JUE1" s="46" t="s">
        <v>7326</v>
      </c>
      <c r="JUF1" s="46" t="s">
        <v>7327</v>
      </c>
      <c r="JUG1" s="46" t="s">
        <v>7328</v>
      </c>
      <c r="JUH1" s="46" t="s">
        <v>7329</v>
      </c>
      <c r="JUI1" s="46" t="s">
        <v>7330</v>
      </c>
      <c r="JUJ1" s="46" t="s">
        <v>7331</v>
      </c>
      <c r="JUK1" s="46" t="s">
        <v>7332</v>
      </c>
      <c r="JUL1" s="46" t="s">
        <v>7333</v>
      </c>
      <c r="JUM1" s="46" t="s">
        <v>7334</v>
      </c>
      <c r="JUN1" s="46" t="s">
        <v>7335</v>
      </c>
      <c r="JUO1" s="46" t="s">
        <v>7336</v>
      </c>
      <c r="JUP1" s="46" t="s">
        <v>7337</v>
      </c>
      <c r="JUQ1" s="46" t="s">
        <v>7338</v>
      </c>
      <c r="JUR1" s="46" t="s">
        <v>7339</v>
      </c>
      <c r="JUS1" s="46" t="s">
        <v>7340</v>
      </c>
      <c r="JUT1" s="46" t="s">
        <v>7341</v>
      </c>
      <c r="JUU1" s="46" t="s">
        <v>7342</v>
      </c>
      <c r="JUV1" s="46" t="s">
        <v>7343</v>
      </c>
      <c r="JUW1" s="46" t="s">
        <v>7344</v>
      </c>
      <c r="JUX1" s="46" t="s">
        <v>7345</v>
      </c>
      <c r="JUY1" s="46" t="s">
        <v>7346</v>
      </c>
      <c r="JUZ1" s="46" t="s">
        <v>7347</v>
      </c>
      <c r="JVA1" s="46" t="s">
        <v>7348</v>
      </c>
      <c r="JVB1" s="46" t="s">
        <v>7349</v>
      </c>
      <c r="JVC1" s="46" t="s">
        <v>7350</v>
      </c>
      <c r="JVD1" s="46" t="s">
        <v>7351</v>
      </c>
      <c r="JVE1" s="46" t="s">
        <v>7352</v>
      </c>
      <c r="JVF1" s="46" t="s">
        <v>7353</v>
      </c>
      <c r="JVG1" s="46" t="s">
        <v>7354</v>
      </c>
      <c r="JVH1" s="46" t="s">
        <v>7355</v>
      </c>
      <c r="JVI1" s="46" t="s">
        <v>7356</v>
      </c>
      <c r="JVJ1" s="46" t="s">
        <v>7357</v>
      </c>
      <c r="JVK1" s="46" t="s">
        <v>7358</v>
      </c>
      <c r="JVL1" s="46" t="s">
        <v>7359</v>
      </c>
      <c r="JVM1" s="46" t="s">
        <v>7360</v>
      </c>
      <c r="JVN1" s="46" t="s">
        <v>7361</v>
      </c>
      <c r="JVO1" s="46" t="s">
        <v>7362</v>
      </c>
      <c r="JVP1" s="46" t="s">
        <v>7363</v>
      </c>
      <c r="JVQ1" s="46" t="s">
        <v>7364</v>
      </c>
      <c r="JVR1" s="46" t="s">
        <v>7365</v>
      </c>
      <c r="JVS1" s="46" t="s">
        <v>7366</v>
      </c>
      <c r="JVT1" s="46" t="s">
        <v>7367</v>
      </c>
      <c r="JVU1" s="46" t="s">
        <v>7368</v>
      </c>
      <c r="JVV1" s="46" t="s">
        <v>7369</v>
      </c>
      <c r="JVW1" s="46" t="s">
        <v>7370</v>
      </c>
      <c r="JVX1" s="46" t="s">
        <v>7371</v>
      </c>
      <c r="JVY1" s="46" t="s">
        <v>7372</v>
      </c>
      <c r="JVZ1" s="46" t="s">
        <v>7373</v>
      </c>
      <c r="JWA1" s="46" t="s">
        <v>7374</v>
      </c>
      <c r="JWB1" s="46" t="s">
        <v>7375</v>
      </c>
      <c r="JWC1" s="46" t="s">
        <v>7376</v>
      </c>
      <c r="JWD1" s="46" t="s">
        <v>7377</v>
      </c>
      <c r="JWE1" s="46" t="s">
        <v>7378</v>
      </c>
      <c r="JWF1" s="46" t="s">
        <v>7379</v>
      </c>
      <c r="JWG1" s="46" t="s">
        <v>7380</v>
      </c>
      <c r="JWH1" s="46" t="s">
        <v>7381</v>
      </c>
      <c r="JWI1" s="46" t="s">
        <v>7382</v>
      </c>
      <c r="JWJ1" s="46" t="s">
        <v>7383</v>
      </c>
      <c r="JWK1" s="46" t="s">
        <v>7384</v>
      </c>
      <c r="JWL1" s="46" t="s">
        <v>7385</v>
      </c>
      <c r="JWM1" s="46" t="s">
        <v>7386</v>
      </c>
      <c r="JWN1" s="46" t="s">
        <v>7387</v>
      </c>
      <c r="JWO1" s="46" t="s">
        <v>7388</v>
      </c>
      <c r="JWP1" s="46" t="s">
        <v>7389</v>
      </c>
      <c r="JWQ1" s="46" t="s">
        <v>7390</v>
      </c>
      <c r="JWR1" s="46" t="s">
        <v>7391</v>
      </c>
      <c r="JWS1" s="46" t="s">
        <v>7392</v>
      </c>
      <c r="JWT1" s="46" t="s">
        <v>7393</v>
      </c>
      <c r="JWU1" s="46" t="s">
        <v>7394</v>
      </c>
      <c r="JWV1" s="46" t="s">
        <v>7395</v>
      </c>
      <c r="JWW1" s="46" t="s">
        <v>7396</v>
      </c>
      <c r="JWX1" s="46" t="s">
        <v>7397</v>
      </c>
      <c r="JWY1" s="46" t="s">
        <v>7398</v>
      </c>
      <c r="JWZ1" s="46" t="s">
        <v>7399</v>
      </c>
      <c r="JXA1" s="46" t="s">
        <v>7400</v>
      </c>
      <c r="JXB1" s="46" t="s">
        <v>7401</v>
      </c>
      <c r="JXC1" s="46" t="s">
        <v>7402</v>
      </c>
      <c r="JXD1" s="46" t="s">
        <v>7403</v>
      </c>
      <c r="JXE1" s="46" t="s">
        <v>7404</v>
      </c>
      <c r="JXF1" s="46" t="s">
        <v>7405</v>
      </c>
      <c r="JXG1" s="46" t="s">
        <v>7406</v>
      </c>
      <c r="JXH1" s="46" t="s">
        <v>7407</v>
      </c>
      <c r="JXI1" s="46" t="s">
        <v>7408</v>
      </c>
      <c r="JXJ1" s="46" t="s">
        <v>7409</v>
      </c>
      <c r="JXK1" s="46" t="s">
        <v>7410</v>
      </c>
      <c r="JXL1" s="46" t="s">
        <v>7411</v>
      </c>
      <c r="JXM1" s="46" t="s">
        <v>7412</v>
      </c>
      <c r="JXN1" s="46" t="s">
        <v>7413</v>
      </c>
      <c r="JXO1" s="46" t="s">
        <v>7414</v>
      </c>
      <c r="JXP1" s="46" t="s">
        <v>7415</v>
      </c>
      <c r="JXQ1" s="46" t="s">
        <v>7416</v>
      </c>
      <c r="JXR1" s="46" t="s">
        <v>7417</v>
      </c>
      <c r="JXS1" s="46" t="s">
        <v>7418</v>
      </c>
      <c r="JXT1" s="46" t="s">
        <v>7419</v>
      </c>
      <c r="JXU1" s="46" t="s">
        <v>7420</v>
      </c>
      <c r="JXV1" s="46" t="s">
        <v>7421</v>
      </c>
      <c r="JXW1" s="46" t="s">
        <v>7422</v>
      </c>
      <c r="JXX1" s="46" t="s">
        <v>7423</v>
      </c>
      <c r="JXY1" s="46" t="s">
        <v>7424</v>
      </c>
      <c r="JXZ1" s="46" t="s">
        <v>7425</v>
      </c>
      <c r="JYA1" s="46" t="s">
        <v>7426</v>
      </c>
      <c r="JYB1" s="46" t="s">
        <v>7427</v>
      </c>
      <c r="JYC1" s="46" t="s">
        <v>7428</v>
      </c>
      <c r="JYD1" s="46" t="s">
        <v>7429</v>
      </c>
      <c r="JYE1" s="46" t="s">
        <v>7430</v>
      </c>
      <c r="JYF1" s="46" t="s">
        <v>7431</v>
      </c>
      <c r="JYG1" s="46" t="s">
        <v>7432</v>
      </c>
      <c r="JYH1" s="46" t="s">
        <v>7433</v>
      </c>
      <c r="JYI1" s="46" t="s">
        <v>7434</v>
      </c>
      <c r="JYJ1" s="46" t="s">
        <v>7435</v>
      </c>
      <c r="JYK1" s="46" t="s">
        <v>7436</v>
      </c>
      <c r="JYL1" s="46" t="s">
        <v>7437</v>
      </c>
      <c r="JYM1" s="46" t="s">
        <v>7438</v>
      </c>
      <c r="JYN1" s="46" t="s">
        <v>7439</v>
      </c>
      <c r="JYO1" s="46" t="s">
        <v>7440</v>
      </c>
      <c r="JYP1" s="46" t="s">
        <v>7441</v>
      </c>
      <c r="JYQ1" s="46" t="s">
        <v>7442</v>
      </c>
      <c r="JYR1" s="46" t="s">
        <v>7443</v>
      </c>
      <c r="JYS1" s="46" t="s">
        <v>7444</v>
      </c>
      <c r="JYT1" s="46" t="s">
        <v>7445</v>
      </c>
      <c r="JYU1" s="46" t="s">
        <v>7446</v>
      </c>
      <c r="JYV1" s="46" t="s">
        <v>7447</v>
      </c>
      <c r="JYW1" s="46" t="s">
        <v>7448</v>
      </c>
      <c r="JYX1" s="46" t="s">
        <v>7449</v>
      </c>
      <c r="JYY1" s="46" t="s">
        <v>7450</v>
      </c>
      <c r="JYZ1" s="46" t="s">
        <v>7451</v>
      </c>
      <c r="JZA1" s="46" t="s">
        <v>7452</v>
      </c>
      <c r="JZB1" s="46" t="s">
        <v>7453</v>
      </c>
      <c r="JZC1" s="46" t="s">
        <v>7454</v>
      </c>
      <c r="JZD1" s="46" t="s">
        <v>7455</v>
      </c>
      <c r="JZE1" s="46" t="s">
        <v>7456</v>
      </c>
      <c r="JZF1" s="46" t="s">
        <v>7457</v>
      </c>
      <c r="JZG1" s="46" t="s">
        <v>7458</v>
      </c>
      <c r="JZH1" s="46" t="s">
        <v>7459</v>
      </c>
      <c r="JZI1" s="46" t="s">
        <v>7460</v>
      </c>
      <c r="JZJ1" s="46" t="s">
        <v>7461</v>
      </c>
      <c r="JZK1" s="46" t="s">
        <v>7462</v>
      </c>
      <c r="JZL1" s="46" t="s">
        <v>7463</v>
      </c>
      <c r="JZM1" s="46" t="s">
        <v>7464</v>
      </c>
      <c r="JZN1" s="46" t="s">
        <v>7465</v>
      </c>
      <c r="JZO1" s="46" t="s">
        <v>7466</v>
      </c>
      <c r="JZP1" s="46" t="s">
        <v>7467</v>
      </c>
      <c r="JZQ1" s="46" t="s">
        <v>7468</v>
      </c>
      <c r="JZR1" s="46" t="s">
        <v>7469</v>
      </c>
      <c r="JZS1" s="46" t="s">
        <v>7470</v>
      </c>
      <c r="JZT1" s="46" t="s">
        <v>7471</v>
      </c>
      <c r="JZU1" s="46" t="s">
        <v>7472</v>
      </c>
      <c r="JZV1" s="46" t="s">
        <v>7473</v>
      </c>
      <c r="JZW1" s="46" t="s">
        <v>7474</v>
      </c>
      <c r="JZX1" s="46" t="s">
        <v>7475</v>
      </c>
      <c r="JZY1" s="46" t="s">
        <v>7476</v>
      </c>
      <c r="JZZ1" s="46" t="s">
        <v>7477</v>
      </c>
      <c r="KAA1" s="46" t="s">
        <v>7478</v>
      </c>
      <c r="KAB1" s="46" t="s">
        <v>7479</v>
      </c>
      <c r="KAC1" s="46" t="s">
        <v>7480</v>
      </c>
      <c r="KAD1" s="46" t="s">
        <v>7481</v>
      </c>
      <c r="KAE1" s="46" t="s">
        <v>7482</v>
      </c>
      <c r="KAF1" s="46" t="s">
        <v>7483</v>
      </c>
      <c r="KAG1" s="46" t="s">
        <v>7484</v>
      </c>
      <c r="KAH1" s="46" t="s">
        <v>7485</v>
      </c>
      <c r="KAI1" s="46" t="s">
        <v>7486</v>
      </c>
      <c r="KAJ1" s="46" t="s">
        <v>7487</v>
      </c>
      <c r="KAK1" s="46" t="s">
        <v>7488</v>
      </c>
      <c r="KAL1" s="46" t="s">
        <v>7489</v>
      </c>
      <c r="KAM1" s="46" t="s">
        <v>7490</v>
      </c>
      <c r="KAN1" s="46" t="s">
        <v>7491</v>
      </c>
      <c r="KAO1" s="46" t="s">
        <v>7492</v>
      </c>
      <c r="KAP1" s="46" t="s">
        <v>7493</v>
      </c>
      <c r="KAQ1" s="46" t="s">
        <v>7494</v>
      </c>
      <c r="KAR1" s="46" t="s">
        <v>7495</v>
      </c>
      <c r="KAS1" s="46" t="s">
        <v>7496</v>
      </c>
      <c r="KAT1" s="46" t="s">
        <v>7497</v>
      </c>
      <c r="KAU1" s="46" t="s">
        <v>7498</v>
      </c>
      <c r="KAV1" s="46" t="s">
        <v>7499</v>
      </c>
      <c r="KAW1" s="46" t="s">
        <v>7500</v>
      </c>
      <c r="KAX1" s="46" t="s">
        <v>7501</v>
      </c>
      <c r="KAY1" s="46" t="s">
        <v>7502</v>
      </c>
      <c r="KAZ1" s="46" t="s">
        <v>7503</v>
      </c>
      <c r="KBA1" s="46" t="s">
        <v>7504</v>
      </c>
      <c r="KBB1" s="46" t="s">
        <v>7505</v>
      </c>
      <c r="KBC1" s="46" t="s">
        <v>7506</v>
      </c>
      <c r="KBD1" s="46" t="s">
        <v>7507</v>
      </c>
      <c r="KBE1" s="46" t="s">
        <v>7508</v>
      </c>
      <c r="KBF1" s="46" t="s">
        <v>7509</v>
      </c>
      <c r="KBG1" s="46" t="s">
        <v>7510</v>
      </c>
      <c r="KBH1" s="46" t="s">
        <v>7511</v>
      </c>
      <c r="KBI1" s="46" t="s">
        <v>7512</v>
      </c>
      <c r="KBJ1" s="46" t="s">
        <v>7513</v>
      </c>
      <c r="KBK1" s="46" t="s">
        <v>7514</v>
      </c>
      <c r="KBL1" s="46" t="s">
        <v>7515</v>
      </c>
      <c r="KBM1" s="46" t="s">
        <v>7516</v>
      </c>
      <c r="KBN1" s="46" t="s">
        <v>7517</v>
      </c>
      <c r="KBO1" s="46" t="s">
        <v>7518</v>
      </c>
      <c r="KBP1" s="46" t="s">
        <v>7519</v>
      </c>
      <c r="KBQ1" s="46" t="s">
        <v>7520</v>
      </c>
      <c r="KBR1" s="46" t="s">
        <v>7521</v>
      </c>
      <c r="KBS1" s="46" t="s">
        <v>7522</v>
      </c>
      <c r="KBT1" s="46" t="s">
        <v>7523</v>
      </c>
      <c r="KBU1" s="46" t="s">
        <v>7524</v>
      </c>
      <c r="KBV1" s="46" t="s">
        <v>7525</v>
      </c>
      <c r="KBW1" s="46" t="s">
        <v>7526</v>
      </c>
      <c r="KBX1" s="46" t="s">
        <v>7527</v>
      </c>
      <c r="KBY1" s="46" t="s">
        <v>7528</v>
      </c>
      <c r="KBZ1" s="46" t="s">
        <v>7529</v>
      </c>
      <c r="KCA1" s="46" t="s">
        <v>7530</v>
      </c>
      <c r="KCB1" s="46" t="s">
        <v>7531</v>
      </c>
      <c r="KCC1" s="46" t="s">
        <v>7532</v>
      </c>
      <c r="KCD1" s="46" t="s">
        <v>7533</v>
      </c>
      <c r="KCE1" s="46" t="s">
        <v>7534</v>
      </c>
      <c r="KCF1" s="46" t="s">
        <v>7535</v>
      </c>
      <c r="KCG1" s="46" t="s">
        <v>7536</v>
      </c>
      <c r="KCH1" s="46" t="s">
        <v>7537</v>
      </c>
      <c r="KCI1" s="46" t="s">
        <v>7538</v>
      </c>
      <c r="KCJ1" s="46" t="s">
        <v>7539</v>
      </c>
      <c r="KCK1" s="46" t="s">
        <v>7540</v>
      </c>
      <c r="KCL1" s="46" t="s">
        <v>7541</v>
      </c>
      <c r="KCM1" s="46" t="s">
        <v>7542</v>
      </c>
      <c r="KCN1" s="46" t="s">
        <v>7543</v>
      </c>
      <c r="KCO1" s="46" t="s">
        <v>7544</v>
      </c>
      <c r="KCP1" s="46" t="s">
        <v>7545</v>
      </c>
      <c r="KCQ1" s="46" t="s">
        <v>7546</v>
      </c>
      <c r="KCR1" s="46" t="s">
        <v>7547</v>
      </c>
      <c r="KCS1" s="46" t="s">
        <v>7548</v>
      </c>
      <c r="KCT1" s="46" t="s">
        <v>7549</v>
      </c>
      <c r="KCU1" s="46" t="s">
        <v>7550</v>
      </c>
      <c r="KCV1" s="46" t="s">
        <v>7551</v>
      </c>
      <c r="KCW1" s="46" t="s">
        <v>7552</v>
      </c>
      <c r="KCX1" s="46" t="s">
        <v>7553</v>
      </c>
      <c r="KCY1" s="46" t="s">
        <v>7554</v>
      </c>
      <c r="KCZ1" s="46" t="s">
        <v>7555</v>
      </c>
      <c r="KDA1" s="46" t="s">
        <v>7556</v>
      </c>
      <c r="KDB1" s="46" t="s">
        <v>7557</v>
      </c>
      <c r="KDC1" s="46" t="s">
        <v>7558</v>
      </c>
      <c r="KDD1" s="46" t="s">
        <v>7559</v>
      </c>
      <c r="KDE1" s="46" t="s">
        <v>7560</v>
      </c>
      <c r="KDF1" s="46" t="s">
        <v>7561</v>
      </c>
      <c r="KDG1" s="46" t="s">
        <v>7562</v>
      </c>
      <c r="KDH1" s="46" t="s">
        <v>7563</v>
      </c>
      <c r="KDI1" s="46" t="s">
        <v>7564</v>
      </c>
      <c r="KDJ1" s="46" t="s">
        <v>7565</v>
      </c>
      <c r="KDK1" s="46" t="s">
        <v>7566</v>
      </c>
      <c r="KDL1" s="46" t="s">
        <v>7567</v>
      </c>
      <c r="KDM1" s="46" t="s">
        <v>7568</v>
      </c>
      <c r="KDN1" s="46" t="s">
        <v>7569</v>
      </c>
      <c r="KDO1" s="46" t="s">
        <v>7570</v>
      </c>
      <c r="KDP1" s="46" t="s">
        <v>7571</v>
      </c>
      <c r="KDQ1" s="46" t="s">
        <v>7572</v>
      </c>
      <c r="KDR1" s="46" t="s">
        <v>7573</v>
      </c>
      <c r="KDS1" s="46" t="s">
        <v>7574</v>
      </c>
      <c r="KDT1" s="46" t="s">
        <v>7575</v>
      </c>
      <c r="KDU1" s="46" t="s">
        <v>7576</v>
      </c>
      <c r="KDV1" s="46" t="s">
        <v>7577</v>
      </c>
      <c r="KDW1" s="46" t="s">
        <v>7578</v>
      </c>
      <c r="KDX1" s="46" t="s">
        <v>7579</v>
      </c>
      <c r="KDY1" s="46" t="s">
        <v>7580</v>
      </c>
      <c r="KDZ1" s="46" t="s">
        <v>7581</v>
      </c>
      <c r="KEA1" s="46" t="s">
        <v>7582</v>
      </c>
      <c r="KEB1" s="46" t="s">
        <v>7583</v>
      </c>
      <c r="KEC1" s="46" t="s">
        <v>7584</v>
      </c>
      <c r="KED1" s="46" t="s">
        <v>7585</v>
      </c>
      <c r="KEE1" s="46" t="s">
        <v>7586</v>
      </c>
      <c r="KEF1" s="46" t="s">
        <v>7587</v>
      </c>
      <c r="KEG1" s="46" t="s">
        <v>7588</v>
      </c>
      <c r="KEH1" s="46" t="s">
        <v>7589</v>
      </c>
      <c r="KEI1" s="46" t="s">
        <v>7590</v>
      </c>
      <c r="KEJ1" s="46" t="s">
        <v>7591</v>
      </c>
      <c r="KEK1" s="46" t="s">
        <v>7592</v>
      </c>
      <c r="KEL1" s="46" t="s">
        <v>7593</v>
      </c>
      <c r="KEM1" s="46" t="s">
        <v>7594</v>
      </c>
      <c r="KEN1" s="46" t="s">
        <v>7595</v>
      </c>
      <c r="KEO1" s="46" t="s">
        <v>7596</v>
      </c>
      <c r="KEP1" s="46" t="s">
        <v>7597</v>
      </c>
      <c r="KEQ1" s="46" t="s">
        <v>7598</v>
      </c>
      <c r="KER1" s="46" t="s">
        <v>7599</v>
      </c>
      <c r="KES1" s="46" t="s">
        <v>7600</v>
      </c>
      <c r="KET1" s="46" t="s">
        <v>7601</v>
      </c>
      <c r="KEU1" s="46" t="s">
        <v>7602</v>
      </c>
      <c r="KEV1" s="46" t="s">
        <v>7603</v>
      </c>
      <c r="KEW1" s="46" t="s">
        <v>7604</v>
      </c>
      <c r="KEX1" s="46" t="s">
        <v>7605</v>
      </c>
      <c r="KEY1" s="46" t="s">
        <v>7606</v>
      </c>
      <c r="KEZ1" s="46" t="s">
        <v>7607</v>
      </c>
      <c r="KFA1" s="46" t="s">
        <v>7608</v>
      </c>
      <c r="KFB1" s="46" t="s">
        <v>7609</v>
      </c>
      <c r="KFC1" s="46" t="s">
        <v>7610</v>
      </c>
      <c r="KFD1" s="46" t="s">
        <v>7611</v>
      </c>
      <c r="KFE1" s="46" t="s">
        <v>7612</v>
      </c>
      <c r="KFF1" s="46" t="s">
        <v>7613</v>
      </c>
      <c r="KFG1" s="46" t="s">
        <v>7614</v>
      </c>
      <c r="KFH1" s="46" t="s">
        <v>7615</v>
      </c>
      <c r="KFI1" s="46" t="s">
        <v>7616</v>
      </c>
      <c r="KFJ1" s="46" t="s">
        <v>7617</v>
      </c>
      <c r="KFK1" s="46" t="s">
        <v>7618</v>
      </c>
      <c r="KFL1" s="46" t="s">
        <v>7619</v>
      </c>
      <c r="KFM1" s="46" t="s">
        <v>7620</v>
      </c>
      <c r="KFN1" s="46" t="s">
        <v>7621</v>
      </c>
      <c r="KFO1" s="46" t="s">
        <v>7622</v>
      </c>
      <c r="KFP1" s="46" t="s">
        <v>7623</v>
      </c>
      <c r="KFQ1" s="46" t="s">
        <v>7624</v>
      </c>
      <c r="KFR1" s="46" t="s">
        <v>7625</v>
      </c>
      <c r="KFS1" s="46" t="s">
        <v>7626</v>
      </c>
      <c r="KFT1" s="46" t="s">
        <v>7627</v>
      </c>
      <c r="KFU1" s="46" t="s">
        <v>7628</v>
      </c>
      <c r="KFV1" s="46" t="s">
        <v>7629</v>
      </c>
      <c r="KFW1" s="46" t="s">
        <v>7630</v>
      </c>
      <c r="KFX1" s="46" t="s">
        <v>7631</v>
      </c>
      <c r="KFY1" s="46" t="s">
        <v>7632</v>
      </c>
      <c r="KFZ1" s="46" t="s">
        <v>7633</v>
      </c>
      <c r="KGA1" s="46" t="s">
        <v>7634</v>
      </c>
      <c r="KGB1" s="46" t="s">
        <v>7635</v>
      </c>
      <c r="KGC1" s="46" t="s">
        <v>7636</v>
      </c>
      <c r="KGD1" s="46" t="s">
        <v>7637</v>
      </c>
      <c r="KGE1" s="46" t="s">
        <v>7638</v>
      </c>
      <c r="KGF1" s="46" t="s">
        <v>7639</v>
      </c>
      <c r="KGG1" s="46" t="s">
        <v>7640</v>
      </c>
      <c r="KGH1" s="46" t="s">
        <v>7641</v>
      </c>
      <c r="KGI1" s="46" t="s">
        <v>7642</v>
      </c>
      <c r="KGJ1" s="46" t="s">
        <v>7643</v>
      </c>
      <c r="KGK1" s="46" t="s">
        <v>7644</v>
      </c>
      <c r="KGL1" s="46" t="s">
        <v>7645</v>
      </c>
      <c r="KGM1" s="46" t="s">
        <v>7646</v>
      </c>
      <c r="KGN1" s="46" t="s">
        <v>7647</v>
      </c>
      <c r="KGO1" s="46" t="s">
        <v>7648</v>
      </c>
      <c r="KGP1" s="46" t="s">
        <v>7649</v>
      </c>
      <c r="KGQ1" s="46" t="s">
        <v>7650</v>
      </c>
      <c r="KGR1" s="46" t="s">
        <v>7651</v>
      </c>
      <c r="KGS1" s="46" t="s">
        <v>7652</v>
      </c>
      <c r="KGT1" s="46" t="s">
        <v>7653</v>
      </c>
      <c r="KGU1" s="46" t="s">
        <v>7654</v>
      </c>
      <c r="KGV1" s="46" t="s">
        <v>7655</v>
      </c>
      <c r="KGW1" s="46" t="s">
        <v>7656</v>
      </c>
      <c r="KGX1" s="46" t="s">
        <v>7657</v>
      </c>
      <c r="KGY1" s="46" t="s">
        <v>7658</v>
      </c>
      <c r="KGZ1" s="46" t="s">
        <v>7659</v>
      </c>
      <c r="KHA1" s="46" t="s">
        <v>7660</v>
      </c>
      <c r="KHB1" s="46" t="s">
        <v>7661</v>
      </c>
      <c r="KHC1" s="46" t="s">
        <v>7662</v>
      </c>
      <c r="KHD1" s="46" t="s">
        <v>7663</v>
      </c>
      <c r="KHE1" s="46" t="s">
        <v>7664</v>
      </c>
      <c r="KHF1" s="46" t="s">
        <v>7665</v>
      </c>
      <c r="KHG1" s="46" t="s">
        <v>7666</v>
      </c>
      <c r="KHH1" s="46" t="s">
        <v>7667</v>
      </c>
      <c r="KHI1" s="46" t="s">
        <v>7668</v>
      </c>
      <c r="KHJ1" s="46" t="s">
        <v>7669</v>
      </c>
      <c r="KHK1" s="46" t="s">
        <v>7670</v>
      </c>
      <c r="KHL1" s="46" t="s">
        <v>7671</v>
      </c>
      <c r="KHM1" s="46" t="s">
        <v>7672</v>
      </c>
      <c r="KHN1" s="46" t="s">
        <v>7673</v>
      </c>
      <c r="KHO1" s="46" t="s">
        <v>7674</v>
      </c>
      <c r="KHP1" s="46" t="s">
        <v>7675</v>
      </c>
      <c r="KHQ1" s="46" t="s">
        <v>7676</v>
      </c>
      <c r="KHR1" s="46" t="s">
        <v>7677</v>
      </c>
      <c r="KHS1" s="46" t="s">
        <v>7678</v>
      </c>
      <c r="KHT1" s="46" t="s">
        <v>7679</v>
      </c>
      <c r="KHU1" s="46" t="s">
        <v>7680</v>
      </c>
      <c r="KHV1" s="46" t="s">
        <v>7681</v>
      </c>
      <c r="KHW1" s="46" t="s">
        <v>7682</v>
      </c>
      <c r="KHX1" s="46" t="s">
        <v>7683</v>
      </c>
      <c r="KHY1" s="46" t="s">
        <v>7684</v>
      </c>
      <c r="KHZ1" s="46" t="s">
        <v>7685</v>
      </c>
      <c r="KIA1" s="46" t="s">
        <v>7686</v>
      </c>
      <c r="KIB1" s="46" t="s">
        <v>7687</v>
      </c>
      <c r="KIC1" s="46" t="s">
        <v>7688</v>
      </c>
      <c r="KID1" s="46" t="s">
        <v>7689</v>
      </c>
      <c r="KIE1" s="46" t="s">
        <v>7690</v>
      </c>
      <c r="KIF1" s="46" t="s">
        <v>7691</v>
      </c>
      <c r="KIG1" s="46" t="s">
        <v>7692</v>
      </c>
      <c r="KIH1" s="46" t="s">
        <v>7693</v>
      </c>
      <c r="KII1" s="46" t="s">
        <v>7694</v>
      </c>
      <c r="KIJ1" s="46" t="s">
        <v>7695</v>
      </c>
      <c r="KIK1" s="46" t="s">
        <v>7696</v>
      </c>
      <c r="KIL1" s="46" t="s">
        <v>7697</v>
      </c>
      <c r="KIM1" s="46" t="s">
        <v>7698</v>
      </c>
      <c r="KIN1" s="46" t="s">
        <v>7699</v>
      </c>
      <c r="KIO1" s="46" t="s">
        <v>7700</v>
      </c>
      <c r="KIP1" s="46" t="s">
        <v>7701</v>
      </c>
      <c r="KIQ1" s="46" t="s">
        <v>7702</v>
      </c>
      <c r="KIR1" s="46" t="s">
        <v>7703</v>
      </c>
      <c r="KIS1" s="46" t="s">
        <v>7704</v>
      </c>
      <c r="KIT1" s="46" t="s">
        <v>7705</v>
      </c>
      <c r="KIU1" s="46" t="s">
        <v>7706</v>
      </c>
      <c r="KIV1" s="46" t="s">
        <v>7707</v>
      </c>
      <c r="KIW1" s="46" t="s">
        <v>7708</v>
      </c>
      <c r="KIX1" s="46" t="s">
        <v>7709</v>
      </c>
      <c r="KIY1" s="46" t="s">
        <v>7710</v>
      </c>
      <c r="KIZ1" s="46" t="s">
        <v>7711</v>
      </c>
      <c r="KJA1" s="46" t="s">
        <v>7712</v>
      </c>
      <c r="KJB1" s="46" t="s">
        <v>7713</v>
      </c>
      <c r="KJC1" s="46" t="s">
        <v>7714</v>
      </c>
      <c r="KJD1" s="46" t="s">
        <v>7715</v>
      </c>
      <c r="KJE1" s="46" t="s">
        <v>7716</v>
      </c>
      <c r="KJF1" s="46" t="s">
        <v>7717</v>
      </c>
      <c r="KJG1" s="46" t="s">
        <v>7718</v>
      </c>
      <c r="KJH1" s="46" t="s">
        <v>7719</v>
      </c>
      <c r="KJI1" s="46" t="s">
        <v>7720</v>
      </c>
      <c r="KJJ1" s="46" t="s">
        <v>7721</v>
      </c>
      <c r="KJK1" s="46" t="s">
        <v>7722</v>
      </c>
      <c r="KJL1" s="46" t="s">
        <v>7723</v>
      </c>
      <c r="KJM1" s="46" t="s">
        <v>7724</v>
      </c>
      <c r="KJN1" s="46" t="s">
        <v>7725</v>
      </c>
      <c r="KJO1" s="46" t="s">
        <v>7726</v>
      </c>
      <c r="KJP1" s="46" t="s">
        <v>7727</v>
      </c>
      <c r="KJQ1" s="46" t="s">
        <v>7728</v>
      </c>
      <c r="KJR1" s="46" t="s">
        <v>7729</v>
      </c>
      <c r="KJS1" s="46" t="s">
        <v>7730</v>
      </c>
      <c r="KJT1" s="46" t="s">
        <v>7731</v>
      </c>
      <c r="KJU1" s="46" t="s">
        <v>7732</v>
      </c>
      <c r="KJV1" s="46" t="s">
        <v>7733</v>
      </c>
      <c r="KJW1" s="46" t="s">
        <v>7734</v>
      </c>
      <c r="KJX1" s="46" t="s">
        <v>7735</v>
      </c>
      <c r="KJY1" s="46" t="s">
        <v>7736</v>
      </c>
      <c r="KJZ1" s="46" t="s">
        <v>7737</v>
      </c>
      <c r="KKA1" s="46" t="s">
        <v>7738</v>
      </c>
      <c r="KKB1" s="46" t="s">
        <v>7739</v>
      </c>
      <c r="KKC1" s="46" t="s">
        <v>7740</v>
      </c>
      <c r="KKD1" s="46" t="s">
        <v>7741</v>
      </c>
      <c r="KKE1" s="46" t="s">
        <v>7742</v>
      </c>
      <c r="KKF1" s="46" t="s">
        <v>7743</v>
      </c>
      <c r="KKG1" s="46" t="s">
        <v>7744</v>
      </c>
      <c r="KKH1" s="46" t="s">
        <v>7745</v>
      </c>
      <c r="KKI1" s="46" t="s">
        <v>7746</v>
      </c>
      <c r="KKJ1" s="46" t="s">
        <v>7747</v>
      </c>
      <c r="KKK1" s="46" t="s">
        <v>7748</v>
      </c>
      <c r="KKL1" s="46" t="s">
        <v>7749</v>
      </c>
      <c r="KKM1" s="46" t="s">
        <v>7750</v>
      </c>
      <c r="KKN1" s="46" t="s">
        <v>7751</v>
      </c>
      <c r="KKO1" s="46" t="s">
        <v>7752</v>
      </c>
      <c r="KKP1" s="46" t="s">
        <v>7753</v>
      </c>
      <c r="KKQ1" s="46" t="s">
        <v>7754</v>
      </c>
      <c r="KKR1" s="46" t="s">
        <v>7755</v>
      </c>
      <c r="KKS1" s="46" t="s">
        <v>7756</v>
      </c>
      <c r="KKT1" s="46" t="s">
        <v>7757</v>
      </c>
      <c r="KKU1" s="46" t="s">
        <v>7758</v>
      </c>
      <c r="KKV1" s="46" t="s">
        <v>7759</v>
      </c>
      <c r="KKW1" s="46" t="s">
        <v>7760</v>
      </c>
      <c r="KKX1" s="46" t="s">
        <v>7761</v>
      </c>
      <c r="KKY1" s="46" t="s">
        <v>7762</v>
      </c>
      <c r="KKZ1" s="46" t="s">
        <v>7763</v>
      </c>
      <c r="KLA1" s="46" t="s">
        <v>7764</v>
      </c>
      <c r="KLB1" s="46" t="s">
        <v>7765</v>
      </c>
      <c r="KLC1" s="46" t="s">
        <v>7766</v>
      </c>
      <c r="KLD1" s="46" t="s">
        <v>7767</v>
      </c>
      <c r="KLE1" s="46" t="s">
        <v>7768</v>
      </c>
      <c r="KLF1" s="46" t="s">
        <v>7769</v>
      </c>
      <c r="KLG1" s="46" t="s">
        <v>7770</v>
      </c>
      <c r="KLH1" s="46" t="s">
        <v>7771</v>
      </c>
      <c r="KLI1" s="46" t="s">
        <v>7772</v>
      </c>
      <c r="KLJ1" s="46" t="s">
        <v>7773</v>
      </c>
      <c r="KLK1" s="46" t="s">
        <v>7774</v>
      </c>
      <c r="KLL1" s="46" t="s">
        <v>7775</v>
      </c>
      <c r="KLM1" s="46" t="s">
        <v>7776</v>
      </c>
      <c r="KLN1" s="46" t="s">
        <v>7777</v>
      </c>
      <c r="KLO1" s="46" t="s">
        <v>7778</v>
      </c>
      <c r="KLP1" s="46" t="s">
        <v>7779</v>
      </c>
      <c r="KLQ1" s="46" t="s">
        <v>7780</v>
      </c>
      <c r="KLR1" s="46" t="s">
        <v>7781</v>
      </c>
      <c r="KLS1" s="46" t="s">
        <v>7782</v>
      </c>
      <c r="KLT1" s="46" t="s">
        <v>7783</v>
      </c>
      <c r="KLU1" s="46" t="s">
        <v>7784</v>
      </c>
      <c r="KLV1" s="46" t="s">
        <v>7785</v>
      </c>
      <c r="KLW1" s="46" t="s">
        <v>7786</v>
      </c>
      <c r="KLX1" s="46" t="s">
        <v>7787</v>
      </c>
      <c r="KLY1" s="46" t="s">
        <v>7788</v>
      </c>
      <c r="KLZ1" s="46" t="s">
        <v>7789</v>
      </c>
      <c r="KMA1" s="46" t="s">
        <v>7790</v>
      </c>
      <c r="KMB1" s="46" t="s">
        <v>7791</v>
      </c>
      <c r="KMC1" s="46" t="s">
        <v>7792</v>
      </c>
      <c r="KMD1" s="46" t="s">
        <v>7793</v>
      </c>
      <c r="KME1" s="46" t="s">
        <v>7794</v>
      </c>
      <c r="KMF1" s="46" t="s">
        <v>7795</v>
      </c>
      <c r="KMG1" s="46" t="s">
        <v>7796</v>
      </c>
      <c r="KMH1" s="46" t="s">
        <v>7797</v>
      </c>
      <c r="KMI1" s="46" t="s">
        <v>7798</v>
      </c>
      <c r="KMJ1" s="46" t="s">
        <v>7799</v>
      </c>
      <c r="KMK1" s="46" t="s">
        <v>7800</v>
      </c>
      <c r="KML1" s="46" t="s">
        <v>7801</v>
      </c>
      <c r="KMM1" s="46" t="s">
        <v>7802</v>
      </c>
      <c r="KMN1" s="46" t="s">
        <v>7803</v>
      </c>
      <c r="KMO1" s="46" t="s">
        <v>7804</v>
      </c>
      <c r="KMP1" s="46" t="s">
        <v>7805</v>
      </c>
      <c r="KMQ1" s="46" t="s">
        <v>7806</v>
      </c>
      <c r="KMR1" s="46" t="s">
        <v>7807</v>
      </c>
      <c r="KMS1" s="46" t="s">
        <v>7808</v>
      </c>
      <c r="KMT1" s="46" t="s">
        <v>7809</v>
      </c>
      <c r="KMU1" s="46" t="s">
        <v>7810</v>
      </c>
      <c r="KMV1" s="46" t="s">
        <v>7811</v>
      </c>
      <c r="KMW1" s="46" t="s">
        <v>7812</v>
      </c>
      <c r="KMX1" s="46" t="s">
        <v>7813</v>
      </c>
      <c r="KMY1" s="46" t="s">
        <v>7814</v>
      </c>
      <c r="KMZ1" s="46" t="s">
        <v>7815</v>
      </c>
      <c r="KNA1" s="46" t="s">
        <v>7816</v>
      </c>
      <c r="KNB1" s="46" t="s">
        <v>7817</v>
      </c>
      <c r="KNC1" s="46" t="s">
        <v>7818</v>
      </c>
      <c r="KND1" s="46" t="s">
        <v>7819</v>
      </c>
      <c r="KNE1" s="46" t="s">
        <v>7820</v>
      </c>
      <c r="KNF1" s="46" t="s">
        <v>7821</v>
      </c>
      <c r="KNG1" s="46" t="s">
        <v>7822</v>
      </c>
      <c r="KNH1" s="46" t="s">
        <v>7823</v>
      </c>
      <c r="KNI1" s="46" t="s">
        <v>7824</v>
      </c>
      <c r="KNJ1" s="46" t="s">
        <v>7825</v>
      </c>
      <c r="KNK1" s="46" t="s">
        <v>7826</v>
      </c>
      <c r="KNL1" s="46" t="s">
        <v>7827</v>
      </c>
      <c r="KNM1" s="46" t="s">
        <v>7828</v>
      </c>
      <c r="KNN1" s="46" t="s">
        <v>7829</v>
      </c>
      <c r="KNO1" s="46" t="s">
        <v>7830</v>
      </c>
      <c r="KNP1" s="46" t="s">
        <v>7831</v>
      </c>
      <c r="KNQ1" s="46" t="s">
        <v>7832</v>
      </c>
      <c r="KNR1" s="46" t="s">
        <v>7833</v>
      </c>
      <c r="KNS1" s="46" t="s">
        <v>7834</v>
      </c>
      <c r="KNT1" s="46" t="s">
        <v>7835</v>
      </c>
      <c r="KNU1" s="46" t="s">
        <v>7836</v>
      </c>
      <c r="KNV1" s="46" t="s">
        <v>7837</v>
      </c>
      <c r="KNW1" s="46" t="s">
        <v>7838</v>
      </c>
      <c r="KNX1" s="46" t="s">
        <v>7839</v>
      </c>
      <c r="KNY1" s="46" t="s">
        <v>7840</v>
      </c>
      <c r="KNZ1" s="46" t="s">
        <v>7841</v>
      </c>
      <c r="KOA1" s="46" t="s">
        <v>7842</v>
      </c>
      <c r="KOB1" s="46" t="s">
        <v>7843</v>
      </c>
      <c r="KOC1" s="46" t="s">
        <v>7844</v>
      </c>
      <c r="KOD1" s="46" t="s">
        <v>7845</v>
      </c>
      <c r="KOE1" s="46" t="s">
        <v>7846</v>
      </c>
      <c r="KOF1" s="46" t="s">
        <v>7847</v>
      </c>
      <c r="KOG1" s="46" t="s">
        <v>7848</v>
      </c>
      <c r="KOH1" s="46" t="s">
        <v>7849</v>
      </c>
      <c r="KOI1" s="46" t="s">
        <v>7850</v>
      </c>
      <c r="KOJ1" s="46" t="s">
        <v>7851</v>
      </c>
      <c r="KOK1" s="46" t="s">
        <v>7852</v>
      </c>
      <c r="KOL1" s="46" t="s">
        <v>7853</v>
      </c>
      <c r="KOM1" s="46" t="s">
        <v>7854</v>
      </c>
      <c r="KON1" s="46" t="s">
        <v>7855</v>
      </c>
      <c r="KOO1" s="46" t="s">
        <v>7856</v>
      </c>
      <c r="KOP1" s="46" t="s">
        <v>7857</v>
      </c>
      <c r="KOQ1" s="46" t="s">
        <v>7858</v>
      </c>
      <c r="KOR1" s="46" t="s">
        <v>7859</v>
      </c>
      <c r="KOS1" s="46" t="s">
        <v>7860</v>
      </c>
      <c r="KOT1" s="46" t="s">
        <v>7861</v>
      </c>
      <c r="KOU1" s="46" t="s">
        <v>7862</v>
      </c>
      <c r="KOV1" s="46" t="s">
        <v>7863</v>
      </c>
      <c r="KOW1" s="46" t="s">
        <v>7864</v>
      </c>
      <c r="KOX1" s="46" t="s">
        <v>7865</v>
      </c>
      <c r="KOY1" s="46" t="s">
        <v>7866</v>
      </c>
      <c r="KOZ1" s="46" t="s">
        <v>7867</v>
      </c>
      <c r="KPA1" s="46" t="s">
        <v>7868</v>
      </c>
      <c r="KPB1" s="46" t="s">
        <v>7869</v>
      </c>
      <c r="KPC1" s="46" t="s">
        <v>7870</v>
      </c>
      <c r="KPD1" s="46" t="s">
        <v>7871</v>
      </c>
      <c r="KPE1" s="46" t="s">
        <v>7872</v>
      </c>
      <c r="KPF1" s="46" t="s">
        <v>7873</v>
      </c>
      <c r="KPG1" s="46" t="s">
        <v>7874</v>
      </c>
      <c r="KPH1" s="46" t="s">
        <v>7875</v>
      </c>
      <c r="KPI1" s="46" t="s">
        <v>7876</v>
      </c>
      <c r="KPJ1" s="46" t="s">
        <v>7877</v>
      </c>
      <c r="KPK1" s="46" t="s">
        <v>7878</v>
      </c>
      <c r="KPL1" s="46" t="s">
        <v>7879</v>
      </c>
      <c r="KPM1" s="46" t="s">
        <v>7880</v>
      </c>
      <c r="KPN1" s="46" t="s">
        <v>7881</v>
      </c>
      <c r="KPO1" s="46" t="s">
        <v>7882</v>
      </c>
      <c r="KPP1" s="46" t="s">
        <v>7883</v>
      </c>
      <c r="KPQ1" s="46" t="s">
        <v>7884</v>
      </c>
      <c r="KPR1" s="46" t="s">
        <v>7885</v>
      </c>
      <c r="KPS1" s="46" t="s">
        <v>7886</v>
      </c>
      <c r="KPT1" s="46" t="s">
        <v>7887</v>
      </c>
      <c r="KPU1" s="46" t="s">
        <v>7888</v>
      </c>
      <c r="KPV1" s="46" t="s">
        <v>7889</v>
      </c>
      <c r="KPW1" s="46" t="s">
        <v>7890</v>
      </c>
      <c r="KPX1" s="46" t="s">
        <v>7891</v>
      </c>
      <c r="KPY1" s="46" t="s">
        <v>7892</v>
      </c>
      <c r="KPZ1" s="46" t="s">
        <v>7893</v>
      </c>
      <c r="KQA1" s="46" t="s">
        <v>7894</v>
      </c>
      <c r="KQB1" s="46" t="s">
        <v>7895</v>
      </c>
      <c r="KQC1" s="46" t="s">
        <v>7896</v>
      </c>
      <c r="KQD1" s="46" t="s">
        <v>7897</v>
      </c>
      <c r="KQE1" s="46" t="s">
        <v>7898</v>
      </c>
      <c r="KQF1" s="46" t="s">
        <v>7899</v>
      </c>
      <c r="KQG1" s="46" t="s">
        <v>7900</v>
      </c>
      <c r="KQH1" s="46" t="s">
        <v>7901</v>
      </c>
      <c r="KQI1" s="46" t="s">
        <v>7902</v>
      </c>
      <c r="KQJ1" s="46" t="s">
        <v>7903</v>
      </c>
      <c r="KQK1" s="46" t="s">
        <v>7904</v>
      </c>
      <c r="KQL1" s="46" t="s">
        <v>7905</v>
      </c>
      <c r="KQM1" s="46" t="s">
        <v>7906</v>
      </c>
      <c r="KQN1" s="46" t="s">
        <v>7907</v>
      </c>
      <c r="KQO1" s="46" t="s">
        <v>7908</v>
      </c>
      <c r="KQP1" s="46" t="s">
        <v>7909</v>
      </c>
      <c r="KQQ1" s="46" t="s">
        <v>7910</v>
      </c>
      <c r="KQR1" s="46" t="s">
        <v>7911</v>
      </c>
      <c r="KQS1" s="46" t="s">
        <v>7912</v>
      </c>
      <c r="KQT1" s="46" t="s">
        <v>7913</v>
      </c>
      <c r="KQU1" s="46" t="s">
        <v>7914</v>
      </c>
      <c r="KQV1" s="46" t="s">
        <v>7915</v>
      </c>
      <c r="KQW1" s="46" t="s">
        <v>7916</v>
      </c>
      <c r="KQX1" s="46" t="s">
        <v>7917</v>
      </c>
      <c r="KQY1" s="46" t="s">
        <v>7918</v>
      </c>
      <c r="KQZ1" s="46" t="s">
        <v>7919</v>
      </c>
      <c r="KRA1" s="46" t="s">
        <v>7920</v>
      </c>
      <c r="KRB1" s="46" t="s">
        <v>7921</v>
      </c>
      <c r="KRC1" s="46" t="s">
        <v>7922</v>
      </c>
      <c r="KRD1" s="46" t="s">
        <v>7923</v>
      </c>
      <c r="KRE1" s="46" t="s">
        <v>7924</v>
      </c>
      <c r="KRF1" s="46" t="s">
        <v>7925</v>
      </c>
      <c r="KRG1" s="46" t="s">
        <v>7926</v>
      </c>
      <c r="KRH1" s="46" t="s">
        <v>7927</v>
      </c>
      <c r="KRI1" s="46" t="s">
        <v>7928</v>
      </c>
      <c r="KRJ1" s="46" t="s">
        <v>7929</v>
      </c>
      <c r="KRK1" s="46" t="s">
        <v>7930</v>
      </c>
      <c r="KRL1" s="46" t="s">
        <v>7931</v>
      </c>
      <c r="KRM1" s="46" t="s">
        <v>7932</v>
      </c>
      <c r="KRN1" s="46" t="s">
        <v>7933</v>
      </c>
      <c r="KRO1" s="46" t="s">
        <v>7934</v>
      </c>
      <c r="KRP1" s="46" t="s">
        <v>7935</v>
      </c>
      <c r="KRQ1" s="46" t="s">
        <v>7936</v>
      </c>
      <c r="KRR1" s="46" t="s">
        <v>7937</v>
      </c>
      <c r="KRS1" s="46" t="s">
        <v>7938</v>
      </c>
      <c r="KRT1" s="46" t="s">
        <v>7939</v>
      </c>
      <c r="KRU1" s="46" t="s">
        <v>7940</v>
      </c>
      <c r="KRV1" s="46" t="s">
        <v>7941</v>
      </c>
      <c r="KRW1" s="46" t="s">
        <v>7942</v>
      </c>
      <c r="KRX1" s="46" t="s">
        <v>7943</v>
      </c>
      <c r="KRY1" s="46" t="s">
        <v>7944</v>
      </c>
      <c r="KRZ1" s="46" t="s">
        <v>7945</v>
      </c>
      <c r="KSA1" s="46" t="s">
        <v>7946</v>
      </c>
      <c r="KSB1" s="46" t="s">
        <v>7947</v>
      </c>
      <c r="KSC1" s="46" t="s">
        <v>7948</v>
      </c>
      <c r="KSD1" s="46" t="s">
        <v>7949</v>
      </c>
      <c r="KSE1" s="46" t="s">
        <v>7950</v>
      </c>
      <c r="KSF1" s="46" t="s">
        <v>7951</v>
      </c>
      <c r="KSG1" s="46" t="s">
        <v>7952</v>
      </c>
      <c r="KSH1" s="46" t="s">
        <v>7953</v>
      </c>
      <c r="KSI1" s="46" t="s">
        <v>7954</v>
      </c>
      <c r="KSJ1" s="46" t="s">
        <v>7955</v>
      </c>
      <c r="KSK1" s="46" t="s">
        <v>7956</v>
      </c>
      <c r="KSL1" s="46" t="s">
        <v>7957</v>
      </c>
      <c r="KSM1" s="46" t="s">
        <v>7958</v>
      </c>
      <c r="KSN1" s="46" t="s">
        <v>7959</v>
      </c>
      <c r="KSO1" s="46" t="s">
        <v>7960</v>
      </c>
      <c r="KSP1" s="46" t="s">
        <v>7961</v>
      </c>
      <c r="KSQ1" s="46" t="s">
        <v>7962</v>
      </c>
      <c r="KSR1" s="46" t="s">
        <v>7963</v>
      </c>
      <c r="KSS1" s="46" t="s">
        <v>7964</v>
      </c>
      <c r="KST1" s="46" t="s">
        <v>7965</v>
      </c>
      <c r="KSU1" s="46" t="s">
        <v>7966</v>
      </c>
      <c r="KSV1" s="46" t="s">
        <v>7967</v>
      </c>
      <c r="KSW1" s="46" t="s">
        <v>7968</v>
      </c>
      <c r="KSX1" s="46" t="s">
        <v>7969</v>
      </c>
      <c r="KSY1" s="46" t="s">
        <v>7970</v>
      </c>
      <c r="KSZ1" s="46" t="s">
        <v>7971</v>
      </c>
      <c r="KTA1" s="46" t="s">
        <v>7972</v>
      </c>
      <c r="KTB1" s="46" t="s">
        <v>7973</v>
      </c>
      <c r="KTC1" s="46" t="s">
        <v>7974</v>
      </c>
      <c r="KTD1" s="46" t="s">
        <v>7975</v>
      </c>
      <c r="KTE1" s="46" t="s">
        <v>7976</v>
      </c>
      <c r="KTF1" s="46" t="s">
        <v>7977</v>
      </c>
      <c r="KTG1" s="46" t="s">
        <v>7978</v>
      </c>
      <c r="KTH1" s="46" t="s">
        <v>7979</v>
      </c>
      <c r="KTI1" s="46" t="s">
        <v>7980</v>
      </c>
      <c r="KTJ1" s="46" t="s">
        <v>7981</v>
      </c>
      <c r="KTK1" s="46" t="s">
        <v>7982</v>
      </c>
      <c r="KTL1" s="46" t="s">
        <v>7983</v>
      </c>
      <c r="KTM1" s="46" t="s">
        <v>7984</v>
      </c>
      <c r="KTN1" s="46" t="s">
        <v>7985</v>
      </c>
      <c r="KTO1" s="46" t="s">
        <v>7986</v>
      </c>
      <c r="KTP1" s="46" t="s">
        <v>7987</v>
      </c>
      <c r="KTQ1" s="46" t="s">
        <v>7988</v>
      </c>
      <c r="KTR1" s="46" t="s">
        <v>7989</v>
      </c>
      <c r="KTS1" s="46" t="s">
        <v>7990</v>
      </c>
      <c r="KTT1" s="46" t="s">
        <v>7991</v>
      </c>
      <c r="KTU1" s="46" t="s">
        <v>7992</v>
      </c>
      <c r="KTV1" s="46" t="s">
        <v>7993</v>
      </c>
      <c r="KTW1" s="46" t="s">
        <v>7994</v>
      </c>
      <c r="KTX1" s="46" t="s">
        <v>7995</v>
      </c>
      <c r="KTY1" s="46" t="s">
        <v>7996</v>
      </c>
      <c r="KTZ1" s="46" t="s">
        <v>7997</v>
      </c>
      <c r="KUA1" s="46" t="s">
        <v>7998</v>
      </c>
      <c r="KUB1" s="46" t="s">
        <v>7999</v>
      </c>
      <c r="KUC1" s="46" t="s">
        <v>8000</v>
      </c>
      <c r="KUD1" s="46" t="s">
        <v>8001</v>
      </c>
      <c r="KUE1" s="46" t="s">
        <v>8002</v>
      </c>
      <c r="KUF1" s="46" t="s">
        <v>8003</v>
      </c>
      <c r="KUG1" s="46" t="s">
        <v>8004</v>
      </c>
      <c r="KUH1" s="46" t="s">
        <v>8005</v>
      </c>
      <c r="KUI1" s="46" t="s">
        <v>8006</v>
      </c>
      <c r="KUJ1" s="46" t="s">
        <v>8007</v>
      </c>
      <c r="KUK1" s="46" t="s">
        <v>8008</v>
      </c>
      <c r="KUL1" s="46" t="s">
        <v>8009</v>
      </c>
      <c r="KUM1" s="46" t="s">
        <v>8010</v>
      </c>
      <c r="KUN1" s="46" t="s">
        <v>8011</v>
      </c>
      <c r="KUO1" s="46" t="s">
        <v>8012</v>
      </c>
      <c r="KUP1" s="46" t="s">
        <v>8013</v>
      </c>
      <c r="KUQ1" s="46" t="s">
        <v>8014</v>
      </c>
      <c r="KUR1" s="46" t="s">
        <v>8015</v>
      </c>
      <c r="KUS1" s="46" t="s">
        <v>8016</v>
      </c>
      <c r="KUT1" s="46" t="s">
        <v>8017</v>
      </c>
      <c r="KUU1" s="46" t="s">
        <v>8018</v>
      </c>
      <c r="KUV1" s="46" t="s">
        <v>8019</v>
      </c>
      <c r="KUW1" s="46" t="s">
        <v>8020</v>
      </c>
      <c r="KUX1" s="46" t="s">
        <v>8021</v>
      </c>
      <c r="KUY1" s="46" t="s">
        <v>8022</v>
      </c>
      <c r="KUZ1" s="46" t="s">
        <v>8023</v>
      </c>
      <c r="KVA1" s="46" t="s">
        <v>8024</v>
      </c>
      <c r="KVB1" s="46" t="s">
        <v>8025</v>
      </c>
      <c r="KVC1" s="46" t="s">
        <v>8026</v>
      </c>
      <c r="KVD1" s="46" t="s">
        <v>8027</v>
      </c>
      <c r="KVE1" s="46" t="s">
        <v>8028</v>
      </c>
      <c r="KVF1" s="46" t="s">
        <v>8029</v>
      </c>
      <c r="KVG1" s="46" t="s">
        <v>8030</v>
      </c>
      <c r="KVH1" s="46" t="s">
        <v>8031</v>
      </c>
      <c r="KVI1" s="46" t="s">
        <v>8032</v>
      </c>
      <c r="KVJ1" s="46" t="s">
        <v>8033</v>
      </c>
      <c r="KVK1" s="46" t="s">
        <v>8034</v>
      </c>
      <c r="KVL1" s="46" t="s">
        <v>8035</v>
      </c>
      <c r="KVM1" s="46" t="s">
        <v>8036</v>
      </c>
      <c r="KVN1" s="46" t="s">
        <v>8037</v>
      </c>
      <c r="KVO1" s="46" t="s">
        <v>8038</v>
      </c>
      <c r="KVP1" s="46" t="s">
        <v>8039</v>
      </c>
      <c r="KVQ1" s="46" t="s">
        <v>8040</v>
      </c>
      <c r="KVR1" s="46" t="s">
        <v>8041</v>
      </c>
      <c r="KVS1" s="46" t="s">
        <v>8042</v>
      </c>
      <c r="KVT1" s="46" t="s">
        <v>8043</v>
      </c>
      <c r="KVU1" s="46" t="s">
        <v>8044</v>
      </c>
      <c r="KVV1" s="46" t="s">
        <v>8045</v>
      </c>
      <c r="KVW1" s="46" t="s">
        <v>8046</v>
      </c>
      <c r="KVX1" s="46" t="s">
        <v>8047</v>
      </c>
      <c r="KVY1" s="46" t="s">
        <v>8048</v>
      </c>
      <c r="KVZ1" s="46" t="s">
        <v>8049</v>
      </c>
      <c r="KWA1" s="46" t="s">
        <v>8050</v>
      </c>
      <c r="KWB1" s="46" t="s">
        <v>8051</v>
      </c>
      <c r="KWC1" s="46" t="s">
        <v>8052</v>
      </c>
      <c r="KWD1" s="46" t="s">
        <v>8053</v>
      </c>
      <c r="KWE1" s="46" t="s">
        <v>8054</v>
      </c>
      <c r="KWF1" s="46" t="s">
        <v>8055</v>
      </c>
      <c r="KWG1" s="46" t="s">
        <v>8056</v>
      </c>
      <c r="KWH1" s="46" t="s">
        <v>8057</v>
      </c>
      <c r="KWI1" s="46" t="s">
        <v>8058</v>
      </c>
      <c r="KWJ1" s="46" t="s">
        <v>8059</v>
      </c>
      <c r="KWK1" s="46" t="s">
        <v>8060</v>
      </c>
      <c r="KWL1" s="46" t="s">
        <v>8061</v>
      </c>
      <c r="KWM1" s="46" t="s">
        <v>8062</v>
      </c>
      <c r="KWN1" s="46" t="s">
        <v>8063</v>
      </c>
      <c r="KWO1" s="46" t="s">
        <v>8064</v>
      </c>
      <c r="KWP1" s="46" t="s">
        <v>8065</v>
      </c>
      <c r="KWQ1" s="46" t="s">
        <v>8066</v>
      </c>
      <c r="KWR1" s="46" t="s">
        <v>8067</v>
      </c>
      <c r="KWS1" s="46" t="s">
        <v>8068</v>
      </c>
      <c r="KWT1" s="46" t="s">
        <v>8069</v>
      </c>
      <c r="KWU1" s="46" t="s">
        <v>8070</v>
      </c>
      <c r="KWV1" s="46" t="s">
        <v>8071</v>
      </c>
      <c r="KWW1" s="46" t="s">
        <v>8072</v>
      </c>
      <c r="KWX1" s="46" t="s">
        <v>8073</v>
      </c>
      <c r="KWY1" s="46" t="s">
        <v>8074</v>
      </c>
      <c r="KWZ1" s="46" t="s">
        <v>8075</v>
      </c>
      <c r="KXA1" s="46" t="s">
        <v>8076</v>
      </c>
      <c r="KXB1" s="46" t="s">
        <v>8077</v>
      </c>
      <c r="KXC1" s="46" t="s">
        <v>8078</v>
      </c>
      <c r="KXD1" s="46" t="s">
        <v>8079</v>
      </c>
      <c r="KXE1" s="46" t="s">
        <v>8080</v>
      </c>
      <c r="KXF1" s="46" t="s">
        <v>8081</v>
      </c>
      <c r="KXG1" s="46" t="s">
        <v>8082</v>
      </c>
      <c r="KXH1" s="46" t="s">
        <v>8083</v>
      </c>
      <c r="KXI1" s="46" t="s">
        <v>8084</v>
      </c>
      <c r="KXJ1" s="46" t="s">
        <v>8085</v>
      </c>
      <c r="KXK1" s="46" t="s">
        <v>8086</v>
      </c>
      <c r="KXL1" s="46" t="s">
        <v>8087</v>
      </c>
      <c r="KXM1" s="46" t="s">
        <v>8088</v>
      </c>
      <c r="KXN1" s="46" t="s">
        <v>8089</v>
      </c>
      <c r="KXO1" s="46" t="s">
        <v>8090</v>
      </c>
      <c r="KXP1" s="46" t="s">
        <v>8091</v>
      </c>
      <c r="KXQ1" s="46" t="s">
        <v>8092</v>
      </c>
      <c r="KXR1" s="46" t="s">
        <v>8093</v>
      </c>
      <c r="KXS1" s="46" t="s">
        <v>8094</v>
      </c>
      <c r="KXT1" s="46" t="s">
        <v>8095</v>
      </c>
      <c r="KXU1" s="46" t="s">
        <v>8096</v>
      </c>
      <c r="KXV1" s="46" t="s">
        <v>8097</v>
      </c>
      <c r="KXW1" s="46" t="s">
        <v>8098</v>
      </c>
      <c r="KXX1" s="46" t="s">
        <v>8099</v>
      </c>
      <c r="KXY1" s="46" t="s">
        <v>8100</v>
      </c>
      <c r="KXZ1" s="46" t="s">
        <v>8101</v>
      </c>
      <c r="KYA1" s="46" t="s">
        <v>8102</v>
      </c>
      <c r="KYB1" s="46" t="s">
        <v>8103</v>
      </c>
      <c r="KYC1" s="46" t="s">
        <v>8104</v>
      </c>
      <c r="KYD1" s="46" t="s">
        <v>8105</v>
      </c>
      <c r="KYE1" s="46" t="s">
        <v>8106</v>
      </c>
      <c r="KYF1" s="46" t="s">
        <v>8107</v>
      </c>
      <c r="KYG1" s="46" t="s">
        <v>8108</v>
      </c>
      <c r="KYH1" s="46" t="s">
        <v>8109</v>
      </c>
      <c r="KYI1" s="46" t="s">
        <v>8110</v>
      </c>
      <c r="KYJ1" s="46" t="s">
        <v>8111</v>
      </c>
      <c r="KYK1" s="46" t="s">
        <v>8112</v>
      </c>
      <c r="KYL1" s="46" t="s">
        <v>8113</v>
      </c>
      <c r="KYM1" s="46" t="s">
        <v>8114</v>
      </c>
      <c r="KYN1" s="46" t="s">
        <v>8115</v>
      </c>
      <c r="KYO1" s="46" t="s">
        <v>8116</v>
      </c>
      <c r="KYP1" s="46" t="s">
        <v>8117</v>
      </c>
      <c r="KYQ1" s="46" t="s">
        <v>8118</v>
      </c>
      <c r="KYR1" s="46" t="s">
        <v>8119</v>
      </c>
      <c r="KYS1" s="46" t="s">
        <v>8120</v>
      </c>
      <c r="KYT1" s="46" t="s">
        <v>8121</v>
      </c>
      <c r="KYU1" s="46" t="s">
        <v>8122</v>
      </c>
      <c r="KYV1" s="46" t="s">
        <v>8123</v>
      </c>
      <c r="KYW1" s="46" t="s">
        <v>8124</v>
      </c>
      <c r="KYX1" s="46" t="s">
        <v>8125</v>
      </c>
      <c r="KYY1" s="46" t="s">
        <v>8126</v>
      </c>
      <c r="KYZ1" s="46" t="s">
        <v>8127</v>
      </c>
      <c r="KZA1" s="46" t="s">
        <v>8128</v>
      </c>
      <c r="KZB1" s="46" t="s">
        <v>8129</v>
      </c>
      <c r="KZC1" s="46" t="s">
        <v>8130</v>
      </c>
      <c r="KZD1" s="46" t="s">
        <v>8131</v>
      </c>
      <c r="KZE1" s="46" t="s">
        <v>8132</v>
      </c>
      <c r="KZF1" s="46" t="s">
        <v>8133</v>
      </c>
      <c r="KZG1" s="46" t="s">
        <v>8134</v>
      </c>
      <c r="KZH1" s="46" t="s">
        <v>8135</v>
      </c>
      <c r="KZI1" s="46" t="s">
        <v>8136</v>
      </c>
      <c r="KZJ1" s="46" t="s">
        <v>8137</v>
      </c>
      <c r="KZK1" s="46" t="s">
        <v>8138</v>
      </c>
      <c r="KZL1" s="46" t="s">
        <v>8139</v>
      </c>
      <c r="KZM1" s="46" t="s">
        <v>8140</v>
      </c>
      <c r="KZN1" s="46" t="s">
        <v>8141</v>
      </c>
      <c r="KZO1" s="46" t="s">
        <v>8142</v>
      </c>
      <c r="KZP1" s="46" t="s">
        <v>8143</v>
      </c>
      <c r="KZQ1" s="46" t="s">
        <v>8144</v>
      </c>
      <c r="KZR1" s="46" t="s">
        <v>8145</v>
      </c>
      <c r="KZS1" s="46" t="s">
        <v>8146</v>
      </c>
      <c r="KZT1" s="46" t="s">
        <v>8147</v>
      </c>
      <c r="KZU1" s="46" t="s">
        <v>8148</v>
      </c>
      <c r="KZV1" s="46" t="s">
        <v>8149</v>
      </c>
      <c r="KZW1" s="46" t="s">
        <v>8150</v>
      </c>
      <c r="KZX1" s="46" t="s">
        <v>8151</v>
      </c>
      <c r="KZY1" s="46" t="s">
        <v>8152</v>
      </c>
      <c r="KZZ1" s="46" t="s">
        <v>8153</v>
      </c>
      <c r="LAA1" s="46" t="s">
        <v>8154</v>
      </c>
      <c r="LAB1" s="46" t="s">
        <v>8155</v>
      </c>
      <c r="LAC1" s="46" t="s">
        <v>8156</v>
      </c>
      <c r="LAD1" s="46" t="s">
        <v>8157</v>
      </c>
      <c r="LAE1" s="46" t="s">
        <v>8158</v>
      </c>
      <c r="LAF1" s="46" t="s">
        <v>8159</v>
      </c>
      <c r="LAG1" s="46" t="s">
        <v>8160</v>
      </c>
      <c r="LAH1" s="46" t="s">
        <v>8161</v>
      </c>
      <c r="LAI1" s="46" t="s">
        <v>8162</v>
      </c>
      <c r="LAJ1" s="46" t="s">
        <v>8163</v>
      </c>
      <c r="LAK1" s="46" t="s">
        <v>8164</v>
      </c>
      <c r="LAL1" s="46" t="s">
        <v>8165</v>
      </c>
      <c r="LAM1" s="46" t="s">
        <v>8166</v>
      </c>
      <c r="LAN1" s="46" t="s">
        <v>8167</v>
      </c>
      <c r="LAO1" s="46" t="s">
        <v>8168</v>
      </c>
      <c r="LAP1" s="46" t="s">
        <v>8169</v>
      </c>
      <c r="LAQ1" s="46" t="s">
        <v>8170</v>
      </c>
      <c r="LAR1" s="46" t="s">
        <v>8171</v>
      </c>
      <c r="LAS1" s="46" t="s">
        <v>8172</v>
      </c>
      <c r="LAT1" s="46" t="s">
        <v>8173</v>
      </c>
      <c r="LAU1" s="46" t="s">
        <v>8174</v>
      </c>
      <c r="LAV1" s="46" t="s">
        <v>8175</v>
      </c>
      <c r="LAW1" s="46" t="s">
        <v>8176</v>
      </c>
      <c r="LAX1" s="46" t="s">
        <v>8177</v>
      </c>
      <c r="LAY1" s="46" t="s">
        <v>8178</v>
      </c>
      <c r="LAZ1" s="46" t="s">
        <v>8179</v>
      </c>
      <c r="LBA1" s="46" t="s">
        <v>8180</v>
      </c>
      <c r="LBB1" s="46" t="s">
        <v>8181</v>
      </c>
      <c r="LBC1" s="46" t="s">
        <v>8182</v>
      </c>
      <c r="LBD1" s="46" t="s">
        <v>8183</v>
      </c>
      <c r="LBE1" s="46" t="s">
        <v>8184</v>
      </c>
      <c r="LBF1" s="46" t="s">
        <v>8185</v>
      </c>
      <c r="LBG1" s="46" t="s">
        <v>8186</v>
      </c>
      <c r="LBH1" s="46" t="s">
        <v>8187</v>
      </c>
      <c r="LBI1" s="46" t="s">
        <v>8188</v>
      </c>
      <c r="LBJ1" s="46" t="s">
        <v>8189</v>
      </c>
      <c r="LBK1" s="46" t="s">
        <v>8190</v>
      </c>
      <c r="LBL1" s="46" t="s">
        <v>8191</v>
      </c>
      <c r="LBM1" s="46" t="s">
        <v>8192</v>
      </c>
      <c r="LBN1" s="46" t="s">
        <v>8193</v>
      </c>
      <c r="LBO1" s="46" t="s">
        <v>8194</v>
      </c>
      <c r="LBP1" s="46" t="s">
        <v>8195</v>
      </c>
      <c r="LBQ1" s="46" t="s">
        <v>8196</v>
      </c>
      <c r="LBR1" s="46" t="s">
        <v>8197</v>
      </c>
      <c r="LBS1" s="46" t="s">
        <v>8198</v>
      </c>
      <c r="LBT1" s="46" t="s">
        <v>8199</v>
      </c>
      <c r="LBU1" s="46" t="s">
        <v>8200</v>
      </c>
      <c r="LBV1" s="46" t="s">
        <v>8201</v>
      </c>
      <c r="LBW1" s="46" t="s">
        <v>8202</v>
      </c>
      <c r="LBX1" s="46" t="s">
        <v>8203</v>
      </c>
      <c r="LBY1" s="46" t="s">
        <v>8204</v>
      </c>
      <c r="LBZ1" s="46" t="s">
        <v>8205</v>
      </c>
      <c r="LCA1" s="46" t="s">
        <v>8206</v>
      </c>
      <c r="LCB1" s="46" t="s">
        <v>8207</v>
      </c>
      <c r="LCC1" s="46" t="s">
        <v>8208</v>
      </c>
      <c r="LCD1" s="46" t="s">
        <v>8209</v>
      </c>
      <c r="LCE1" s="46" t="s">
        <v>8210</v>
      </c>
      <c r="LCF1" s="46" t="s">
        <v>8211</v>
      </c>
      <c r="LCG1" s="46" t="s">
        <v>8212</v>
      </c>
      <c r="LCH1" s="46" t="s">
        <v>8213</v>
      </c>
      <c r="LCI1" s="46" t="s">
        <v>8214</v>
      </c>
      <c r="LCJ1" s="46" t="s">
        <v>8215</v>
      </c>
      <c r="LCK1" s="46" t="s">
        <v>8216</v>
      </c>
      <c r="LCL1" s="46" t="s">
        <v>8217</v>
      </c>
      <c r="LCM1" s="46" t="s">
        <v>8218</v>
      </c>
      <c r="LCN1" s="46" t="s">
        <v>8219</v>
      </c>
      <c r="LCO1" s="46" t="s">
        <v>8220</v>
      </c>
      <c r="LCP1" s="46" t="s">
        <v>8221</v>
      </c>
      <c r="LCQ1" s="46" t="s">
        <v>8222</v>
      </c>
      <c r="LCR1" s="46" t="s">
        <v>8223</v>
      </c>
      <c r="LCS1" s="46" t="s">
        <v>8224</v>
      </c>
      <c r="LCT1" s="46" t="s">
        <v>8225</v>
      </c>
      <c r="LCU1" s="46" t="s">
        <v>8226</v>
      </c>
      <c r="LCV1" s="46" t="s">
        <v>8227</v>
      </c>
      <c r="LCW1" s="46" t="s">
        <v>8228</v>
      </c>
      <c r="LCX1" s="46" t="s">
        <v>8229</v>
      </c>
      <c r="LCY1" s="46" t="s">
        <v>8230</v>
      </c>
      <c r="LCZ1" s="46" t="s">
        <v>8231</v>
      </c>
      <c r="LDA1" s="46" t="s">
        <v>8232</v>
      </c>
      <c r="LDB1" s="46" t="s">
        <v>8233</v>
      </c>
      <c r="LDC1" s="46" t="s">
        <v>8234</v>
      </c>
      <c r="LDD1" s="46" t="s">
        <v>8235</v>
      </c>
      <c r="LDE1" s="46" t="s">
        <v>8236</v>
      </c>
      <c r="LDF1" s="46" t="s">
        <v>8237</v>
      </c>
      <c r="LDG1" s="46" t="s">
        <v>8238</v>
      </c>
      <c r="LDH1" s="46" t="s">
        <v>8239</v>
      </c>
      <c r="LDI1" s="46" t="s">
        <v>8240</v>
      </c>
      <c r="LDJ1" s="46" t="s">
        <v>8241</v>
      </c>
      <c r="LDK1" s="46" t="s">
        <v>8242</v>
      </c>
      <c r="LDL1" s="46" t="s">
        <v>8243</v>
      </c>
      <c r="LDM1" s="46" t="s">
        <v>8244</v>
      </c>
      <c r="LDN1" s="46" t="s">
        <v>8245</v>
      </c>
      <c r="LDO1" s="46" t="s">
        <v>8246</v>
      </c>
      <c r="LDP1" s="46" t="s">
        <v>8247</v>
      </c>
      <c r="LDQ1" s="46" t="s">
        <v>8248</v>
      </c>
      <c r="LDR1" s="46" t="s">
        <v>8249</v>
      </c>
      <c r="LDS1" s="46" t="s">
        <v>8250</v>
      </c>
      <c r="LDT1" s="46" t="s">
        <v>8251</v>
      </c>
      <c r="LDU1" s="46" t="s">
        <v>8252</v>
      </c>
      <c r="LDV1" s="46" t="s">
        <v>8253</v>
      </c>
      <c r="LDW1" s="46" t="s">
        <v>8254</v>
      </c>
      <c r="LDX1" s="46" t="s">
        <v>8255</v>
      </c>
      <c r="LDY1" s="46" t="s">
        <v>8256</v>
      </c>
      <c r="LDZ1" s="46" t="s">
        <v>8257</v>
      </c>
      <c r="LEA1" s="46" t="s">
        <v>8258</v>
      </c>
      <c r="LEB1" s="46" t="s">
        <v>8259</v>
      </c>
      <c r="LEC1" s="46" t="s">
        <v>8260</v>
      </c>
      <c r="LED1" s="46" t="s">
        <v>8261</v>
      </c>
      <c r="LEE1" s="46" t="s">
        <v>8262</v>
      </c>
      <c r="LEF1" s="46" t="s">
        <v>8263</v>
      </c>
      <c r="LEG1" s="46" t="s">
        <v>8264</v>
      </c>
      <c r="LEH1" s="46" t="s">
        <v>8265</v>
      </c>
      <c r="LEI1" s="46" t="s">
        <v>8266</v>
      </c>
      <c r="LEJ1" s="46" t="s">
        <v>8267</v>
      </c>
      <c r="LEK1" s="46" t="s">
        <v>8268</v>
      </c>
      <c r="LEL1" s="46" t="s">
        <v>8269</v>
      </c>
      <c r="LEM1" s="46" t="s">
        <v>8270</v>
      </c>
      <c r="LEN1" s="46" t="s">
        <v>8271</v>
      </c>
      <c r="LEO1" s="46" t="s">
        <v>8272</v>
      </c>
      <c r="LEP1" s="46" t="s">
        <v>8273</v>
      </c>
      <c r="LEQ1" s="46" t="s">
        <v>8274</v>
      </c>
      <c r="LER1" s="46" t="s">
        <v>8275</v>
      </c>
      <c r="LES1" s="46" t="s">
        <v>8276</v>
      </c>
      <c r="LET1" s="46" t="s">
        <v>8277</v>
      </c>
      <c r="LEU1" s="46" t="s">
        <v>8278</v>
      </c>
      <c r="LEV1" s="46" t="s">
        <v>8279</v>
      </c>
      <c r="LEW1" s="46" t="s">
        <v>8280</v>
      </c>
      <c r="LEX1" s="46" t="s">
        <v>8281</v>
      </c>
      <c r="LEY1" s="46" t="s">
        <v>8282</v>
      </c>
      <c r="LEZ1" s="46" t="s">
        <v>8283</v>
      </c>
      <c r="LFA1" s="46" t="s">
        <v>8284</v>
      </c>
      <c r="LFB1" s="46" t="s">
        <v>8285</v>
      </c>
      <c r="LFC1" s="46" t="s">
        <v>8286</v>
      </c>
      <c r="LFD1" s="46" t="s">
        <v>8287</v>
      </c>
      <c r="LFE1" s="46" t="s">
        <v>8288</v>
      </c>
      <c r="LFF1" s="46" t="s">
        <v>8289</v>
      </c>
      <c r="LFG1" s="46" t="s">
        <v>8290</v>
      </c>
      <c r="LFH1" s="46" t="s">
        <v>8291</v>
      </c>
      <c r="LFI1" s="46" t="s">
        <v>8292</v>
      </c>
      <c r="LFJ1" s="46" t="s">
        <v>8293</v>
      </c>
      <c r="LFK1" s="46" t="s">
        <v>8294</v>
      </c>
      <c r="LFL1" s="46" t="s">
        <v>8295</v>
      </c>
      <c r="LFM1" s="46" t="s">
        <v>8296</v>
      </c>
      <c r="LFN1" s="46" t="s">
        <v>8297</v>
      </c>
      <c r="LFO1" s="46" t="s">
        <v>8298</v>
      </c>
      <c r="LFP1" s="46" t="s">
        <v>8299</v>
      </c>
      <c r="LFQ1" s="46" t="s">
        <v>8300</v>
      </c>
      <c r="LFR1" s="46" t="s">
        <v>8301</v>
      </c>
      <c r="LFS1" s="46" t="s">
        <v>8302</v>
      </c>
      <c r="LFT1" s="46" t="s">
        <v>8303</v>
      </c>
      <c r="LFU1" s="46" t="s">
        <v>8304</v>
      </c>
      <c r="LFV1" s="46" t="s">
        <v>8305</v>
      </c>
      <c r="LFW1" s="46" t="s">
        <v>8306</v>
      </c>
      <c r="LFX1" s="46" t="s">
        <v>8307</v>
      </c>
      <c r="LFY1" s="46" t="s">
        <v>8308</v>
      </c>
      <c r="LFZ1" s="46" t="s">
        <v>8309</v>
      </c>
      <c r="LGA1" s="46" t="s">
        <v>8310</v>
      </c>
      <c r="LGB1" s="46" t="s">
        <v>8311</v>
      </c>
      <c r="LGC1" s="46" t="s">
        <v>8312</v>
      </c>
      <c r="LGD1" s="46" t="s">
        <v>8313</v>
      </c>
      <c r="LGE1" s="46" t="s">
        <v>8314</v>
      </c>
      <c r="LGF1" s="46" t="s">
        <v>8315</v>
      </c>
      <c r="LGG1" s="46" t="s">
        <v>8316</v>
      </c>
      <c r="LGH1" s="46" t="s">
        <v>8317</v>
      </c>
      <c r="LGI1" s="46" t="s">
        <v>8318</v>
      </c>
      <c r="LGJ1" s="46" t="s">
        <v>8319</v>
      </c>
      <c r="LGK1" s="46" t="s">
        <v>8320</v>
      </c>
      <c r="LGL1" s="46" t="s">
        <v>8321</v>
      </c>
      <c r="LGM1" s="46" t="s">
        <v>8322</v>
      </c>
      <c r="LGN1" s="46" t="s">
        <v>8323</v>
      </c>
      <c r="LGO1" s="46" t="s">
        <v>8324</v>
      </c>
      <c r="LGP1" s="46" t="s">
        <v>8325</v>
      </c>
      <c r="LGQ1" s="46" t="s">
        <v>8326</v>
      </c>
      <c r="LGR1" s="46" t="s">
        <v>8327</v>
      </c>
      <c r="LGS1" s="46" t="s">
        <v>8328</v>
      </c>
      <c r="LGT1" s="46" t="s">
        <v>8329</v>
      </c>
      <c r="LGU1" s="46" t="s">
        <v>8330</v>
      </c>
      <c r="LGV1" s="46" t="s">
        <v>8331</v>
      </c>
      <c r="LGW1" s="46" t="s">
        <v>8332</v>
      </c>
      <c r="LGX1" s="46" t="s">
        <v>8333</v>
      </c>
      <c r="LGY1" s="46" t="s">
        <v>8334</v>
      </c>
      <c r="LGZ1" s="46" t="s">
        <v>8335</v>
      </c>
      <c r="LHA1" s="46" t="s">
        <v>8336</v>
      </c>
      <c r="LHB1" s="46" t="s">
        <v>8337</v>
      </c>
      <c r="LHC1" s="46" t="s">
        <v>8338</v>
      </c>
      <c r="LHD1" s="46" t="s">
        <v>8339</v>
      </c>
      <c r="LHE1" s="46" t="s">
        <v>8340</v>
      </c>
      <c r="LHF1" s="46" t="s">
        <v>8341</v>
      </c>
      <c r="LHG1" s="46" t="s">
        <v>8342</v>
      </c>
      <c r="LHH1" s="46" t="s">
        <v>8343</v>
      </c>
      <c r="LHI1" s="46" t="s">
        <v>8344</v>
      </c>
      <c r="LHJ1" s="46" t="s">
        <v>8345</v>
      </c>
      <c r="LHK1" s="46" t="s">
        <v>8346</v>
      </c>
      <c r="LHL1" s="46" t="s">
        <v>8347</v>
      </c>
      <c r="LHM1" s="46" t="s">
        <v>8348</v>
      </c>
      <c r="LHN1" s="46" t="s">
        <v>8349</v>
      </c>
      <c r="LHO1" s="46" t="s">
        <v>8350</v>
      </c>
      <c r="LHP1" s="46" t="s">
        <v>8351</v>
      </c>
      <c r="LHQ1" s="46" t="s">
        <v>8352</v>
      </c>
      <c r="LHR1" s="46" t="s">
        <v>8353</v>
      </c>
      <c r="LHS1" s="46" t="s">
        <v>8354</v>
      </c>
      <c r="LHT1" s="46" t="s">
        <v>8355</v>
      </c>
      <c r="LHU1" s="46" t="s">
        <v>8356</v>
      </c>
      <c r="LHV1" s="46" t="s">
        <v>8357</v>
      </c>
      <c r="LHW1" s="46" t="s">
        <v>8358</v>
      </c>
      <c r="LHX1" s="46" t="s">
        <v>8359</v>
      </c>
      <c r="LHY1" s="46" t="s">
        <v>8360</v>
      </c>
      <c r="LHZ1" s="46" t="s">
        <v>8361</v>
      </c>
      <c r="LIA1" s="46" t="s">
        <v>8362</v>
      </c>
      <c r="LIB1" s="46" t="s">
        <v>8363</v>
      </c>
      <c r="LIC1" s="46" t="s">
        <v>8364</v>
      </c>
      <c r="LID1" s="46" t="s">
        <v>8365</v>
      </c>
      <c r="LIE1" s="46" t="s">
        <v>8366</v>
      </c>
      <c r="LIF1" s="46" t="s">
        <v>8367</v>
      </c>
      <c r="LIG1" s="46" t="s">
        <v>8368</v>
      </c>
      <c r="LIH1" s="46" t="s">
        <v>8369</v>
      </c>
      <c r="LII1" s="46" t="s">
        <v>8370</v>
      </c>
      <c r="LIJ1" s="46" t="s">
        <v>8371</v>
      </c>
      <c r="LIK1" s="46" t="s">
        <v>8372</v>
      </c>
      <c r="LIL1" s="46" t="s">
        <v>8373</v>
      </c>
      <c r="LIM1" s="46" t="s">
        <v>8374</v>
      </c>
      <c r="LIN1" s="46" t="s">
        <v>8375</v>
      </c>
      <c r="LIO1" s="46" t="s">
        <v>8376</v>
      </c>
      <c r="LIP1" s="46" t="s">
        <v>8377</v>
      </c>
      <c r="LIQ1" s="46" t="s">
        <v>8378</v>
      </c>
      <c r="LIR1" s="46" t="s">
        <v>8379</v>
      </c>
      <c r="LIS1" s="46" t="s">
        <v>8380</v>
      </c>
      <c r="LIT1" s="46" t="s">
        <v>8381</v>
      </c>
      <c r="LIU1" s="46" t="s">
        <v>8382</v>
      </c>
      <c r="LIV1" s="46" t="s">
        <v>8383</v>
      </c>
      <c r="LIW1" s="46" t="s">
        <v>8384</v>
      </c>
      <c r="LIX1" s="46" t="s">
        <v>8385</v>
      </c>
      <c r="LIY1" s="46" t="s">
        <v>8386</v>
      </c>
      <c r="LIZ1" s="46" t="s">
        <v>8387</v>
      </c>
      <c r="LJA1" s="46" t="s">
        <v>8388</v>
      </c>
      <c r="LJB1" s="46" t="s">
        <v>8389</v>
      </c>
      <c r="LJC1" s="46" t="s">
        <v>8390</v>
      </c>
      <c r="LJD1" s="46" t="s">
        <v>8391</v>
      </c>
      <c r="LJE1" s="46" t="s">
        <v>8392</v>
      </c>
      <c r="LJF1" s="46" t="s">
        <v>8393</v>
      </c>
      <c r="LJG1" s="46" t="s">
        <v>8394</v>
      </c>
      <c r="LJH1" s="46" t="s">
        <v>8395</v>
      </c>
      <c r="LJI1" s="46" t="s">
        <v>8396</v>
      </c>
      <c r="LJJ1" s="46" t="s">
        <v>8397</v>
      </c>
      <c r="LJK1" s="46" t="s">
        <v>8398</v>
      </c>
      <c r="LJL1" s="46" t="s">
        <v>8399</v>
      </c>
      <c r="LJM1" s="46" t="s">
        <v>8400</v>
      </c>
      <c r="LJN1" s="46" t="s">
        <v>8401</v>
      </c>
      <c r="LJO1" s="46" t="s">
        <v>8402</v>
      </c>
      <c r="LJP1" s="46" t="s">
        <v>8403</v>
      </c>
      <c r="LJQ1" s="46" t="s">
        <v>8404</v>
      </c>
      <c r="LJR1" s="46" t="s">
        <v>8405</v>
      </c>
      <c r="LJS1" s="46" t="s">
        <v>8406</v>
      </c>
      <c r="LJT1" s="46" t="s">
        <v>8407</v>
      </c>
      <c r="LJU1" s="46" t="s">
        <v>8408</v>
      </c>
      <c r="LJV1" s="46" t="s">
        <v>8409</v>
      </c>
      <c r="LJW1" s="46" t="s">
        <v>8410</v>
      </c>
      <c r="LJX1" s="46" t="s">
        <v>8411</v>
      </c>
      <c r="LJY1" s="46" t="s">
        <v>8412</v>
      </c>
      <c r="LJZ1" s="46" t="s">
        <v>8413</v>
      </c>
      <c r="LKA1" s="46" t="s">
        <v>8414</v>
      </c>
      <c r="LKB1" s="46" t="s">
        <v>8415</v>
      </c>
      <c r="LKC1" s="46" t="s">
        <v>8416</v>
      </c>
      <c r="LKD1" s="46" t="s">
        <v>8417</v>
      </c>
      <c r="LKE1" s="46" t="s">
        <v>8418</v>
      </c>
      <c r="LKF1" s="46" t="s">
        <v>8419</v>
      </c>
      <c r="LKG1" s="46" t="s">
        <v>8420</v>
      </c>
      <c r="LKH1" s="46" t="s">
        <v>8421</v>
      </c>
      <c r="LKI1" s="46" t="s">
        <v>8422</v>
      </c>
      <c r="LKJ1" s="46" t="s">
        <v>8423</v>
      </c>
      <c r="LKK1" s="46" t="s">
        <v>8424</v>
      </c>
      <c r="LKL1" s="46" t="s">
        <v>8425</v>
      </c>
      <c r="LKM1" s="46" t="s">
        <v>8426</v>
      </c>
      <c r="LKN1" s="46" t="s">
        <v>8427</v>
      </c>
      <c r="LKO1" s="46" t="s">
        <v>8428</v>
      </c>
      <c r="LKP1" s="46" t="s">
        <v>8429</v>
      </c>
      <c r="LKQ1" s="46" t="s">
        <v>8430</v>
      </c>
      <c r="LKR1" s="46" t="s">
        <v>8431</v>
      </c>
      <c r="LKS1" s="46" t="s">
        <v>8432</v>
      </c>
      <c r="LKT1" s="46" t="s">
        <v>8433</v>
      </c>
      <c r="LKU1" s="46" t="s">
        <v>8434</v>
      </c>
      <c r="LKV1" s="46" t="s">
        <v>8435</v>
      </c>
      <c r="LKW1" s="46" t="s">
        <v>8436</v>
      </c>
      <c r="LKX1" s="46" t="s">
        <v>8437</v>
      </c>
      <c r="LKY1" s="46" t="s">
        <v>8438</v>
      </c>
      <c r="LKZ1" s="46" t="s">
        <v>8439</v>
      </c>
      <c r="LLA1" s="46" t="s">
        <v>8440</v>
      </c>
      <c r="LLB1" s="46" t="s">
        <v>8441</v>
      </c>
      <c r="LLC1" s="46" t="s">
        <v>8442</v>
      </c>
      <c r="LLD1" s="46" t="s">
        <v>8443</v>
      </c>
      <c r="LLE1" s="46" t="s">
        <v>8444</v>
      </c>
      <c r="LLF1" s="46" t="s">
        <v>8445</v>
      </c>
      <c r="LLG1" s="46" t="s">
        <v>8446</v>
      </c>
      <c r="LLH1" s="46" t="s">
        <v>8447</v>
      </c>
      <c r="LLI1" s="46" t="s">
        <v>8448</v>
      </c>
      <c r="LLJ1" s="46" t="s">
        <v>8449</v>
      </c>
      <c r="LLK1" s="46" t="s">
        <v>8450</v>
      </c>
      <c r="LLL1" s="46" t="s">
        <v>8451</v>
      </c>
      <c r="LLM1" s="46" t="s">
        <v>8452</v>
      </c>
      <c r="LLN1" s="46" t="s">
        <v>8453</v>
      </c>
      <c r="LLO1" s="46" t="s">
        <v>8454</v>
      </c>
      <c r="LLP1" s="46" t="s">
        <v>8455</v>
      </c>
      <c r="LLQ1" s="46" t="s">
        <v>8456</v>
      </c>
      <c r="LLR1" s="46" t="s">
        <v>8457</v>
      </c>
      <c r="LLS1" s="46" t="s">
        <v>8458</v>
      </c>
      <c r="LLT1" s="46" t="s">
        <v>8459</v>
      </c>
      <c r="LLU1" s="46" t="s">
        <v>8460</v>
      </c>
      <c r="LLV1" s="46" t="s">
        <v>8461</v>
      </c>
      <c r="LLW1" s="46" t="s">
        <v>8462</v>
      </c>
      <c r="LLX1" s="46" t="s">
        <v>8463</v>
      </c>
      <c r="LLY1" s="46" t="s">
        <v>8464</v>
      </c>
      <c r="LLZ1" s="46" t="s">
        <v>8465</v>
      </c>
      <c r="LMA1" s="46" t="s">
        <v>8466</v>
      </c>
      <c r="LMB1" s="46" t="s">
        <v>8467</v>
      </c>
      <c r="LMC1" s="46" t="s">
        <v>8468</v>
      </c>
      <c r="LMD1" s="46" t="s">
        <v>8469</v>
      </c>
      <c r="LME1" s="46" t="s">
        <v>8470</v>
      </c>
      <c r="LMF1" s="46" t="s">
        <v>8471</v>
      </c>
      <c r="LMG1" s="46" t="s">
        <v>8472</v>
      </c>
      <c r="LMH1" s="46" t="s">
        <v>8473</v>
      </c>
      <c r="LMI1" s="46" t="s">
        <v>8474</v>
      </c>
      <c r="LMJ1" s="46" t="s">
        <v>8475</v>
      </c>
      <c r="LMK1" s="46" t="s">
        <v>8476</v>
      </c>
      <c r="LML1" s="46" t="s">
        <v>8477</v>
      </c>
      <c r="LMM1" s="46" t="s">
        <v>8478</v>
      </c>
      <c r="LMN1" s="46" t="s">
        <v>8479</v>
      </c>
      <c r="LMO1" s="46" t="s">
        <v>8480</v>
      </c>
      <c r="LMP1" s="46" t="s">
        <v>8481</v>
      </c>
      <c r="LMQ1" s="46" t="s">
        <v>8482</v>
      </c>
      <c r="LMR1" s="46" t="s">
        <v>8483</v>
      </c>
      <c r="LMS1" s="46" t="s">
        <v>8484</v>
      </c>
      <c r="LMT1" s="46" t="s">
        <v>8485</v>
      </c>
      <c r="LMU1" s="46" t="s">
        <v>8486</v>
      </c>
      <c r="LMV1" s="46" t="s">
        <v>8487</v>
      </c>
      <c r="LMW1" s="46" t="s">
        <v>8488</v>
      </c>
      <c r="LMX1" s="46" t="s">
        <v>8489</v>
      </c>
      <c r="LMY1" s="46" t="s">
        <v>8490</v>
      </c>
      <c r="LMZ1" s="46" t="s">
        <v>8491</v>
      </c>
      <c r="LNA1" s="46" t="s">
        <v>8492</v>
      </c>
      <c r="LNB1" s="46" t="s">
        <v>8493</v>
      </c>
      <c r="LNC1" s="46" t="s">
        <v>8494</v>
      </c>
      <c r="LND1" s="46" t="s">
        <v>8495</v>
      </c>
      <c r="LNE1" s="46" t="s">
        <v>8496</v>
      </c>
      <c r="LNF1" s="46" t="s">
        <v>8497</v>
      </c>
      <c r="LNG1" s="46" t="s">
        <v>8498</v>
      </c>
      <c r="LNH1" s="46" t="s">
        <v>8499</v>
      </c>
      <c r="LNI1" s="46" t="s">
        <v>8500</v>
      </c>
      <c r="LNJ1" s="46" t="s">
        <v>8501</v>
      </c>
      <c r="LNK1" s="46" t="s">
        <v>8502</v>
      </c>
      <c r="LNL1" s="46" t="s">
        <v>8503</v>
      </c>
      <c r="LNM1" s="46" t="s">
        <v>8504</v>
      </c>
      <c r="LNN1" s="46" t="s">
        <v>8505</v>
      </c>
      <c r="LNO1" s="46" t="s">
        <v>8506</v>
      </c>
      <c r="LNP1" s="46" t="s">
        <v>8507</v>
      </c>
      <c r="LNQ1" s="46" t="s">
        <v>8508</v>
      </c>
      <c r="LNR1" s="46" t="s">
        <v>8509</v>
      </c>
      <c r="LNS1" s="46" t="s">
        <v>8510</v>
      </c>
      <c r="LNT1" s="46" t="s">
        <v>8511</v>
      </c>
      <c r="LNU1" s="46" t="s">
        <v>8512</v>
      </c>
      <c r="LNV1" s="46" t="s">
        <v>8513</v>
      </c>
      <c r="LNW1" s="46" t="s">
        <v>8514</v>
      </c>
      <c r="LNX1" s="46" t="s">
        <v>8515</v>
      </c>
      <c r="LNY1" s="46" t="s">
        <v>8516</v>
      </c>
      <c r="LNZ1" s="46" t="s">
        <v>8517</v>
      </c>
      <c r="LOA1" s="46" t="s">
        <v>8518</v>
      </c>
      <c r="LOB1" s="46" t="s">
        <v>8519</v>
      </c>
      <c r="LOC1" s="46" t="s">
        <v>8520</v>
      </c>
      <c r="LOD1" s="46" t="s">
        <v>8521</v>
      </c>
      <c r="LOE1" s="46" t="s">
        <v>8522</v>
      </c>
      <c r="LOF1" s="46" t="s">
        <v>8523</v>
      </c>
      <c r="LOG1" s="46" t="s">
        <v>8524</v>
      </c>
      <c r="LOH1" s="46" t="s">
        <v>8525</v>
      </c>
      <c r="LOI1" s="46" t="s">
        <v>8526</v>
      </c>
      <c r="LOJ1" s="46" t="s">
        <v>8527</v>
      </c>
      <c r="LOK1" s="46" t="s">
        <v>8528</v>
      </c>
      <c r="LOL1" s="46" t="s">
        <v>8529</v>
      </c>
      <c r="LOM1" s="46" t="s">
        <v>8530</v>
      </c>
      <c r="LON1" s="46" t="s">
        <v>8531</v>
      </c>
      <c r="LOO1" s="46" t="s">
        <v>8532</v>
      </c>
      <c r="LOP1" s="46" t="s">
        <v>8533</v>
      </c>
      <c r="LOQ1" s="46" t="s">
        <v>8534</v>
      </c>
      <c r="LOR1" s="46" t="s">
        <v>8535</v>
      </c>
      <c r="LOS1" s="46" t="s">
        <v>8536</v>
      </c>
      <c r="LOT1" s="46" t="s">
        <v>8537</v>
      </c>
      <c r="LOU1" s="46" t="s">
        <v>8538</v>
      </c>
      <c r="LOV1" s="46" t="s">
        <v>8539</v>
      </c>
      <c r="LOW1" s="46" t="s">
        <v>8540</v>
      </c>
      <c r="LOX1" s="46" t="s">
        <v>8541</v>
      </c>
      <c r="LOY1" s="46" t="s">
        <v>8542</v>
      </c>
      <c r="LOZ1" s="46" t="s">
        <v>8543</v>
      </c>
      <c r="LPA1" s="46" t="s">
        <v>8544</v>
      </c>
      <c r="LPB1" s="46" t="s">
        <v>8545</v>
      </c>
      <c r="LPC1" s="46" t="s">
        <v>8546</v>
      </c>
      <c r="LPD1" s="46" t="s">
        <v>8547</v>
      </c>
      <c r="LPE1" s="46" t="s">
        <v>8548</v>
      </c>
      <c r="LPF1" s="46" t="s">
        <v>8549</v>
      </c>
      <c r="LPG1" s="46" t="s">
        <v>8550</v>
      </c>
      <c r="LPH1" s="46" t="s">
        <v>8551</v>
      </c>
      <c r="LPI1" s="46" t="s">
        <v>8552</v>
      </c>
      <c r="LPJ1" s="46" t="s">
        <v>8553</v>
      </c>
      <c r="LPK1" s="46" t="s">
        <v>8554</v>
      </c>
      <c r="LPL1" s="46" t="s">
        <v>8555</v>
      </c>
      <c r="LPM1" s="46" t="s">
        <v>8556</v>
      </c>
      <c r="LPN1" s="46" t="s">
        <v>8557</v>
      </c>
      <c r="LPO1" s="46" t="s">
        <v>8558</v>
      </c>
      <c r="LPP1" s="46" t="s">
        <v>8559</v>
      </c>
      <c r="LPQ1" s="46" t="s">
        <v>8560</v>
      </c>
      <c r="LPR1" s="46" t="s">
        <v>8561</v>
      </c>
      <c r="LPS1" s="46" t="s">
        <v>8562</v>
      </c>
      <c r="LPT1" s="46" t="s">
        <v>8563</v>
      </c>
      <c r="LPU1" s="46" t="s">
        <v>8564</v>
      </c>
      <c r="LPV1" s="46" t="s">
        <v>8565</v>
      </c>
      <c r="LPW1" s="46" t="s">
        <v>8566</v>
      </c>
      <c r="LPX1" s="46" t="s">
        <v>8567</v>
      </c>
      <c r="LPY1" s="46" t="s">
        <v>8568</v>
      </c>
      <c r="LPZ1" s="46" t="s">
        <v>8569</v>
      </c>
      <c r="LQA1" s="46" t="s">
        <v>8570</v>
      </c>
      <c r="LQB1" s="46" t="s">
        <v>8571</v>
      </c>
      <c r="LQC1" s="46" t="s">
        <v>8572</v>
      </c>
      <c r="LQD1" s="46" t="s">
        <v>8573</v>
      </c>
      <c r="LQE1" s="46" t="s">
        <v>8574</v>
      </c>
      <c r="LQF1" s="46" t="s">
        <v>8575</v>
      </c>
      <c r="LQG1" s="46" t="s">
        <v>8576</v>
      </c>
      <c r="LQH1" s="46" t="s">
        <v>8577</v>
      </c>
      <c r="LQI1" s="46" t="s">
        <v>8578</v>
      </c>
      <c r="LQJ1" s="46" t="s">
        <v>8579</v>
      </c>
      <c r="LQK1" s="46" t="s">
        <v>8580</v>
      </c>
      <c r="LQL1" s="46" t="s">
        <v>8581</v>
      </c>
      <c r="LQM1" s="46" t="s">
        <v>8582</v>
      </c>
      <c r="LQN1" s="46" t="s">
        <v>8583</v>
      </c>
      <c r="LQO1" s="46" t="s">
        <v>8584</v>
      </c>
      <c r="LQP1" s="46" t="s">
        <v>8585</v>
      </c>
      <c r="LQQ1" s="46" t="s">
        <v>8586</v>
      </c>
      <c r="LQR1" s="46" t="s">
        <v>8587</v>
      </c>
      <c r="LQS1" s="46" t="s">
        <v>8588</v>
      </c>
      <c r="LQT1" s="46" t="s">
        <v>8589</v>
      </c>
      <c r="LQU1" s="46" t="s">
        <v>8590</v>
      </c>
      <c r="LQV1" s="46" t="s">
        <v>8591</v>
      </c>
      <c r="LQW1" s="46" t="s">
        <v>8592</v>
      </c>
      <c r="LQX1" s="46" t="s">
        <v>8593</v>
      </c>
      <c r="LQY1" s="46" t="s">
        <v>8594</v>
      </c>
      <c r="LQZ1" s="46" t="s">
        <v>8595</v>
      </c>
      <c r="LRA1" s="46" t="s">
        <v>8596</v>
      </c>
      <c r="LRB1" s="46" t="s">
        <v>8597</v>
      </c>
      <c r="LRC1" s="46" t="s">
        <v>8598</v>
      </c>
      <c r="LRD1" s="46" t="s">
        <v>8599</v>
      </c>
      <c r="LRE1" s="46" t="s">
        <v>8600</v>
      </c>
      <c r="LRF1" s="46" t="s">
        <v>8601</v>
      </c>
      <c r="LRG1" s="46" t="s">
        <v>8602</v>
      </c>
      <c r="LRH1" s="46" t="s">
        <v>8603</v>
      </c>
      <c r="LRI1" s="46" t="s">
        <v>8604</v>
      </c>
      <c r="LRJ1" s="46" t="s">
        <v>8605</v>
      </c>
      <c r="LRK1" s="46" t="s">
        <v>8606</v>
      </c>
      <c r="LRL1" s="46" t="s">
        <v>8607</v>
      </c>
      <c r="LRM1" s="46" t="s">
        <v>8608</v>
      </c>
      <c r="LRN1" s="46" t="s">
        <v>8609</v>
      </c>
      <c r="LRO1" s="46" t="s">
        <v>8610</v>
      </c>
      <c r="LRP1" s="46" t="s">
        <v>8611</v>
      </c>
      <c r="LRQ1" s="46" t="s">
        <v>8612</v>
      </c>
      <c r="LRR1" s="46" t="s">
        <v>8613</v>
      </c>
      <c r="LRS1" s="46" t="s">
        <v>8614</v>
      </c>
      <c r="LRT1" s="46" t="s">
        <v>8615</v>
      </c>
      <c r="LRU1" s="46" t="s">
        <v>8616</v>
      </c>
      <c r="LRV1" s="46" t="s">
        <v>8617</v>
      </c>
      <c r="LRW1" s="46" t="s">
        <v>8618</v>
      </c>
      <c r="LRX1" s="46" t="s">
        <v>8619</v>
      </c>
      <c r="LRY1" s="46" t="s">
        <v>8620</v>
      </c>
      <c r="LRZ1" s="46" t="s">
        <v>8621</v>
      </c>
      <c r="LSA1" s="46" t="s">
        <v>8622</v>
      </c>
      <c r="LSB1" s="46" t="s">
        <v>8623</v>
      </c>
      <c r="LSC1" s="46" t="s">
        <v>8624</v>
      </c>
      <c r="LSD1" s="46" t="s">
        <v>8625</v>
      </c>
      <c r="LSE1" s="46" t="s">
        <v>8626</v>
      </c>
      <c r="LSF1" s="46" t="s">
        <v>8627</v>
      </c>
      <c r="LSG1" s="46" t="s">
        <v>8628</v>
      </c>
      <c r="LSH1" s="46" t="s">
        <v>8629</v>
      </c>
      <c r="LSI1" s="46" t="s">
        <v>8630</v>
      </c>
      <c r="LSJ1" s="46" t="s">
        <v>8631</v>
      </c>
      <c r="LSK1" s="46" t="s">
        <v>8632</v>
      </c>
      <c r="LSL1" s="46" t="s">
        <v>8633</v>
      </c>
      <c r="LSM1" s="46" t="s">
        <v>8634</v>
      </c>
      <c r="LSN1" s="46" t="s">
        <v>8635</v>
      </c>
      <c r="LSO1" s="46" t="s">
        <v>8636</v>
      </c>
      <c r="LSP1" s="46" t="s">
        <v>8637</v>
      </c>
      <c r="LSQ1" s="46" t="s">
        <v>8638</v>
      </c>
      <c r="LSR1" s="46" t="s">
        <v>8639</v>
      </c>
      <c r="LSS1" s="46" t="s">
        <v>8640</v>
      </c>
      <c r="LST1" s="46" t="s">
        <v>8641</v>
      </c>
      <c r="LSU1" s="46" t="s">
        <v>8642</v>
      </c>
      <c r="LSV1" s="46" t="s">
        <v>8643</v>
      </c>
      <c r="LSW1" s="46" t="s">
        <v>8644</v>
      </c>
      <c r="LSX1" s="46" t="s">
        <v>8645</v>
      </c>
      <c r="LSY1" s="46" t="s">
        <v>8646</v>
      </c>
      <c r="LSZ1" s="46" t="s">
        <v>8647</v>
      </c>
      <c r="LTA1" s="46" t="s">
        <v>8648</v>
      </c>
      <c r="LTB1" s="46" t="s">
        <v>8649</v>
      </c>
      <c r="LTC1" s="46" t="s">
        <v>8650</v>
      </c>
      <c r="LTD1" s="46" t="s">
        <v>8651</v>
      </c>
      <c r="LTE1" s="46" t="s">
        <v>8652</v>
      </c>
      <c r="LTF1" s="46" t="s">
        <v>8653</v>
      </c>
      <c r="LTG1" s="46" t="s">
        <v>8654</v>
      </c>
      <c r="LTH1" s="46" t="s">
        <v>8655</v>
      </c>
      <c r="LTI1" s="46" t="s">
        <v>8656</v>
      </c>
      <c r="LTJ1" s="46" t="s">
        <v>8657</v>
      </c>
      <c r="LTK1" s="46" t="s">
        <v>8658</v>
      </c>
      <c r="LTL1" s="46" t="s">
        <v>8659</v>
      </c>
      <c r="LTM1" s="46" t="s">
        <v>8660</v>
      </c>
      <c r="LTN1" s="46" t="s">
        <v>8661</v>
      </c>
      <c r="LTO1" s="46" t="s">
        <v>8662</v>
      </c>
      <c r="LTP1" s="46" t="s">
        <v>8663</v>
      </c>
      <c r="LTQ1" s="46" t="s">
        <v>8664</v>
      </c>
      <c r="LTR1" s="46" t="s">
        <v>8665</v>
      </c>
      <c r="LTS1" s="46" t="s">
        <v>8666</v>
      </c>
      <c r="LTT1" s="46" t="s">
        <v>8667</v>
      </c>
      <c r="LTU1" s="46" t="s">
        <v>8668</v>
      </c>
      <c r="LTV1" s="46" t="s">
        <v>8669</v>
      </c>
      <c r="LTW1" s="46" t="s">
        <v>8670</v>
      </c>
      <c r="LTX1" s="46" t="s">
        <v>8671</v>
      </c>
      <c r="LTY1" s="46" t="s">
        <v>8672</v>
      </c>
      <c r="LTZ1" s="46" t="s">
        <v>8673</v>
      </c>
      <c r="LUA1" s="46" t="s">
        <v>8674</v>
      </c>
      <c r="LUB1" s="46" t="s">
        <v>8675</v>
      </c>
      <c r="LUC1" s="46" t="s">
        <v>8676</v>
      </c>
      <c r="LUD1" s="46" t="s">
        <v>8677</v>
      </c>
      <c r="LUE1" s="46" t="s">
        <v>8678</v>
      </c>
      <c r="LUF1" s="46" t="s">
        <v>8679</v>
      </c>
      <c r="LUG1" s="46" t="s">
        <v>8680</v>
      </c>
      <c r="LUH1" s="46" t="s">
        <v>8681</v>
      </c>
      <c r="LUI1" s="46" t="s">
        <v>8682</v>
      </c>
      <c r="LUJ1" s="46" t="s">
        <v>8683</v>
      </c>
      <c r="LUK1" s="46" t="s">
        <v>8684</v>
      </c>
      <c r="LUL1" s="46" t="s">
        <v>8685</v>
      </c>
      <c r="LUM1" s="46" t="s">
        <v>8686</v>
      </c>
      <c r="LUN1" s="46" t="s">
        <v>8687</v>
      </c>
      <c r="LUO1" s="46" t="s">
        <v>8688</v>
      </c>
      <c r="LUP1" s="46" t="s">
        <v>8689</v>
      </c>
      <c r="LUQ1" s="46" t="s">
        <v>8690</v>
      </c>
      <c r="LUR1" s="46" t="s">
        <v>8691</v>
      </c>
      <c r="LUS1" s="46" t="s">
        <v>8692</v>
      </c>
      <c r="LUT1" s="46" t="s">
        <v>8693</v>
      </c>
      <c r="LUU1" s="46" t="s">
        <v>8694</v>
      </c>
      <c r="LUV1" s="46" t="s">
        <v>8695</v>
      </c>
      <c r="LUW1" s="46" t="s">
        <v>8696</v>
      </c>
      <c r="LUX1" s="46" t="s">
        <v>8697</v>
      </c>
      <c r="LUY1" s="46" t="s">
        <v>8698</v>
      </c>
      <c r="LUZ1" s="46" t="s">
        <v>8699</v>
      </c>
      <c r="LVA1" s="46" t="s">
        <v>8700</v>
      </c>
      <c r="LVB1" s="46" t="s">
        <v>8701</v>
      </c>
      <c r="LVC1" s="46" t="s">
        <v>8702</v>
      </c>
      <c r="LVD1" s="46" t="s">
        <v>8703</v>
      </c>
      <c r="LVE1" s="46" t="s">
        <v>8704</v>
      </c>
      <c r="LVF1" s="46" t="s">
        <v>8705</v>
      </c>
      <c r="LVG1" s="46" t="s">
        <v>8706</v>
      </c>
      <c r="LVH1" s="46" t="s">
        <v>8707</v>
      </c>
      <c r="LVI1" s="46" t="s">
        <v>8708</v>
      </c>
      <c r="LVJ1" s="46" t="s">
        <v>8709</v>
      </c>
      <c r="LVK1" s="46" t="s">
        <v>8710</v>
      </c>
      <c r="LVL1" s="46" t="s">
        <v>8711</v>
      </c>
      <c r="LVM1" s="46" t="s">
        <v>8712</v>
      </c>
      <c r="LVN1" s="46" t="s">
        <v>8713</v>
      </c>
      <c r="LVO1" s="46" t="s">
        <v>8714</v>
      </c>
      <c r="LVP1" s="46" t="s">
        <v>8715</v>
      </c>
      <c r="LVQ1" s="46" t="s">
        <v>8716</v>
      </c>
      <c r="LVR1" s="46" t="s">
        <v>8717</v>
      </c>
      <c r="LVS1" s="46" t="s">
        <v>8718</v>
      </c>
      <c r="LVT1" s="46" t="s">
        <v>8719</v>
      </c>
      <c r="LVU1" s="46" t="s">
        <v>8720</v>
      </c>
      <c r="LVV1" s="46" t="s">
        <v>8721</v>
      </c>
      <c r="LVW1" s="46" t="s">
        <v>8722</v>
      </c>
      <c r="LVX1" s="46" t="s">
        <v>8723</v>
      </c>
      <c r="LVY1" s="46" t="s">
        <v>8724</v>
      </c>
      <c r="LVZ1" s="46" t="s">
        <v>8725</v>
      </c>
      <c r="LWA1" s="46" t="s">
        <v>8726</v>
      </c>
      <c r="LWB1" s="46" t="s">
        <v>8727</v>
      </c>
      <c r="LWC1" s="46" t="s">
        <v>8728</v>
      </c>
      <c r="LWD1" s="46" t="s">
        <v>8729</v>
      </c>
      <c r="LWE1" s="46" t="s">
        <v>8730</v>
      </c>
      <c r="LWF1" s="46" t="s">
        <v>8731</v>
      </c>
      <c r="LWG1" s="46" t="s">
        <v>8732</v>
      </c>
      <c r="LWH1" s="46" t="s">
        <v>8733</v>
      </c>
      <c r="LWI1" s="46" t="s">
        <v>8734</v>
      </c>
      <c r="LWJ1" s="46" t="s">
        <v>8735</v>
      </c>
      <c r="LWK1" s="46" t="s">
        <v>8736</v>
      </c>
      <c r="LWL1" s="46" t="s">
        <v>8737</v>
      </c>
      <c r="LWM1" s="46" t="s">
        <v>8738</v>
      </c>
      <c r="LWN1" s="46" t="s">
        <v>8739</v>
      </c>
      <c r="LWO1" s="46" t="s">
        <v>8740</v>
      </c>
      <c r="LWP1" s="46" t="s">
        <v>8741</v>
      </c>
      <c r="LWQ1" s="46" t="s">
        <v>8742</v>
      </c>
      <c r="LWR1" s="46" t="s">
        <v>8743</v>
      </c>
      <c r="LWS1" s="46" t="s">
        <v>8744</v>
      </c>
      <c r="LWT1" s="46" t="s">
        <v>8745</v>
      </c>
      <c r="LWU1" s="46" t="s">
        <v>8746</v>
      </c>
      <c r="LWV1" s="46" t="s">
        <v>8747</v>
      </c>
      <c r="LWW1" s="46" t="s">
        <v>8748</v>
      </c>
      <c r="LWX1" s="46" t="s">
        <v>8749</v>
      </c>
      <c r="LWY1" s="46" t="s">
        <v>8750</v>
      </c>
      <c r="LWZ1" s="46" t="s">
        <v>8751</v>
      </c>
      <c r="LXA1" s="46" t="s">
        <v>8752</v>
      </c>
      <c r="LXB1" s="46" t="s">
        <v>8753</v>
      </c>
      <c r="LXC1" s="46" t="s">
        <v>8754</v>
      </c>
      <c r="LXD1" s="46" t="s">
        <v>8755</v>
      </c>
      <c r="LXE1" s="46" t="s">
        <v>8756</v>
      </c>
      <c r="LXF1" s="46" t="s">
        <v>8757</v>
      </c>
      <c r="LXG1" s="46" t="s">
        <v>8758</v>
      </c>
      <c r="LXH1" s="46" t="s">
        <v>8759</v>
      </c>
      <c r="LXI1" s="46" t="s">
        <v>8760</v>
      </c>
      <c r="LXJ1" s="46" t="s">
        <v>8761</v>
      </c>
      <c r="LXK1" s="46" t="s">
        <v>8762</v>
      </c>
      <c r="LXL1" s="46" t="s">
        <v>8763</v>
      </c>
      <c r="LXM1" s="46" t="s">
        <v>8764</v>
      </c>
      <c r="LXN1" s="46" t="s">
        <v>8765</v>
      </c>
      <c r="LXO1" s="46" t="s">
        <v>8766</v>
      </c>
      <c r="LXP1" s="46" t="s">
        <v>8767</v>
      </c>
      <c r="LXQ1" s="46" t="s">
        <v>8768</v>
      </c>
      <c r="LXR1" s="46" t="s">
        <v>8769</v>
      </c>
      <c r="LXS1" s="46" t="s">
        <v>8770</v>
      </c>
      <c r="LXT1" s="46" t="s">
        <v>8771</v>
      </c>
      <c r="LXU1" s="46" t="s">
        <v>8772</v>
      </c>
      <c r="LXV1" s="46" t="s">
        <v>8773</v>
      </c>
      <c r="LXW1" s="46" t="s">
        <v>8774</v>
      </c>
      <c r="LXX1" s="46" t="s">
        <v>8775</v>
      </c>
      <c r="LXY1" s="46" t="s">
        <v>8776</v>
      </c>
      <c r="LXZ1" s="46" t="s">
        <v>8777</v>
      </c>
      <c r="LYA1" s="46" t="s">
        <v>8778</v>
      </c>
      <c r="LYB1" s="46" t="s">
        <v>8779</v>
      </c>
      <c r="LYC1" s="46" t="s">
        <v>8780</v>
      </c>
      <c r="LYD1" s="46" t="s">
        <v>8781</v>
      </c>
      <c r="LYE1" s="46" t="s">
        <v>8782</v>
      </c>
      <c r="LYF1" s="46" t="s">
        <v>8783</v>
      </c>
      <c r="LYG1" s="46" t="s">
        <v>8784</v>
      </c>
      <c r="LYH1" s="46" t="s">
        <v>8785</v>
      </c>
      <c r="LYI1" s="46" t="s">
        <v>8786</v>
      </c>
      <c r="LYJ1" s="46" t="s">
        <v>8787</v>
      </c>
      <c r="LYK1" s="46" t="s">
        <v>8788</v>
      </c>
      <c r="LYL1" s="46" t="s">
        <v>8789</v>
      </c>
      <c r="LYM1" s="46" t="s">
        <v>8790</v>
      </c>
      <c r="LYN1" s="46" t="s">
        <v>8791</v>
      </c>
      <c r="LYO1" s="46" t="s">
        <v>8792</v>
      </c>
      <c r="LYP1" s="46" t="s">
        <v>8793</v>
      </c>
      <c r="LYQ1" s="46" t="s">
        <v>8794</v>
      </c>
      <c r="LYR1" s="46" t="s">
        <v>8795</v>
      </c>
      <c r="LYS1" s="46" t="s">
        <v>8796</v>
      </c>
      <c r="LYT1" s="46" t="s">
        <v>8797</v>
      </c>
      <c r="LYU1" s="46" t="s">
        <v>8798</v>
      </c>
      <c r="LYV1" s="46" t="s">
        <v>8799</v>
      </c>
      <c r="LYW1" s="46" t="s">
        <v>8800</v>
      </c>
      <c r="LYX1" s="46" t="s">
        <v>8801</v>
      </c>
      <c r="LYY1" s="46" t="s">
        <v>8802</v>
      </c>
      <c r="LYZ1" s="46" t="s">
        <v>8803</v>
      </c>
      <c r="LZA1" s="46" t="s">
        <v>8804</v>
      </c>
      <c r="LZB1" s="46" t="s">
        <v>8805</v>
      </c>
      <c r="LZC1" s="46" t="s">
        <v>8806</v>
      </c>
      <c r="LZD1" s="46" t="s">
        <v>8807</v>
      </c>
      <c r="LZE1" s="46" t="s">
        <v>8808</v>
      </c>
      <c r="LZF1" s="46" t="s">
        <v>8809</v>
      </c>
      <c r="LZG1" s="46" t="s">
        <v>8810</v>
      </c>
      <c r="LZH1" s="46" t="s">
        <v>8811</v>
      </c>
      <c r="LZI1" s="46" t="s">
        <v>8812</v>
      </c>
      <c r="LZJ1" s="46" t="s">
        <v>8813</v>
      </c>
      <c r="LZK1" s="46" t="s">
        <v>8814</v>
      </c>
      <c r="LZL1" s="46" t="s">
        <v>8815</v>
      </c>
      <c r="LZM1" s="46" t="s">
        <v>8816</v>
      </c>
      <c r="LZN1" s="46" t="s">
        <v>8817</v>
      </c>
      <c r="LZO1" s="46" t="s">
        <v>8818</v>
      </c>
      <c r="LZP1" s="46" t="s">
        <v>8819</v>
      </c>
      <c r="LZQ1" s="46" t="s">
        <v>8820</v>
      </c>
      <c r="LZR1" s="46" t="s">
        <v>8821</v>
      </c>
      <c r="LZS1" s="46" t="s">
        <v>8822</v>
      </c>
      <c r="LZT1" s="46" t="s">
        <v>8823</v>
      </c>
      <c r="LZU1" s="46" t="s">
        <v>8824</v>
      </c>
      <c r="LZV1" s="46" t="s">
        <v>8825</v>
      </c>
      <c r="LZW1" s="46" t="s">
        <v>8826</v>
      </c>
      <c r="LZX1" s="46" t="s">
        <v>8827</v>
      </c>
      <c r="LZY1" s="46" t="s">
        <v>8828</v>
      </c>
      <c r="LZZ1" s="46" t="s">
        <v>8829</v>
      </c>
      <c r="MAA1" s="46" t="s">
        <v>8830</v>
      </c>
      <c r="MAB1" s="46" t="s">
        <v>8831</v>
      </c>
      <c r="MAC1" s="46" t="s">
        <v>8832</v>
      </c>
      <c r="MAD1" s="46" t="s">
        <v>8833</v>
      </c>
      <c r="MAE1" s="46" t="s">
        <v>8834</v>
      </c>
      <c r="MAF1" s="46" t="s">
        <v>8835</v>
      </c>
      <c r="MAG1" s="46" t="s">
        <v>8836</v>
      </c>
      <c r="MAH1" s="46" t="s">
        <v>8837</v>
      </c>
      <c r="MAI1" s="46" t="s">
        <v>8838</v>
      </c>
      <c r="MAJ1" s="46" t="s">
        <v>8839</v>
      </c>
      <c r="MAK1" s="46" t="s">
        <v>8840</v>
      </c>
      <c r="MAL1" s="46" t="s">
        <v>8841</v>
      </c>
      <c r="MAM1" s="46" t="s">
        <v>8842</v>
      </c>
      <c r="MAN1" s="46" t="s">
        <v>8843</v>
      </c>
      <c r="MAO1" s="46" t="s">
        <v>8844</v>
      </c>
      <c r="MAP1" s="46" t="s">
        <v>8845</v>
      </c>
      <c r="MAQ1" s="46" t="s">
        <v>8846</v>
      </c>
      <c r="MAR1" s="46" t="s">
        <v>8847</v>
      </c>
      <c r="MAS1" s="46" t="s">
        <v>8848</v>
      </c>
      <c r="MAT1" s="46" t="s">
        <v>8849</v>
      </c>
      <c r="MAU1" s="46" t="s">
        <v>8850</v>
      </c>
      <c r="MAV1" s="46" t="s">
        <v>8851</v>
      </c>
      <c r="MAW1" s="46" t="s">
        <v>8852</v>
      </c>
      <c r="MAX1" s="46" t="s">
        <v>8853</v>
      </c>
      <c r="MAY1" s="46" t="s">
        <v>8854</v>
      </c>
      <c r="MAZ1" s="46" t="s">
        <v>8855</v>
      </c>
      <c r="MBA1" s="46" t="s">
        <v>8856</v>
      </c>
      <c r="MBB1" s="46" t="s">
        <v>8857</v>
      </c>
      <c r="MBC1" s="46" t="s">
        <v>8858</v>
      </c>
      <c r="MBD1" s="46" t="s">
        <v>8859</v>
      </c>
      <c r="MBE1" s="46" t="s">
        <v>8860</v>
      </c>
      <c r="MBF1" s="46" t="s">
        <v>8861</v>
      </c>
      <c r="MBG1" s="46" t="s">
        <v>8862</v>
      </c>
      <c r="MBH1" s="46" t="s">
        <v>8863</v>
      </c>
      <c r="MBI1" s="46" t="s">
        <v>8864</v>
      </c>
      <c r="MBJ1" s="46" t="s">
        <v>8865</v>
      </c>
      <c r="MBK1" s="46" t="s">
        <v>8866</v>
      </c>
      <c r="MBL1" s="46" t="s">
        <v>8867</v>
      </c>
      <c r="MBM1" s="46" t="s">
        <v>8868</v>
      </c>
      <c r="MBN1" s="46" t="s">
        <v>8869</v>
      </c>
      <c r="MBO1" s="46" t="s">
        <v>8870</v>
      </c>
      <c r="MBP1" s="46" t="s">
        <v>8871</v>
      </c>
      <c r="MBQ1" s="46" t="s">
        <v>8872</v>
      </c>
      <c r="MBR1" s="46" t="s">
        <v>8873</v>
      </c>
      <c r="MBS1" s="46" t="s">
        <v>8874</v>
      </c>
      <c r="MBT1" s="46" t="s">
        <v>8875</v>
      </c>
      <c r="MBU1" s="46" t="s">
        <v>8876</v>
      </c>
      <c r="MBV1" s="46" t="s">
        <v>8877</v>
      </c>
      <c r="MBW1" s="46" t="s">
        <v>8878</v>
      </c>
      <c r="MBX1" s="46" t="s">
        <v>8879</v>
      </c>
      <c r="MBY1" s="46" t="s">
        <v>8880</v>
      </c>
      <c r="MBZ1" s="46" t="s">
        <v>8881</v>
      </c>
      <c r="MCA1" s="46" t="s">
        <v>8882</v>
      </c>
      <c r="MCB1" s="46" t="s">
        <v>8883</v>
      </c>
      <c r="MCC1" s="46" t="s">
        <v>8884</v>
      </c>
      <c r="MCD1" s="46" t="s">
        <v>8885</v>
      </c>
      <c r="MCE1" s="46" t="s">
        <v>8886</v>
      </c>
      <c r="MCF1" s="46" t="s">
        <v>8887</v>
      </c>
      <c r="MCG1" s="46" t="s">
        <v>8888</v>
      </c>
      <c r="MCH1" s="46" t="s">
        <v>8889</v>
      </c>
      <c r="MCI1" s="46" t="s">
        <v>8890</v>
      </c>
      <c r="MCJ1" s="46" t="s">
        <v>8891</v>
      </c>
      <c r="MCK1" s="46" t="s">
        <v>8892</v>
      </c>
      <c r="MCL1" s="46" t="s">
        <v>8893</v>
      </c>
      <c r="MCM1" s="46" t="s">
        <v>8894</v>
      </c>
      <c r="MCN1" s="46" t="s">
        <v>8895</v>
      </c>
      <c r="MCO1" s="46" t="s">
        <v>8896</v>
      </c>
      <c r="MCP1" s="46" t="s">
        <v>8897</v>
      </c>
      <c r="MCQ1" s="46" t="s">
        <v>8898</v>
      </c>
      <c r="MCR1" s="46" t="s">
        <v>8899</v>
      </c>
      <c r="MCS1" s="46" t="s">
        <v>8900</v>
      </c>
      <c r="MCT1" s="46" t="s">
        <v>8901</v>
      </c>
      <c r="MCU1" s="46" t="s">
        <v>8902</v>
      </c>
      <c r="MCV1" s="46" t="s">
        <v>8903</v>
      </c>
      <c r="MCW1" s="46" t="s">
        <v>8904</v>
      </c>
      <c r="MCX1" s="46" t="s">
        <v>8905</v>
      </c>
      <c r="MCY1" s="46" t="s">
        <v>8906</v>
      </c>
      <c r="MCZ1" s="46" t="s">
        <v>8907</v>
      </c>
      <c r="MDA1" s="46" t="s">
        <v>8908</v>
      </c>
      <c r="MDB1" s="46" t="s">
        <v>8909</v>
      </c>
      <c r="MDC1" s="46" t="s">
        <v>8910</v>
      </c>
      <c r="MDD1" s="46" t="s">
        <v>8911</v>
      </c>
      <c r="MDE1" s="46" t="s">
        <v>8912</v>
      </c>
      <c r="MDF1" s="46" t="s">
        <v>8913</v>
      </c>
      <c r="MDG1" s="46" t="s">
        <v>8914</v>
      </c>
      <c r="MDH1" s="46" t="s">
        <v>8915</v>
      </c>
      <c r="MDI1" s="46" t="s">
        <v>8916</v>
      </c>
      <c r="MDJ1" s="46" t="s">
        <v>8917</v>
      </c>
      <c r="MDK1" s="46" t="s">
        <v>8918</v>
      </c>
      <c r="MDL1" s="46" t="s">
        <v>8919</v>
      </c>
      <c r="MDM1" s="46" t="s">
        <v>8920</v>
      </c>
      <c r="MDN1" s="46" t="s">
        <v>8921</v>
      </c>
      <c r="MDO1" s="46" t="s">
        <v>8922</v>
      </c>
      <c r="MDP1" s="46" t="s">
        <v>8923</v>
      </c>
      <c r="MDQ1" s="46" t="s">
        <v>8924</v>
      </c>
      <c r="MDR1" s="46" t="s">
        <v>8925</v>
      </c>
      <c r="MDS1" s="46" t="s">
        <v>8926</v>
      </c>
      <c r="MDT1" s="46" t="s">
        <v>8927</v>
      </c>
      <c r="MDU1" s="46" t="s">
        <v>8928</v>
      </c>
      <c r="MDV1" s="46" t="s">
        <v>8929</v>
      </c>
      <c r="MDW1" s="46" t="s">
        <v>8930</v>
      </c>
      <c r="MDX1" s="46" t="s">
        <v>8931</v>
      </c>
      <c r="MDY1" s="46" t="s">
        <v>8932</v>
      </c>
      <c r="MDZ1" s="46" t="s">
        <v>8933</v>
      </c>
      <c r="MEA1" s="46" t="s">
        <v>8934</v>
      </c>
      <c r="MEB1" s="46" t="s">
        <v>8935</v>
      </c>
      <c r="MEC1" s="46" t="s">
        <v>8936</v>
      </c>
      <c r="MED1" s="46" t="s">
        <v>8937</v>
      </c>
      <c r="MEE1" s="46" t="s">
        <v>8938</v>
      </c>
      <c r="MEF1" s="46" t="s">
        <v>8939</v>
      </c>
      <c r="MEG1" s="46" t="s">
        <v>8940</v>
      </c>
      <c r="MEH1" s="46" t="s">
        <v>8941</v>
      </c>
      <c r="MEI1" s="46" t="s">
        <v>8942</v>
      </c>
      <c r="MEJ1" s="46" t="s">
        <v>8943</v>
      </c>
      <c r="MEK1" s="46" t="s">
        <v>8944</v>
      </c>
      <c r="MEL1" s="46" t="s">
        <v>8945</v>
      </c>
      <c r="MEM1" s="46" t="s">
        <v>8946</v>
      </c>
      <c r="MEN1" s="46" t="s">
        <v>8947</v>
      </c>
      <c r="MEO1" s="46" t="s">
        <v>8948</v>
      </c>
      <c r="MEP1" s="46" t="s">
        <v>8949</v>
      </c>
      <c r="MEQ1" s="46" t="s">
        <v>8950</v>
      </c>
      <c r="MER1" s="46" t="s">
        <v>8951</v>
      </c>
      <c r="MES1" s="46" t="s">
        <v>8952</v>
      </c>
      <c r="MET1" s="46" t="s">
        <v>8953</v>
      </c>
      <c r="MEU1" s="46" t="s">
        <v>8954</v>
      </c>
      <c r="MEV1" s="46" t="s">
        <v>8955</v>
      </c>
      <c r="MEW1" s="46" t="s">
        <v>8956</v>
      </c>
      <c r="MEX1" s="46" t="s">
        <v>8957</v>
      </c>
      <c r="MEY1" s="46" t="s">
        <v>8958</v>
      </c>
      <c r="MEZ1" s="46" t="s">
        <v>8959</v>
      </c>
      <c r="MFA1" s="46" t="s">
        <v>8960</v>
      </c>
      <c r="MFB1" s="46" t="s">
        <v>8961</v>
      </c>
      <c r="MFC1" s="46" t="s">
        <v>8962</v>
      </c>
      <c r="MFD1" s="46" t="s">
        <v>8963</v>
      </c>
      <c r="MFE1" s="46" t="s">
        <v>8964</v>
      </c>
      <c r="MFF1" s="46" t="s">
        <v>8965</v>
      </c>
      <c r="MFG1" s="46" t="s">
        <v>8966</v>
      </c>
      <c r="MFH1" s="46" t="s">
        <v>8967</v>
      </c>
      <c r="MFI1" s="46" t="s">
        <v>8968</v>
      </c>
      <c r="MFJ1" s="46" t="s">
        <v>8969</v>
      </c>
      <c r="MFK1" s="46" t="s">
        <v>8970</v>
      </c>
      <c r="MFL1" s="46" t="s">
        <v>8971</v>
      </c>
      <c r="MFM1" s="46" t="s">
        <v>8972</v>
      </c>
      <c r="MFN1" s="46" t="s">
        <v>8973</v>
      </c>
      <c r="MFO1" s="46" t="s">
        <v>8974</v>
      </c>
      <c r="MFP1" s="46" t="s">
        <v>8975</v>
      </c>
      <c r="MFQ1" s="46" t="s">
        <v>8976</v>
      </c>
      <c r="MFR1" s="46" t="s">
        <v>8977</v>
      </c>
      <c r="MFS1" s="46" t="s">
        <v>8978</v>
      </c>
      <c r="MFT1" s="46" t="s">
        <v>8979</v>
      </c>
      <c r="MFU1" s="46" t="s">
        <v>8980</v>
      </c>
      <c r="MFV1" s="46" t="s">
        <v>8981</v>
      </c>
      <c r="MFW1" s="46" t="s">
        <v>8982</v>
      </c>
      <c r="MFX1" s="46" t="s">
        <v>8983</v>
      </c>
      <c r="MFY1" s="46" t="s">
        <v>8984</v>
      </c>
      <c r="MFZ1" s="46" t="s">
        <v>8985</v>
      </c>
      <c r="MGA1" s="46" t="s">
        <v>8986</v>
      </c>
      <c r="MGB1" s="46" t="s">
        <v>8987</v>
      </c>
      <c r="MGC1" s="46" t="s">
        <v>8988</v>
      </c>
      <c r="MGD1" s="46" t="s">
        <v>8989</v>
      </c>
      <c r="MGE1" s="46" t="s">
        <v>8990</v>
      </c>
      <c r="MGF1" s="46" t="s">
        <v>8991</v>
      </c>
      <c r="MGG1" s="46" t="s">
        <v>8992</v>
      </c>
      <c r="MGH1" s="46" t="s">
        <v>8993</v>
      </c>
      <c r="MGI1" s="46" t="s">
        <v>8994</v>
      </c>
      <c r="MGJ1" s="46" t="s">
        <v>8995</v>
      </c>
      <c r="MGK1" s="46" t="s">
        <v>8996</v>
      </c>
      <c r="MGL1" s="46" t="s">
        <v>8997</v>
      </c>
      <c r="MGM1" s="46" t="s">
        <v>8998</v>
      </c>
      <c r="MGN1" s="46" t="s">
        <v>8999</v>
      </c>
      <c r="MGO1" s="46" t="s">
        <v>9000</v>
      </c>
      <c r="MGP1" s="46" t="s">
        <v>9001</v>
      </c>
      <c r="MGQ1" s="46" t="s">
        <v>9002</v>
      </c>
      <c r="MGR1" s="46" t="s">
        <v>9003</v>
      </c>
      <c r="MGS1" s="46" t="s">
        <v>9004</v>
      </c>
      <c r="MGT1" s="46" t="s">
        <v>9005</v>
      </c>
      <c r="MGU1" s="46" t="s">
        <v>9006</v>
      </c>
      <c r="MGV1" s="46" t="s">
        <v>9007</v>
      </c>
      <c r="MGW1" s="46" t="s">
        <v>9008</v>
      </c>
      <c r="MGX1" s="46" t="s">
        <v>9009</v>
      </c>
      <c r="MGY1" s="46" t="s">
        <v>9010</v>
      </c>
      <c r="MGZ1" s="46" t="s">
        <v>9011</v>
      </c>
      <c r="MHA1" s="46" t="s">
        <v>9012</v>
      </c>
      <c r="MHB1" s="46" t="s">
        <v>9013</v>
      </c>
      <c r="MHC1" s="46" t="s">
        <v>9014</v>
      </c>
      <c r="MHD1" s="46" t="s">
        <v>9015</v>
      </c>
      <c r="MHE1" s="46" t="s">
        <v>9016</v>
      </c>
      <c r="MHF1" s="46" t="s">
        <v>9017</v>
      </c>
      <c r="MHG1" s="46" t="s">
        <v>9018</v>
      </c>
      <c r="MHH1" s="46" t="s">
        <v>9019</v>
      </c>
      <c r="MHI1" s="46" t="s">
        <v>9020</v>
      </c>
      <c r="MHJ1" s="46" t="s">
        <v>9021</v>
      </c>
      <c r="MHK1" s="46" t="s">
        <v>9022</v>
      </c>
      <c r="MHL1" s="46" t="s">
        <v>9023</v>
      </c>
      <c r="MHM1" s="46" t="s">
        <v>9024</v>
      </c>
      <c r="MHN1" s="46" t="s">
        <v>9025</v>
      </c>
      <c r="MHO1" s="46" t="s">
        <v>9026</v>
      </c>
      <c r="MHP1" s="46" t="s">
        <v>9027</v>
      </c>
      <c r="MHQ1" s="46" t="s">
        <v>9028</v>
      </c>
      <c r="MHR1" s="46" t="s">
        <v>9029</v>
      </c>
      <c r="MHS1" s="46" t="s">
        <v>9030</v>
      </c>
      <c r="MHT1" s="46" t="s">
        <v>9031</v>
      </c>
      <c r="MHU1" s="46" t="s">
        <v>9032</v>
      </c>
      <c r="MHV1" s="46" t="s">
        <v>9033</v>
      </c>
      <c r="MHW1" s="46" t="s">
        <v>9034</v>
      </c>
      <c r="MHX1" s="46" t="s">
        <v>9035</v>
      </c>
      <c r="MHY1" s="46" t="s">
        <v>9036</v>
      </c>
      <c r="MHZ1" s="46" t="s">
        <v>9037</v>
      </c>
      <c r="MIA1" s="46" t="s">
        <v>9038</v>
      </c>
      <c r="MIB1" s="46" t="s">
        <v>9039</v>
      </c>
      <c r="MIC1" s="46" t="s">
        <v>9040</v>
      </c>
      <c r="MID1" s="46" t="s">
        <v>9041</v>
      </c>
      <c r="MIE1" s="46" t="s">
        <v>9042</v>
      </c>
      <c r="MIF1" s="46" t="s">
        <v>9043</v>
      </c>
      <c r="MIG1" s="46" t="s">
        <v>9044</v>
      </c>
      <c r="MIH1" s="46" t="s">
        <v>9045</v>
      </c>
      <c r="MII1" s="46" t="s">
        <v>9046</v>
      </c>
      <c r="MIJ1" s="46" t="s">
        <v>9047</v>
      </c>
      <c r="MIK1" s="46" t="s">
        <v>9048</v>
      </c>
      <c r="MIL1" s="46" t="s">
        <v>9049</v>
      </c>
      <c r="MIM1" s="46" t="s">
        <v>9050</v>
      </c>
      <c r="MIN1" s="46" t="s">
        <v>9051</v>
      </c>
      <c r="MIO1" s="46" t="s">
        <v>9052</v>
      </c>
      <c r="MIP1" s="46" t="s">
        <v>9053</v>
      </c>
      <c r="MIQ1" s="46" t="s">
        <v>9054</v>
      </c>
      <c r="MIR1" s="46" t="s">
        <v>9055</v>
      </c>
      <c r="MIS1" s="46" t="s">
        <v>9056</v>
      </c>
      <c r="MIT1" s="46" t="s">
        <v>9057</v>
      </c>
      <c r="MIU1" s="46" t="s">
        <v>9058</v>
      </c>
      <c r="MIV1" s="46" t="s">
        <v>9059</v>
      </c>
      <c r="MIW1" s="46" t="s">
        <v>9060</v>
      </c>
      <c r="MIX1" s="46" t="s">
        <v>9061</v>
      </c>
      <c r="MIY1" s="46" t="s">
        <v>9062</v>
      </c>
      <c r="MIZ1" s="46" t="s">
        <v>9063</v>
      </c>
      <c r="MJA1" s="46" t="s">
        <v>9064</v>
      </c>
      <c r="MJB1" s="46" t="s">
        <v>9065</v>
      </c>
      <c r="MJC1" s="46" t="s">
        <v>9066</v>
      </c>
      <c r="MJD1" s="46" t="s">
        <v>9067</v>
      </c>
      <c r="MJE1" s="46" t="s">
        <v>9068</v>
      </c>
      <c r="MJF1" s="46" t="s">
        <v>9069</v>
      </c>
      <c r="MJG1" s="46" t="s">
        <v>9070</v>
      </c>
      <c r="MJH1" s="46" t="s">
        <v>9071</v>
      </c>
      <c r="MJI1" s="46" t="s">
        <v>9072</v>
      </c>
      <c r="MJJ1" s="46" t="s">
        <v>9073</v>
      </c>
      <c r="MJK1" s="46" t="s">
        <v>9074</v>
      </c>
      <c r="MJL1" s="46" t="s">
        <v>9075</v>
      </c>
      <c r="MJM1" s="46" t="s">
        <v>9076</v>
      </c>
      <c r="MJN1" s="46" t="s">
        <v>9077</v>
      </c>
      <c r="MJO1" s="46" t="s">
        <v>9078</v>
      </c>
      <c r="MJP1" s="46" t="s">
        <v>9079</v>
      </c>
      <c r="MJQ1" s="46" t="s">
        <v>9080</v>
      </c>
      <c r="MJR1" s="46" t="s">
        <v>9081</v>
      </c>
      <c r="MJS1" s="46" t="s">
        <v>9082</v>
      </c>
      <c r="MJT1" s="46" t="s">
        <v>9083</v>
      </c>
      <c r="MJU1" s="46" t="s">
        <v>9084</v>
      </c>
      <c r="MJV1" s="46" t="s">
        <v>9085</v>
      </c>
      <c r="MJW1" s="46" t="s">
        <v>9086</v>
      </c>
      <c r="MJX1" s="46" t="s">
        <v>9087</v>
      </c>
      <c r="MJY1" s="46" t="s">
        <v>9088</v>
      </c>
      <c r="MJZ1" s="46" t="s">
        <v>9089</v>
      </c>
      <c r="MKA1" s="46" t="s">
        <v>9090</v>
      </c>
      <c r="MKB1" s="46" t="s">
        <v>9091</v>
      </c>
      <c r="MKC1" s="46" t="s">
        <v>9092</v>
      </c>
      <c r="MKD1" s="46" t="s">
        <v>9093</v>
      </c>
      <c r="MKE1" s="46" t="s">
        <v>9094</v>
      </c>
      <c r="MKF1" s="46" t="s">
        <v>9095</v>
      </c>
      <c r="MKG1" s="46" t="s">
        <v>9096</v>
      </c>
      <c r="MKH1" s="46" t="s">
        <v>9097</v>
      </c>
      <c r="MKI1" s="46" t="s">
        <v>9098</v>
      </c>
      <c r="MKJ1" s="46" t="s">
        <v>9099</v>
      </c>
      <c r="MKK1" s="46" t="s">
        <v>9100</v>
      </c>
      <c r="MKL1" s="46" t="s">
        <v>9101</v>
      </c>
      <c r="MKM1" s="46" t="s">
        <v>9102</v>
      </c>
      <c r="MKN1" s="46" t="s">
        <v>9103</v>
      </c>
      <c r="MKO1" s="46" t="s">
        <v>9104</v>
      </c>
      <c r="MKP1" s="46" t="s">
        <v>9105</v>
      </c>
      <c r="MKQ1" s="46" t="s">
        <v>9106</v>
      </c>
      <c r="MKR1" s="46" t="s">
        <v>9107</v>
      </c>
      <c r="MKS1" s="46" t="s">
        <v>9108</v>
      </c>
      <c r="MKT1" s="46" t="s">
        <v>9109</v>
      </c>
      <c r="MKU1" s="46" t="s">
        <v>9110</v>
      </c>
      <c r="MKV1" s="46" t="s">
        <v>9111</v>
      </c>
      <c r="MKW1" s="46" t="s">
        <v>9112</v>
      </c>
      <c r="MKX1" s="46" t="s">
        <v>9113</v>
      </c>
      <c r="MKY1" s="46" t="s">
        <v>9114</v>
      </c>
      <c r="MKZ1" s="46" t="s">
        <v>9115</v>
      </c>
      <c r="MLA1" s="46" t="s">
        <v>9116</v>
      </c>
      <c r="MLB1" s="46" t="s">
        <v>9117</v>
      </c>
      <c r="MLC1" s="46" t="s">
        <v>9118</v>
      </c>
      <c r="MLD1" s="46" t="s">
        <v>9119</v>
      </c>
      <c r="MLE1" s="46" t="s">
        <v>9120</v>
      </c>
      <c r="MLF1" s="46" t="s">
        <v>9121</v>
      </c>
      <c r="MLG1" s="46" t="s">
        <v>9122</v>
      </c>
      <c r="MLH1" s="46" t="s">
        <v>9123</v>
      </c>
      <c r="MLI1" s="46" t="s">
        <v>9124</v>
      </c>
      <c r="MLJ1" s="46" t="s">
        <v>9125</v>
      </c>
      <c r="MLK1" s="46" t="s">
        <v>9126</v>
      </c>
      <c r="MLL1" s="46" t="s">
        <v>9127</v>
      </c>
      <c r="MLM1" s="46" t="s">
        <v>9128</v>
      </c>
      <c r="MLN1" s="46" t="s">
        <v>9129</v>
      </c>
      <c r="MLO1" s="46" t="s">
        <v>9130</v>
      </c>
      <c r="MLP1" s="46" t="s">
        <v>9131</v>
      </c>
      <c r="MLQ1" s="46" t="s">
        <v>9132</v>
      </c>
      <c r="MLR1" s="46" t="s">
        <v>9133</v>
      </c>
      <c r="MLS1" s="46" t="s">
        <v>9134</v>
      </c>
      <c r="MLT1" s="46" t="s">
        <v>9135</v>
      </c>
      <c r="MLU1" s="46" t="s">
        <v>9136</v>
      </c>
      <c r="MLV1" s="46" t="s">
        <v>9137</v>
      </c>
      <c r="MLW1" s="46" t="s">
        <v>9138</v>
      </c>
      <c r="MLX1" s="46" t="s">
        <v>9139</v>
      </c>
      <c r="MLY1" s="46" t="s">
        <v>9140</v>
      </c>
      <c r="MLZ1" s="46" t="s">
        <v>9141</v>
      </c>
      <c r="MMA1" s="46" t="s">
        <v>9142</v>
      </c>
      <c r="MMB1" s="46" t="s">
        <v>9143</v>
      </c>
      <c r="MMC1" s="46" t="s">
        <v>9144</v>
      </c>
      <c r="MMD1" s="46" t="s">
        <v>9145</v>
      </c>
      <c r="MME1" s="46" t="s">
        <v>9146</v>
      </c>
      <c r="MMF1" s="46" t="s">
        <v>9147</v>
      </c>
      <c r="MMG1" s="46" t="s">
        <v>9148</v>
      </c>
      <c r="MMH1" s="46" t="s">
        <v>9149</v>
      </c>
      <c r="MMI1" s="46" t="s">
        <v>9150</v>
      </c>
      <c r="MMJ1" s="46" t="s">
        <v>9151</v>
      </c>
      <c r="MMK1" s="46" t="s">
        <v>9152</v>
      </c>
      <c r="MML1" s="46" t="s">
        <v>9153</v>
      </c>
      <c r="MMM1" s="46" t="s">
        <v>9154</v>
      </c>
      <c r="MMN1" s="46" t="s">
        <v>9155</v>
      </c>
      <c r="MMO1" s="46" t="s">
        <v>9156</v>
      </c>
      <c r="MMP1" s="46" t="s">
        <v>9157</v>
      </c>
      <c r="MMQ1" s="46" t="s">
        <v>9158</v>
      </c>
      <c r="MMR1" s="46" t="s">
        <v>9159</v>
      </c>
      <c r="MMS1" s="46" t="s">
        <v>9160</v>
      </c>
      <c r="MMT1" s="46" t="s">
        <v>9161</v>
      </c>
      <c r="MMU1" s="46" t="s">
        <v>9162</v>
      </c>
      <c r="MMV1" s="46" t="s">
        <v>9163</v>
      </c>
      <c r="MMW1" s="46" t="s">
        <v>9164</v>
      </c>
      <c r="MMX1" s="46" t="s">
        <v>9165</v>
      </c>
      <c r="MMY1" s="46" t="s">
        <v>9166</v>
      </c>
      <c r="MMZ1" s="46" t="s">
        <v>9167</v>
      </c>
      <c r="MNA1" s="46" t="s">
        <v>9168</v>
      </c>
      <c r="MNB1" s="46" t="s">
        <v>9169</v>
      </c>
      <c r="MNC1" s="46" t="s">
        <v>9170</v>
      </c>
      <c r="MND1" s="46" t="s">
        <v>9171</v>
      </c>
      <c r="MNE1" s="46" t="s">
        <v>9172</v>
      </c>
      <c r="MNF1" s="46" t="s">
        <v>9173</v>
      </c>
      <c r="MNG1" s="46" t="s">
        <v>9174</v>
      </c>
      <c r="MNH1" s="46" t="s">
        <v>9175</v>
      </c>
      <c r="MNI1" s="46" t="s">
        <v>9176</v>
      </c>
      <c r="MNJ1" s="46" t="s">
        <v>9177</v>
      </c>
      <c r="MNK1" s="46" t="s">
        <v>9178</v>
      </c>
      <c r="MNL1" s="46" t="s">
        <v>9179</v>
      </c>
      <c r="MNM1" s="46" t="s">
        <v>9180</v>
      </c>
      <c r="MNN1" s="46" t="s">
        <v>9181</v>
      </c>
      <c r="MNO1" s="46" t="s">
        <v>9182</v>
      </c>
      <c r="MNP1" s="46" t="s">
        <v>9183</v>
      </c>
      <c r="MNQ1" s="46" t="s">
        <v>9184</v>
      </c>
      <c r="MNR1" s="46" t="s">
        <v>9185</v>
      </c>
      <c r="MNS1" s="46" t="s">
        <v>9186</v>
      </c>
      <c r="MNT1" s="46" t="s">
        <v>9187</v>
      </c>
      <c r="MNU1" s="46" t="s">
        <v>9188</v>
      </c>
      <c r="MNV1" s="46" t="s">
        <v>9189</v>
      </c>
      <c r="MNW1" s="46" t="s">
        <v>9190</v>
      </c>
      <c r="MNX1" s="46" t="s">
        <v>9191</v>
      </c>
      <c r="MNY1" s="46" t="s">
        <v>9192</v>
      </c>
      <c r="MNZ1" s="46" t="s">
        <v>9193</v>
      </c>
      <c r="MOA1" s="46" t="s">
        <v>9194</v>
      </c>
      <c r="MOB1" s="46" t="s">
        <v>9195</v>
      </c>
      <c r="MOC1" s="46" t="s">
        <v>9196</v>
      </c>
      <c r="MOD1" s="46" t="s">
        <v>9197</v>
      </c>
      <c r="MOE1" s="46" t="s">
        <v>9198</v>
      </c>
      <c r="MOF1" s="46" t="s">
        <v>9199</v>
      </c>
      <c r="MOG1" s="46" t="s">
        <v>9200</v>
      </c>
      <c r="MOH1" s="46" t="s">
        <v>9201</v>
      </c>
      <c r="MOI1" s="46" t="s">
        <v>9202</v>
      </c>
      <c r="MOJ1" s="46" t="s">
        <v>9203</v>
      </c>
      <c r="MOK1" s="46" t="s">
        <v>9204</v>
      </c>
      <c r="MOL1" s="46" t="s">
        <v>9205</v>
      </c>
      <c r="MOM1" s="46" t="s">
        <v>9206</v>
      </c>
      <c r="MON1" s="46" t="s">
        <v>9207</v>
      </c>
      <c r="MOO1" s="46" t="s">
        <v>9208</v>
      </c>
      <c r="MOP1" s="46" t="s">
        <v>9209</v>
      </c>
      <c r="MOQ1" s="46" t="s">
        <v>9210</v>
      </c>
      <c r="MOR1" s="46" t="s">
        <v>9211</v>
      </c>
      <c r="MOS1" s="46" t="s">
        <v>9212</v>
      </c>
      <c r="MOT1" s="46" t="s">
        <v>9213</v>
      </c>
      <c r="MOU1" s="46" t="s">
        <v>9214</v>
      </c>
      <c r="MOV1" s="46" t="s">
        <v>9215</v>
      </c>
      <c r="MOW1" s="46" t="s">
        <v>9216</v>
      </c>
      <c r="MOX1" s="46" t="s">
        <v>9217</v>
      </c>
      <c r="MOY1" s="46" t="s">
        <v>9218</v>
      </c>
      <c r="MOZ1" s="46" t="s">
        <v>9219</v>
      </c>
      <c r="MPA1" s="46" t="s">
        <v>9220</v>
      </c>
      <c r="MPB1" s="46" t="s">
        <v>9221</v>
      </c>
      <c r="MPC1" s="46" t="s">
        <v>9222</v>
      </c>
      <c r="MPD1" s="46" t="s">
        <v>9223</v>
      </c>
      <c r="MPE1" s="46" t="s">
        <v>9224</v>
      </c>
      <c r="MPF1" s="46" t="s">
        <v>9225</v>
      </c>
      <c r="MPG1" s="46" t="s">
        <v>9226</v>
      </c>
      <c r="MPH1" s="46" t="s">
        <v>9227</v>
      </c>
      <c r="MPI1" s="46" t="s">
        <v>9228</v>
      </c>
      <c r="MPJ1" s="46" t="s">
        <v>9229</v>
      </c>
      <c r="MPK1" s="46" t="s">
        <v>9230</v>
      </c>
      <c r="MPL1" s="46" t="s">
        <v>9231</v>
      </c>
      <c r="MPM1" s="46" t="s">
        <v>9232</v>
      </c>
      <c r="MPN1" s="46" t="s">
        <v>9233</v>
      </c>
      <c r="MPO1" s="46" t="s">
        <v>9234</v>
      </c>
      <c r="MPP1" s="46" t="s">
        <v>9235</v>
      </c>
      <c r="MPQ1" s="46" t="s">
        <v>9236</v>
      </c>
      <c r="MPR1" s="46" t="s">
        <v>9237</v>
      </c>
      <c r="MPS1" s="46" t="s">
        <v>9238</v>
      </c>
      <c r="MPT1" s="46" t="s">
        <v>9239</v>
      </c>
      <c r="MPU1" s="46" t="s">
        <v>9240</v>
      </c>
      <c r="MPV1" s="46" t="s">
        <v>9241</v>
      </c>
      <c r="MPW1" s="46" t="s">
        <v>9242</v>
      </c>
      <c r="MPX1" s="46" t="s">
        <v>9243</v>
      </c>
      <c r="MPY1" s="46" t="s">
        <v>9244</v>
      </c>
      <c r="MPZ1" s="46" t="s">
        <v>9245</v>
      </c>
      <c r="MQA1" s="46" t="s">
        <v>9246</v>
      </c>
      <c r="MQB1" s="46" t="s">
        <v>9247</v>
      </c>
      <c r="MQC1" s="46" t="s">
        <v>9248</v>
      </c>
      <c r="MQD1" s="46" t="s">
        <v>9249</v>
      </c>
      <c r="MQE1" s="46" t="s">
        <v>9250</v>
      </c>
      <c r="MQF1" s="46" t="s">
        <v>9251</v>
      </c>
      <c r="MQG1" s="46" t="s">
        <v>9252</v>
      </c>
      <c r="MQH1" s="46" t="s">
        <v>9253</v>
      </c>
      <c r="MQI1" s="46" t="s">
        <v>9254</v>
      </c>
      <c r="MQJ1" s="46" t="s">
        <v>9255</v>
      </c>
      <c r="MQK1" s="46" t="s">
        <v>9256</v>
      </c>
      <c r="MQL1" s="46" t="s">
        <v>9257</v>
      </c>
      <c r="MQM1" s="46" t="s">
        <v>9258</v>
      </c>
      <c r="MQN1" s="46" t="s">
        <v>9259</v>
      </c>
      <c r="MQO1" s="46" t="s">
        <v>9260</v>
      </c>
      <c r="MQP1" s="46" t="s">
        <v>9261</v>
      </c>
      <c r="MQQ1" s="46" t="s">
        <v>9262</v>
      </c>
      <c r="MQR1" s="46" t="s">
        <v>9263</v>
      </c>
      <c r="MQS1" s="46" t="s">
        <v>9264</v>
      </c>
      <c r="MQT1" s="46" t="s">
        <v>9265</v>
      </c>
      <c r="MQU1" s="46" t="s">
        <v>9266</v>
      </c>
      <c r="MQV1" s="46" t="s">
        <v>9267</v>
      </c>
      <c r="MQW1" s="46" t="s">
        <v>9268</v>
      </c>
      <c r="MQX1" s="46" t="s">
        <v>9269</v>
      </c>
      <c r="MQY1" s="46" t="s">
        <v>9270</v>
      </c>
      <c r="MQZ1" s="46" t="s">
        <v>9271</v>
      </c>
      <c r="MRA1" s="46" t="s">
        <v>9272</v>
      </c>
      <c r="MRB1" s="46" t="s">
        <v>9273</v>
      </c>
      <c r="MRC1" s="46" t="s">
        <v>9274</v>
      </c>
      <c r="MRD1" s="46" t="s">
        <v>9275</v>
      </c>
      <c r="MRE1" s="46" t="s">
        <v>9276</v>
      </c>
      <c r="MRF1" s="46" t="s">
        <v>9277</v>
      </c>
      <c r="MRG1" s="46" t="s">
        <v>9278</v>
      </c>
      <c r="MRH1" s="46" t="s">
        <v>9279</v>
      </c>
      <c r="MRI1" s="46" t="s">
        <v>9280</v>
      </c>
      <c r="MRJ1" s="46" t="s">
        <v>9281</v>
      </c>
      <c r="MRK1" s="46" t="s">
        <v>9282</v>
      </c>
      <c r="MRL1" s="46" t="s">
        <v>9283</v>
      </c>
      <c r="MRM1" s="46" t="s">
        <v>9284</v>
      </c>
      <c r="MRN1" s="46" t="s">
        <v>9285</v>
      </c>
      <c r="MRO1" s="46" t="s">
        <v>9286</v>
      </c>
      <c r="MRP1" s="46" t="s">
        <v>9287</v>
      </c>
      <c r="MRQ1" s="46" t="s">
        <v>9288</v>
      </c>
      <c r="MRR1" s="46" t="s">
        <v>9289</v>
      </c>
      <c r="MRS1" s="46" t="s">
        <v>9290</v>
      </c>
      <c r="MRT1" s="46" t="s">
        <v>9291</v>
      </c>
      <c r="MRU1" s="46" t="s">
        <v>9292</v>
      </c>
      <c r="MRV1" s="46" t="s">
        <v>9293</v>
      </c>
      <c r="MRW1" s="46" t="s">
        <v>9294</v>
      </c>
      <c r="MRX1" s="46" t="s">
        <v>9295</v>
      </c>
      <c r="MRY1" s="46" t="s">
        <v>9296</v>
      </c>
      <c r="MRZ1" s="46" t="s">
        <v>9297</v>
      </c>
      <c r="MSA1" s="46" t="s">
        <v>9298</v>
      </c>
      <c r="MSB1" s="46" t="s">
        <v>9299</v>
      </c>
      <c r="MSC1" s="46" t="s">
        <v>9300</v>
      </c>
      <c r="MSD1" s="46" t="s">
        <v>9301</v>
      </c>
      <c r="MSE1" s="46" t="s">
        <v>9302</v>
      </c>
      <c r="MSF1" s="46" t="s">
        <v>9303</v>
      </c>
      <c r="MSG1" s="46" t="s">
        <v>9304</v>
      </c>
      <c r="MSH1" s="46" t="s">
        <v>9305</v>
      </c>
      <c r="MSI1" s="46" t="s">
        <v>9306</v>
      </c>
      <c r="MSJ1" s="46" t="s">
        <v>9307</v>
      </c>
      <c r="MSK1" s="46" t="s">
        <v>9308</v>
      </c>
      <c r="MSL1" s="46" t="s">
        <v>9309</v>
      </c>
      <c r="MSM1" s="46" t="s">
        <v>9310</v>
      </c>
      <c r="MSN1" s="46" t="s">
        <v>9311</v>
      </c>
      <c r="MSO1" s="46" t="s">
        <v>9312</v>
      </c>
      <c r="MSP1" s="46" t="s">
        <v>9313</v>
      </c>
      <c r="MSQ1" s="46" t="s">
        <v>9314</v>
      </c>
      <c r="MSR1" s="46" t="s">
        <v>9315</v>
      </c>
      <c r="MSS1" s="46" t="s">
        <v>9316</v>
      </c>
      <c r="MST1" s="46" t="s">
        <v>9317</v>
      </c>
      <c r="MSU1" s="46" t="s">
        <v>9318</v>
      </c>
      <c r="MSV1" s="46" t="s">
        <v>9319</v>
      </c>
      <c r="MSW1" s="46" t="s">
        <v>9320</v>
      </c>
      <c r="MSX1" s="46" t="s">
        <v>9321</v>
      </c>
      <c r="MSY1" s="46" t="s">
        <v>9322</v>
      </c>
      <c r="MSZ1" s="46" t="s">
        <v>9323</v>
      </c>
      <c r="MTA1" s="46" t="s">
        <v>9324</v>
      </c>
      <c r="MTB1" s="46" t="s">
        <v>9325</v>
      </c>
      <c r="MTC1" s="46" t="s">
        <v>9326</v>
      </c>
      <c r="MTD1" s="46" t="s">
        <v>9327</v>
      </c>
      <c r="MTE1" s="46" t="s">
        <v>9328</v>
      </c>
      <c r="MTF1" s="46" t="s">
        <v>9329</v>
      </c>
      <c r="MTG1" s="46" t="s">
        <v>9330</v>
      </c>
      <c r="MTH1" s="46" t="s">
        <v>9331</v>
      </c>
      <c r="MTI1" s="46" t="s">
        <v>9332</v>
      </c>
      <c r="MTJ1" s="46" t="s">
        <v>9333</v>
      </c>
      <c r="MTK1" s="46" t="s">
        <v>9334</v>
      </c>
      <c r="MTL1" s="46" t="s">
        <v>9335</v>
      </c>
      <c r="MTM1" s="46" t="s">
        <v>9336</v>
      </c>
      <c r="MTN1" s="46" t="s">
        <v>9337</v>
      </c>
      <c r="MTO1" s="46" t="s">
        <v>9338</v>
      </c>
      <c r="MTP1" s="46" t="s">
        <v>9339</v>
      </c>
      <c r="MTQ1" s="46" t="s">
        <v>9340</v>
      </c>
      <c r="MTR1" s="46" t="s">
        <v>9341</v>
      </c>
      <c r="MTS1" s="46" t="s">
        <v>9342</v>
      </c>
      <c r="MTT1" s="46" t="s">
        <v>9343</v>
      </c>
      <c r="MTU1" s="46" t="s">
        <v>9344</v>
      </c>
      <c r="MTV1" s="46" t="s">
        <v>9345</v>
      </c>
      <c r="MTW1" s="46" t="s">
        <v>9346</v>
      </c>
      <c r="MTX1" s="46" t="s">
        <v>9347</v>
      </c>
      <c r="MTY1" s="46" t="s">
        <v>9348</v>
      </c>
      <c r="MTZ1" s="46" t="s">
        <v>9349</v>
      </c>
      <c r="MUA1" s="46" t="s">
        <v>9350</v>
      </c>
      <c r="MUB1" s="46" t="s">
        <v>9351</v>
      </c>
      <c r="MUC1" s="46" t="s">
        <v>9352</v>
      </c>
      <c r="MUD1" s="46" t="s">
        <v>9353</v>
      </c>
      <c r="MUE1" s="46" t="s">
        <v>9354</v>
      </c>
      <c r="MUF1" s="46" t="s">
        <v>9355</v>
      </c>
      <c r="MUG1" s="46" t="s">
        <v>9356</v>
      </c>
      <c r="MUH1" s="46" t="s">
        <v>9357</v>
      </c>
      <c r="MUI1" s="46" t="s">
        <v>9358</v>
      </c>
      <c r="MUJ1" s="46" t="s">
        <v>9359</v>
      </c>
      <c r="MUK1" s="46" t="s">
        <v>9360</v>
      </c>
      <c r="MUL1" s="46" t="s">
        <v>9361</v>
      </c>
      <c r="MUM1" s="46" t="s">
        <v>9362</v>
      </c>
      <c r="MUN1" s="46" t="s">
        <v>9363</v>
      </c>
      <c r="MUO1" s="46" t="s">
        <v>9364</v>
      </c>
      <c r="MUP1" s="46" t="s">
        <v>9365</v>
      </c>
      <c r="MUQ1" s="46" t="s">
        <v>9366</v>
      </c>
      <c r="MUR1" s="46" t="s">
        <v>9367</v>
      </c>
      <c r="MUS1" s="46" t="s">
        <v>9368</v>
      </c>
      <c r="MUT1" s="46" t="s">
        <v>9369</v>
      </c>
      <c r="MUU1" s="46" t="s">
        <v>9370</v>
      </c>
      <c r="MUV1" s="46" t="s">
        <v>9371</v>
      </c>
      <c r="MUW1" s="46" t="s">
        <v>9372</v>
      </c>
      <c r="MUX1" s="46" t="s">
        <v>9373</v>
      </c>
      <c r="MUY1" s="46" t="s">
        <v>9374</v>
      </c>
      <c r="MUZ1" s="46" t="s">
        <v>9375</v>
      </c>
      <c r="MVA1" s="46" t="s">
        <v>9376</v>
      </c>
      <c r="MVB1" s="46" t="s">
        <v>9377</v>
      </c>
      <c r="MVC1" s="46" t="s">
        <v>9378</v>
      </c>
      <c r="MVD1" s="46" t="s">
        <v>9379</v>
      </c>
      <c r="MVE1" s="46" t="s">
        <v>9380</v>
      </c>
      <c r="MVF1" s="46" t="s">
        <v>9381</v>
      </c>
      <c r="MVG1" s="46" t="s">
        <v>9382</v>
      </c>
      <c r="MVH1" s="46" t="s">
        <v>9383</v>
      </c>
      <c r="MVI1" s="46" t="s">
        <v>9384</v>
      </c>
      <c r="MVJ1" s="46" t="s">
        <v>9385</v>
      </c>
      <c r="MVK1" s="46" t="s">
        <v>9386</v>
      </c>
      <c r="MVL1" s="46" t="s">
        <v>9387</v>
      </c>
      <c r="MVM1" s="46" t="s">
        <v>9388</v>
      </c>
      <c r="MVN1" s="46" t="s">
        <v>9389</v>
      </c>
      <c r="MVO1" s="46" t="s">
        <v>9390</v>
      </c>
      <c r="MVP1" s="46" t="s">
        <v>9391</v>
      </c>
      <c r="MVQ1" s="46" t="s">
        <v>9392</v>
      </c>
      <c r="MVR1" s="46" t="s">
        <v>9393</v>
      </c>
      <c r="MVS1" s="46" t="s">
        <v>9394</v>
      </c>
      <c r="MVT1" s="46" t="s">
        <v>9395</v>
      </c>
      <c r="MVU1" s="46" t="s">
        <v>9396</v>
      </c>
      <c r="MVV1" s="46" t="s">
        <v>9397</v>
      </c>
      <c r="MVW1" s="46" t="s">
        <v>9398</v>
      </c>
      <c r="MVX1" s="46" t="s">
        <v>9399</v>
      </c>
      <c r="MVY1" s="46" t="s">
        <v>9400</v>
      </c>
      <c r="MVZ1" s="46" t="s">
        <v>9401</v>
      </c>
      <c r="MWA1" s="46" t="s">
        <v>9402</v>
      </c>
      <c r="MWB1" s="46" t="s">
        <v>9403</v>
      </c>
      <c r="MWC1" s="46" t="s">
        <v>9404</v>
      </c>
      <c r="MWD1" s="46" t="s">
        <v>9405</v>
      </c>
      <c r="MWE1" s="46" t="s">
        <v>9406</v>
      </c>
      <c r="MWF1" s="46" t="s">
        <v>9407</v>
      </c>
      <c r="MWG1" s="46" t="s">
        <v>9408</v>
      </c>
      <c r="MWH1" s="46" t="s">
        <v>9409</v>
      </c>
      <c r="MWI1" s="46" t="s">
        <v>9410</v>
      </c>
      <c r="MWJ1" s="46" t="s">
        <v>9411</v>
      </c>
      <c r="MWK1" s="46" t="s">
        <v>9412</v>
      </c>
      <c r="MWL1" s="46" t="s">
        <v>9413</v>
      </c>
      <c r="MWM1" s="46" t="s">
        <v>9414</v>
      </c>
      <c r="MWN1" s="46" t="s">
        <v>9415</v>
      </c>
      <c r="MWO1" s="46" t="s">
        <v>9416</v>
      </c>
      <c r="MWP1" s="46" t="s">
        <v>9417</v>
      </c>
      <c r="MWQ1" s="46" t="s">
        <v>9418</v>
      </c>
      <c r="MWR1" s="46" t="s">
        <v>9419</v>
      </c>
      <c r="MWS1" s="46" t="s">
        <v>9420</v>
      </c>
      <c r="MWT1" s="46" t="s">
        <v>9421</v>
      </c>
      <c r="MWU1" s="46" t="s">
        <v>9422</v>
      </c>
      <c r="MWV1" s="46" t="s">
        <v>9423</v>
      </c>
      <c r="MWW1" s="46" t="s">
        <v>9424</v>
      </c>
      <c r="MWX1" s="46" t="s">
        <v>9425</v>
      </c>
      <c r="MWY1" s="46" t="s">
        <v>9426</v>
      </c>
      <c r="MWZ1" s="46" t="s">
        <v>9427</v>
      </c>
      <c r="MXA1" s="46" t="s">
        <v>9428</v>
      </c>
      <c r="MXB1" s="46" t="s">
        <v>9429</v>
      </c>
      <c r="MXC1" s="46" t="s">
        <v>9430</v>
      </c>
      <c r="MXD1" s="46" t="s">
        <v>9431</v>
      </c>
      <c r="MXE1" s="46" t="s">
        <v>9432</v>
      </c>
      <c r="MXF1" s="46" t="s">
        <v>9433</v>
      </c>
      <c r="MXG1" s="46" t="s">
        <v>9434</v>
      </c>
      <c r="MXH1" s="46" t="s">
        <v>9435</v>
      </c>
      <c r="MXI1" s="46" t="s">
        <v>9436</v>
      </c>
      <c r="MXJ1" s="46" t="s">
        <v>9437</v>
      </c>
      <c r="MXK1" s="46" t="s">
        <v>9438</v>
      </c>
      <c r="MXL1" s="46" t="s">
        <v>9439</v>
      </c>
      <c r="MXM1" s="46" t="s">
        <v>9440</v>
      </c>
      <c r="MXN1" s="46" t="s">
        <v>9441</v>
      </c>
      <c r="MXO1" s="46" t="s">
        <v>9442</v>
      </c>
      <c r="MXP1" s="46" t="s">
        <v>9443</v>
      </c>
      <c r="MXQ1" s="46" t="s">
        <v>9444</v>
      </c>
      <c r="MXR1" s="46" t="s">
        <v>9445</v>
      </c>
      <c r="MXS1" s="46" t="s">
        <v>9446</v>
      </c>
      <c r="MXT1" s="46" t="s">
        <v>9447</v>
      </c>
      <c r="MXU1" s="46" t="s">
        <v>9448</v>
      </c>
      <c r="MXV1" s="46" t="s">
        <v>9449</v>
      </c>
      <c r="MXW1" s="46" t="s">
        <v>9450</v>
      </c>
      <c r="MXX1" s="46" t="s">
        <v>9451</v>
      </c>
      <c r="MXY1" s="46" t="s">
        <v>9452</v>
      </c>
      <c r="MXZ1" s="46" t="s">
        <v>9453</v>
      </c>
      <c r="MYA1" s="46" t="s">
        <v>9454</v>
      </c>
      <c r="MYB1" s="46" t="s">
        <v>9455</v>
      </c>
      <c r="MYC1" s="46" t="s">
        <v>9456</v>
      </c>
      <c r="MYD1" s="46" t="s">
        <v>9457</v>
      </c>
      <c r="MYE1" s="46" t="s">
        <v>9458</v>
      </c>
      <c r="MYF1" s="46" t="s">
        <v>9459</v>
      </c>
      <c r="MYG1" s="46" t="s">
        <v>9460</v>
      </c>
      <c r="MYH1" s="46" t="s">
        <v>9461</v>
      </c>
      <c r="MYI1" s="46" t="s">
        <v>9462</v>
      </c>
      <c r="MYJ1" s="46" t="s">
        <v>9463</v>
      </c>
      <c r="MYK1" s="46" t="s">
        <v>9464</v>
      </c>
      <c r="MYL1" s="46" t="s">
        <v>9465</v>
      </c>
      <c r="MYM1" s="46" t="s">
        <v>9466</v>
      </c>
      <c r="MYN1" s="46" t="s">
        <v>9467</v>
      </c>
      <c r="MYO1" s="46" t="s">
        <v>9468</v>
      </c>
      <c r="MYP1" s="46" t="s">
        <v>9469</v>
      </c>
      <c r="MYQ1" s="46" t="s">
        <v>9470</v>
      </c>
      <c r="MYR1" s="46" t="s">
        <v>9471</v>
      </c>
      <c r="MYS1" s="46" t="s">
        <v>9472</v>
      </c>
      <c r="MYT1" s="46" t="s">
        <v>9473</v>
      </c>
      <c r="MYU1" s="46" t="s">
        <v>9474</v>
      </c>
      <c r="MYV1" s="46" t="s">
        <v>9475</v>
      </c>
      <c r="MYW1" s="46" t="s">
        <v>9476</v>
      </c>
      <c r="MYX1" s="46" t="s">
        <v>9477</v>
      </c>
      <c r="MYY1" s="46" t="s">
        <v>9478</v>
      </c>
      <c r="MYZ1" s="46" t="s">
        <v>9479</v>
      </c>
      <c r="MZA1" s="46" t="s">
        <v>9480</v>
      </c>
      <c r="MZB1" s="46" t="s">
        <v>9481</v>
      </c>
      <c r="MZC1" s="46" t="s">
        <v>9482</v>
      </c>
      <c r="MZD1" s="46" t="s">
        <v>9483</v>
      </c>
      <c r="MZE1" s="46" t="s">
        <v>9484</v>
      </c>
      <c r="MZF1" s="46" t="s">
        <v>9485</v>
      </c>
      <c r="MZG1" s="46" t="s">
        <v>9486</v>
      </c>
      <c r="MZH1" s="46" t="s">
        <v>9487</v>
      </c>
      <c r="MZI1" s="46" t="s">
        <v>9488</v>
      </c>
      <c r="MZJ1" s="46" t="s">
        <v>9489</v>
      </c>
      <c r="MZK1" s="46" t="s">
        <v>9490</v>
      </c>
      <c r="MZL1" s="46" t="s">
        <v>9491</v>
      </c>
      <c r="MZM1" s="46" t="s">
        <v>9492</v>
      </c>
      <c r="MZN1" s="46" t="s">
        <v>9493</v>
      </c>
      <c r="MZO1" s="46" t="s">
        <v>9494</v>
      </c>
      <c r="MZP1" s="46" t="s">
        <v>9495</v>
      </c>
      <c r="MZQ1" s="46" t="s">
        <v>9496</v>
      </c>
      <c r="MZR1" s="46" t="s">
        <v>9497</v>
      </c>
      <c r="MZS1" s="46" t="s">
        <v>9498</v>
      </c>
      <c r="MZT1" s="46" t="s">
        <v>9499</v>
      </c>
      <c r="MZU1" s="46" t="s">
        <v>9500</v>
      </c>
      <c r="MZV1" s="46" t="s">
        <v>9501</v>
      </c>
      <c r="MZW1" s="46" t="s">
        <v>9502</v>
      </c>
      <c r="MZX1" s="46" t="s">
        <v>9503</v>
      </c>
      <c r="MZY1" s="46" t="s">
        <v>9504</v>
      </c>
      <c r="MZZ1" s="46" t="s">
        <v>9505</v>
      </c>
      <c r="NAA1" s="46" t="s">
        <v>9506</v>
      </c>
      <c r="NAB1" s="46" t="s">
        <v>9507</v>
      </c>
      <c r="NAC1" s="46" t="s">
        <v>9508</v>
      </c>
      <c r="NAD1" s="46" t="s">
        <v>9509</v>
      </c>
      <c r="NAE1" s="46" t="s">
        <v>9510</v>
      </c>
      <c r="NAF1" s="46" t="s">
        <v>9511</v>
      </c>
      <c r="NAG1" s="46" t="s">
        <v>9512</v>
      </c>
      <c r="NAH1" s="46" t="s">
        <v>9513</v>
      </c>
      <c r="NAI1" s="46" t="s">
        <v>9514</v>
      </c>
      <c r="NAJ1" s="46" t="s">
        <v>9515</v>
      </c>
      <c r="NAK1" s="46" t="s">
        <v>9516</v>
      </c>
      <c r="NAL1" s="46" t="s">
        <v>9517</v>
      </c>
      <c r="NAM1" s="46" t="s">
        <v>9518</v>
      </c>
      <c r="NAN1" s="46" t="s">
        <v>9519</v>
      </c>
      <c r="NAO1" s="46" t="s">
        <v>9520</v>
      </c>
      <c r="NAP1" s="46" t="s">
        <v>9521</v>
      </c>
      <c r="NAQ1" s="46" t="s">
        <v>9522</v>
      </c>
      <c r="NAR1" s="46" t="s">
        <v>9523</v>
      </c>
      <c r="NAS1" s="46" t="s">
        <v>9524</v>
      </c>
      <c r="NAT1" s="46" t="s">
        <v>9525</v>
      </c>
      <c r="NAU1" s="46" t="s">
        <v>9526</v>
      </c>
      <c r="NAV1" s="46" t="s">
        <v>9527</v>
      </c>
      <c r="NAW1" s="46" t="s">
        <v>9528</v>
      </c>
      <c r="NAX1" s="46" t="s">
        <v>9529</v>
      </c>
      <c r="NAY1" s="46" t="s">
        <v>9530</v>
      </c>
      <c r="NAZ1" s="46" t="s">
        <v>9531</v>
      </c>
      <c r="NBA1" s="46" t="s">
        <v>9532</v>
      </c>
      <c r="NBB1" s="46" t="s">
        <v>9533</v>
      </c>
      <c r="NBC1" s="46" t="s">
        <v>9534</v>
      </c>
      <c r="NBD1" s="46" t="s">
        <v>9535</v>
      </c>
      <c r="NBE1" s="46" t="s">
        <v>9536</v>
      </c>
      <c r="NBF1" s="46" t="s">
        <v>9537</v>
      </c>
      <c r="NBG1" s="46" t="s">
        <v>9538</v>
      </c>
      <c r="NBH1" s="46" t="s">
        <v>9539</v>
      </c>
      <c r="NBI1" s="46" t="s">
        <v>9540</v>
      </c>
      <c r="NBJ1" s="46" t="s">
        <v>9541</v>
      </c>
      <c r="NBK1" s="46" t="s">
        <v>9542</v>
      </c>
      <c r="NBL1" s="46" t="s">
        <v>9543</v>
      </c>
      <c r="NBM1" s="46" t="s">
        <v>9544</v>
      </c>
      <c r="NBN1" s="46" t="s">
        <v>9545</v>
      </c>
      <c r="NBO1" s="46" t="s">
        <v>9546</v>
      </c>
      <c r="NBP1" s="46" t="s">
        <v>9547</v>
      </c>
      <c r="NBQ1" s="46" t="s">
        <v>9548</v>
      </c>
      <c r="NBR1" s="46" t="s">
        <v>9549</v>
      </c>
      <c r="NBS1" s="46" t="s">
        <v>9550</v>
      </c>
      <c r="NBT1" s="46" t="s">
        <v>9551</v>
      </c>
      <c r="NBU1" s="46" t="s">
        <v>9552</v>
      </c>
      <c r="NBV1" s="46" t="s">
        <v>9553</v>
      </c>
      <c r="NBW1" s="46" t="s">
        <v>9554</v>
      </c>
      <c r="NBX1" s="46" t="s">
        <v>9555</v>
      </c>
      <c r="NBY1" s="46" t="s">
        <v>9556</v>
      </c>
      <c r="NBZ1" s="46" t="s">
        <v>9557</v>
      </c>
      <c r="NCA1" s="46" t="s">
        <v>9558</v>
      </c>
      <c r="NCB1" s="46" t="s">
        <v>9559</v>
      </c>
      <c r="NCC1" s="46" t="s">
        <v>9560</v>
      </c>
      <c r="NCD1" s="46" t="s">
        <v>9561</v>
      </c>
      <c r="NCE1" s="46" t="s">
        <v>9562</v>
      </c>
      <c r="NCF1" s="46" t="s">
        <v>9563</v>
      </c>
      <c r="NCG1" s="46" t="s">
        <v>9564</v>
      </c>
      <c r="NCH1" s="46" t="s">
        <v>9565</v>
      </c>
      <c r="NCI1" s="46" t="s">
        <v>9566</v>
      </c>
      <c r="NCJ1" s="46" t="s">
        <v>9567</v>
      </c>
      <c r="NCK1" s="46" t="s">
        <v>9568</v>
      </c>
      <c r="NCL1" s="46" t="s">
        <v>9569</v>
      </c>
      <c r="NCM1" s="46" t="s">
        <v>9570</v>
      </c>
      <c r="NCN1" s="46" t="s">
        <v>9571</v>
      </c>
      <c r="NCO1" s="46" t="s">
        <v>9572</v>
      </c>
      <c r="NCP1" s="46" t="s">
        <v>9573</v>
      </c>
      <c r="NCQ1" s="46" t="s">
        <v>9574</v>
      </c>
      <c r="NCR1" s="46" t="s">
        <v>9575</v>
      </c>
      <c r="NCS1" s="46" t="s">
        <v>9576</v>
      </c>
      <c r="NCT1" s="46" t="s">
        <v>9577</v>
      </c>
      <c r="NCU1" s="46" t="s">
        <v>9578</v>
      </c>
      <c r="NCV1" s="46" t="s">
        <v>9579</v>
      </c>
      <c r="NCW1" s="46" t="s">
        <v>9580</v>
      </c>
      <c r="NCX1" s="46" t="s">
        <v>9581</v>
      </c>
      <c r="NCY1" s="46" t="s">
        <v>9582</v>
      </c>
      <c r="NCZ1" s="46" t="s">
        <v>9583</v>
      </c>
      <c r="NDA1" s="46" t="s">
        <v>9584</v>
      </c>
      <c r="NDB1" s="46" t="s">
        <v>9585</v>
      </c>
      <c r="NDC1" s="46" t="s">
        <v>9586</v>
      </c>
      <c r="NDD1" s="46" t="s">
        <v>9587</v>
      </c>
      <c r="NDE1" s="46" t="s">
        <v>9588</v>
      </c>
      <c r="NDF1" s="46" t="s">
        <v>9589</v>
      </c>
      <c r="NDG1" s="46" t="s">
        <v>9590</v>
      </c>
      <c r="NDH1" s="46" t="s">
        <v>9591</v>
      </c>
      <c r="NDI1" s="46" t="s">
        <v>9592</v>
      </c>
      <c r="NDJ1" s="46" t="s">
        <v>9593</v>
      </c>
      <c r="NDK1" s="46" t="s">
        <v>9594</v>
      </c>
      <c r="NDL1" s="46" t="s">
        <v>9595</v>
      </c>
      <c r="NDM1" s="46" t="s">
        <v>9596</v>
      </c>
      <c r="NDN1" s="46" t="s">
        <v>9597</v>
      </c>
      <c r="NDO1" s="46" t="s">
        <v>9598</v>
      </c>
      <c r="NDP1" s="46" t="s">
        <v>9599</v>
      </c>
      <c r="NDQ1" s="46" t="s">
        <v>9600</v>
      </c>
      <c r="NDR1" s="46" t="s">
        <v>9601</v>
      </c>
      <c r="NDS1" s="46" t="s">
        <v>9602</v>
      </c>
      <c r="NDT1" s="46" t="s">
        <v>9603</v>
      </c>
      <c r="NDU1" s="46" t="s">
        <v>9604</v>
      </c>
      <c r="NDV1" s="46" t="s">
        <v>9605</v>
      </c>
      <c r="NDW1" s="46" t="s">
        <v>9606</v>
      </c>
      <c r="NDX1" s="46" t="s">
        <v>9607</v>
      </c>
      <c r="NDY1" s="46" t="s">
        <v>9608</v>
      </c>
      <c r="NDZ1" s="46" t="s">
        <v>9609</v>
      </c>
      <c r="NEA1" s="46" t="s">
        <v>9610</v>
      </c>
      <c r="NEB1" s="46" t="s">
        <v>9611</v>
      </c>
      <c r="NEC1" s="46" t="s">
        <v>9612</v>
      </c>
      <c r="NED1" s="46" t="s">
        <v>9613</v>
      </c>
      <c r="NEE1" s="46" t="s">
        <v>9614</v>
      </c>
      <c r="NEF1" s="46" t="s">
        <v>9615</v>
      </c>
      <c r="NEG1" s="46" t="s">
        <v>9616</v>
      </c>
      <c r="NEH1" s="46" t="s">
        <v>9617</v>
      </c>
      <c r="NEI1" s="46" t="s">
        <v>9618</v>
      </c>
      <c r="NEJ1" s="46" t="s">
        <v>9619</v>
      </c>
      <c r="NEK1" s="46" t="s">
        <v>9620</v>
      </c>
      <c r="NEL1" s="46" t="s">
        <v>9621</v>
      </c>
      <c r="NEM1" s="46" t="s">
        <v>9622</v>
      </c>
      <c r="NEN1" s="46" t="s">
        <v>9623</v>
      </c>
      <c r="NEO1" s="46" t="s">
        <v>9624</v>
      </c>
      <c r="NEP1" s="46" t="s">
        <v>9625</v>
      </c>
      <c r="NEQ1" s="46" t="s">
        <v>9626</v>
      </c>
      <c r="NER1" s="46" t="s">
        <v>9627</v>
      </c>
      <c r="NES1" s="46" t="s">
        <v>9628</v>
      </c>
      <c r="NET1" s="46" t="s">
        <v>9629</v>
      </c>
      <c r="NEU1" s="46" t="s">
        <v>9630</v>
      </c>
      <c r="NEV1" s="46" t="s">
        <v>9631</v>
      </c>
      <c r="NEW1" s="46" t="s">
        <v>9632</v>
      </c>
      <c r="NEX1" s="46" t="s">
        <v>9633</v>
      </c>
      <c r="NEY1" s="46" t="s">
        <v>9634</v>
      </c>
      <c r="NEZ1" s="46" t="s">
        <v>9635</v>
      </c>
      <c r="NFA1" s="46" t="s">
        <v>9636</v>
      </c>
      <c r="NFB1" s="46" t="s">
        <v>9637</v>
      </c>
      <c r="NFC1" s="46" t="s">
        <v>9638</v>
      </c>
      <c r="NFD1" s="46" t="s">
        <v>9639</v>
      </c>
      <c r="NFE1" s="46" t="s">
        <v>9640</v>
      </c>
      <c r="NFF1" s="46" t="s">
        <v>9641</v>
      </c>
      <c r="NFG1" s="46" t="s">
        <v>9642</v>
      </c>
      <c r="NFH1" s="46" t="s">
        <v>9643</v>
      </c>
      <c r="NFI1" s="46" t="s">
        <v>9644</v>
      </c>
      <c r="NFJ1" s="46" t="s">
        <v>9645</v>
      </c>
      <c r="NFK1" s="46" t="s">
        <v>9646</v>
      </c>
      <c r="NFL1" s="46" t="s">
        <v>9647</v>
      </c>
      <c r="NFM1" s="46" t="s">
        <v>9648</v>
      </c>
      <c r="NFN1" s="46" t="s">
        <v>9649</v>
      </c>
      <c r="NFO1" s="46" t="s">
        <v>9650</v>
      </c>
      <c r="NFP1" s="46" t="s">
        <v>9651</v>
      </c>
      <c r="NFQ1" s="46" t="s">
        <v>9652</v>
      </c>
      <c r="NFR1" s="46" t="s">
        <v>9653</v>
      </c>
      <c r="NFS1" s="46" t="s">
        <v>9654</v>
      </c>
      <c r="NFT1" s="46" t="s">
        <v>9655</v>
      </c>
      <c r="NFU1" s="46" t="s">
        <v>9656</v>
      </c>
      <c r="NFV1" s="46" t="s">
        <v>9657</v>
      </c>
      <c r="NFW1" s="46" t="s">
        <v>9658</v>
      </c>
      <c r="NFX1" s="46" t="s">
        <v>9659</v>
      </c>
      <c r="NFY1" s="46" t="s">
        <v>9660</v>
      </c>
      <c r="NFZ1" s="46" t="s">
        <v>9661</v>
      </c>
      <c r="NGA1" s="46" t="s">
        <v>9662</v>
      </c>
      <c r="NGB1" s="46" t="s">
        <v>9663</v>
      </c>
      <c r="NGC1" s="46" t="s">
        <v>9664</v>
      </c>
      <c r="NGD1" s="46" t="s">
        <v>9665</v>
      </c>
      <c r="NGE1" s="46" t="s">
        <v>9666</v>
      </c>
      <c r="NGF1" s="46" t="s">
        <v>9667</v>
      </c>
      <c r="NGG1" s="46" t="s">
        <v>9668</v>
      </c>
      <c r="NGH1" s="46" t="s">
        <v>9669</v>
      </c>
      <c r="NGI1" s="46" t="s">
        <v>9670</v>
      </c>
      <c r="NGJ1" s="46" t="s">
        <v>9671</v>
      </c>
      <c r="NGK1" s="46" t="s">
        <v>9672</v>
      </c>
      <c r="NGL1" s="46" t="s">
        <v>9673</v>
      </c>
      <c r="NGM1" s="46" t="s">
        <v>9674</v>
      </c>
      <c r="NGN1" s="46" t="s">
        <v>9675</v>
      </c>
      <c r="NGO1" s="46" t="s">
        <v>9676</v>
      </c>
      <c r="NGP1" s="46" t="s">
        <v>9677</v>
      </c>
      <c r="NGQ1" s="46" t="s">
        <v>9678</v>
      </c>
      <c r="NGR1" s="46" t="s">
        <v>9679</v>
      </c>
      <c r="NGS1" s="46" t="s">
        <v>9680</v>
      </c>
      <c r="NGT1" s="46" t="s">
        <v>9681</v>
      </c>
      <c r="NGU1" s="46" t="s">
        <v>9682</v>
      </c>
      <c r="NGV1" s="46" t="s">
        <v>9683</v>
      </c>
      <c r="NGW1" s="46" t="s">
        <v>9684</v>
      </c>
      <c r="NGX1" s="46" t="s">
        <v>9685</v>
      </c>
      <c r="NGY1" s="46" t="s">
        <v>9686</v>
      </c>
      <c r="NGZ1" s="46" t="s">
        <v>9687</v>
      </c>
      <c r="NHA1" s="46" t="s">
        <v>9688</v>
      </c>
      <c r="NHB1" s="46" t="s">
        <v>9689</v>
      </c>
      <c r="NHC1" s="46" t="s">
        <v>9690</v>
      </c>
      <c r="NHD1" s="46" t="s">
        <v>9691</v>
      </c>
      <c r="NHE1" s="46" t="s">
        <v>9692</v>
      </c>
      <c r="NHF1" s="46" t="s">
        <v>9693</v>
      </c>
      <c r="NHG1" s="46" t="s">
        <v>9694</v>
      </c>
      <c r="NHH1" s="46" t="s">
        <v>9695</v>
      </c>
      <c r="NHI1" s="46" t="s">
        <v>9696</v>
      </c>
      <c r="NHJ1" s="46" t="s">
        <v>9697</v>
      </c>
      <c r="NHK1" s="46" t="s">
        <v>9698</v>
      </c>
      <c r="NHL1" s="46" t="s">
        <v>9699</v>
      </c>
      <c r="NHM1" s="46" t="s">
        <v>9700</v>
      </c>
      <c r="NHN1" s="46" t="s">
        <v>9701</v>
      </c>
      <c r="NHO1" s="46" t="s">
        <v>9702</v>
      </c>
      <c r="NHP1" s="46" t="s">
        <v>9703</v>
      </c>
      <c r="NHQ1" s="46" t="s">
        <v>9704</v>
      </c>
      <c r="NHR1" s="46" t="s">
        <v>9705</v>
      </c>
      <c r="NHS1" s="46" t="s">
        <v>9706</v>
      </c>
      <c r="NHT1" s="46" t="s">
        <v>9707</v>
      </c>
      <c r="NHU1" s="46" t="s">
        <v>9708</v>
      </c>
      <c r="NHV1" s="46" t="s">
        <v>9709</v>
      </c>
      <c r="NHW1" s="46" t="s">
        <v>9710</v>
      </c>
      <c r="NHX1" s="46" t="s">
        <v>9711</v>
      </c>
      <c r="NHY1" s="46" t="s">
        <v>9712</v>
      </c>
      <c r="NHZ1" s="46" t="s">
        <v>9713</v>
      </c>
      <c r="NIA1" s="46" t="s">
        <v>9714</v>
      </c>
      <c r="NIB1" s="46" t="s">
        <v>9715</v>
      </c>
      <c r="NIC1" s="46" t="s">
        <v>9716</v>
      </c>
      <c r="NID1" s="46" t="s">
        <v>9717</v>
      </c>
      <c r="NIE1" s="46" t="s">
        <v>9718</v>
      </c>
      <c r="NIF1" s="46" t="s">
        <v>9719</v>
      </c>
      <c r="NIG1" s="46" t="s">
        <v>9720</v>
      </c>
      <c r="NIH1" s="46" t="s">
        <v>9721</v>
      </c>
      <c r="NII1" s="46" t="s">
        <v>9722</v>
      </c>
      <c r="NIJ1" s="46" t="s">
        <v>9723</v>
      </c>
      <c r="NIK1" s="46" t="s">
        <v>9724</v>
      </c>
      <c r="NIL1" s="46" t="s">
        <v>9725</v>
      </c>
      <c r="NIM1" s="46" t="s">
        <v>9726</v>
      </c>
      <c r="NIN1" s="46" t="s">
        <v>9727</v>
      </c>
      <c r="NIO1" s="46" t="s">
        <v>9728</v>
      </c>
      <c r="NIP1" s="46" t="s">
        <v>9729</v>
      </c>
      <c r="NIQ1" s="46" t="s">
        <v>9730</v>
      </c>
      <c r="NIR1" s="46" t="s">
        <v>9731</v>
      </c>
      <c r="NIS1" s="46" t="s">
        <v>9732</v>
      </c>
      <c r="NIT1" s="46" t="s">
        <v>9733</v>
      </c>
      <c r="NIU1" s="46" t="s">
        <v>9734</v>
      </c>
      <c r="NIV1" s="46" t="s">
        <v>9735</v>
      </c>
      <c r="NIW1" s="46" t="s">
        <v>9736</v>
      </c>
      <c r="NIX1" s="46" t="s">
        <v>9737</v>
      </c>
      <c r="NIY1" s="46" t="s">
        <v>9738</v>
      </c>
      <c r="NIZ1" s="46" t="s">
        <v>9739</v>
      </c>
      <c r="NJA1" s="46" t="s">
        <v>9740</v>
      </c>
      <c r="NJB1" s="46" t="s">
        <v>9741</v>
      </c>
      <c r="NJC1" s="46" t="s">
        <v>9742</v>
      </c>
      <c r="NJD1" s="46" t="s">
        <v>9743</v>
      </c>
      <c r="NJE1" s="46" t="s">
        <v>9744</v>
      </c>
      <c r="NJF1" s="46" t="s">
        <v>9745</v>
      </c>
      <c r="NJG1" s="46" t="s">
        <v>9746</v>
      </c>
      <c r="NJH1" s="46" t="s">
        <v>9747</v>
      </c>
      <c r="NJI1" s="46" t="s">
        <v>9748</v>
      </c>
      <c r="NJJ1" s="46" t="s">
        <v>9749</v>
      </c>
      <c r="NJK1" s="46" t="s">
        <v>9750</v>
      </c>
      <c r="NJL1" s="46" t="s">
        <v>9751</v>
      </c>
      <c r="NJM1" s="46" t="s">
        <v>9752</v>
      </c>
      <c r="NJN1" s="46" t="s">
        <v>9753</v>
      </c>
      <c r="NJO1" s="46" t="s">
        <v>9754</v>
      </c>
      <c r="NJP1" s="46" t="s">
        <v>9755</v>
      </c>
      <c r="NJQ1" s="46" t="s">
        <v>9756</v>
      </c>
      <c r="NJR1" s="46" t="s">
        <v>9757</v>
      </c>
      <c r="NJS1" s="46" t="s">
        <v>9758</v>
      </c>
      <c r="NJT1" s="46" t="s">
        <v>9759</v>
      </c>
      <c r="NJU1" s="46" t="s">
        <v>9760</v>
      </c>
      <c r="NJV1" s="46" t="s">
        <v>9761</v>
      </c>
      <c r="NJW1" s="46" t="s">
        <v>9762</v>
      </c>
      <c r="NJX1" s="46" t="s">
        <v>9763</v>
      </c>
      <c r="NJY1" s="46" t="s">
        <v>9764</v>
      </c>
      <c r="NJZ1" s="46" t="s">
        <v>9765</v>
      </c>
      <c r="NKA1" s="46" t="s">
        <v>9766</v>
      </c>
      <c r="NKB1" s="46" t="s">
        <v>9767</v>
      </c>
      <c r="NKC1" s="46" t="s">
        <v>9768</v>
      </c>
      <c r="NKD1" s="46" t="s">
        <v>9769</v>
      </c>
      <c r="NKE1" s="46" t="s">
        <v>9770</v>
      </c>
      <c r="NKF1" s="46" t="s">
        <v>9771</v>
      </c>
      <c r="NKG1" s="46" t="s">
        <v>9772</v>
      </c>
      <c r="NKH1" s="46" t="s">
        <v>9773</v>
      </c>
      <c r="NKI1" s="46" t="s">
        <v>9774</v>
      </c>
      <c r="NKJ1" s="46" t="s">
        <v>9775</v>
      </c>
      <c r="NKK1" s="46" t="s">
        <v>9776</v>
      </c>
      <c r="NKL1" s="46" t="s">
        <v>9777</v>
      </c>
      <c r="NKM1" s="46" t="s">
        <v>9778</v>
      </c>
      <c r="NKN1" s="46" t="s">
        <v>9779</v>
      </c>
      <c r="NKO1" s="46" t="s">
        <v>9780</v>
      </c>
      <c r="NKP1" s="46" t="s">
        <v>9781</v>
      </c>
      <c r="NKQ1" s="46" t="s">
        <v>9782</v>
      </c>
      <c r="NKR1" s="46" t="s">
        <v>9783</v>
      </c>
      <c r="NKS1" s="46" t="s">
        <v>9784</v>
      </c>
      <c r="NKT1" s="46" t="s">
        <v>9785</v>
      </c>
      <c r="NKU1" s="46" t="s">
        <v>9786</v>
      </c>
      <c r="NKV1" s="46" t="s">
        <v>9787</v>
      </c>
      <c r="NKW1" s="46" t="s">
        <v>9788</v>
      </c>
      <c r="NKX1" s="46" t="s">
        <v>9789</v>
      </c>
      <c r="NKY1" s="46" t="s">
        <v>9790</v>
      </c>
      <c r="NKZ1" s="46" t="s">
        <v>9791</v>
      </c>
      <c r="NLA1" s="46" t="s">
        <v>9792</v>
      </c>
      <c r="NLB1" s="46" t="s">
        <v>9793</v>
      </c>
      <c r="NLC1" s="46" t="s">
        <v>9794</v>
      </c>
      <c r="NLD1" s="46" t="s">
        <v>9795</v>
      </c>
      <c r="NLE1" s="46" t="s">
        <v>9796</v>
      </c>
      <c r="NLF1" s="46" t="s">
        <v>9797</v>
      </c>
      <c r="NLG1" s="46" t="s">
        <v>9798</v>
      </c>
      <c r="NLH1" s="46" t="s">
        <v>9799</v>
      </c>
      <c r="NLI1" s="46" t="s">
        <v>9800</v>
      </c>
      <c r="NLJ1" s="46" t="s">
        <v>9801</v>
      </c>
      <c r="NLK1" s="46" t="s">
        <v>9802</v>
      </c>
      <c r="NLL1" s="46" t="s">
        <v>9803</v>
      </c>
      <c r="NLM1" s="46" t="s">
        <v>9804</v>
      </c>
      <c r="NLN1" s="46" t="s">
        <v>9805</v>
      </c>
      <c r="NLO1" s="46" t="s">
        <v>9806</v>
      </c>
      <c r="NLP1" s="46" t="s">
        <v>9807</v>
      </c>
      <c r="NLQ1" s="46" t="s">
        <v>9808</v>
      </c>
      <c r="NLR1" s="46" t="s">
        <v>9809</v>
      </c>
      <c r="NLS1" s="46" t="s">
        <v>9810</v>
      </c>
      <c r="NLT1" s="46" t="s">
        <v>9811</v>
      </c>
      <c r="NLU1" s="46" t="s">
        <v>9812</v>
      </c>
      <c r="NLV1" s="46" t="s">
        <v>9813</v>
      </c>
      <c r="NLW1" s="46" t="s">
        <v>9814</v>
      </c>
      <c r="NLX1" s="46" t="s">
        <v>9815</v>
      </c>
      <c r="NLY1" s="46" t="s">
        <v>9816</v>
      </c>
      <c r="NLZ1" s="46" t="s">
        <v>9817</v>
      </c>
      <c r="NMA1" s="46" t="s">
        <v>9818</v>
      </c>
      <c r="NMB1" s="46" t="s">
        <v>9819</v>
      </c>
      <c r="NMC1" s="46" t="s">
        <v>9820</v>
      </c>
      <c r="NMD1" s="46" t="s">
        <v>9821</v>
      </c>
      <c r="NME1" s="46" t="s">
        <v>9822</v>
      </c>
      <c r="NMF1" s="46" t="s">
        <v>9823</v>
      </c>
      <c r="NMG1" s="46" t="s">
        <v>9824</v>
      </c>
      <c r="NMH1" s="46" t="s">
        <v>9825</v>
      </c>
      <c r="NMI1" s="46" t="s">
        <v>9826</v>
      </c>
      <c r="NMJ1" s="46" t="s">
        <v>9827</v>
      </c>
      <c r="NMK1" s="46" t="s">
        <v>9828</v>
      </c>
      <c r="NML1" s="46" t="s">
        <v>9829</v>
      </c>
      <c r="NMM1" s="46" t="s">
        <v>9830</v>
      </c>
      <c r="NMN1" s="46" t="s">
        <v>9831</v>
      </c>
      <c r="NMO1" s="46" t="s">
        <v>9832</v>
      </c>
      <c r="NMP1" s="46" t="s">
        <v>9833</v>
      </c>
      <c r="NMQ1" s="46" t="s">
        <v>9834</v>
      </c>
      <c r="NMR1" s="46" t="s">
        <v>9835</v>
      </c>
      <c r="NMS1" s="46" t="s">
        <v>9836</v>
      </c>
      <c r="NMT1" s="46" t="s">
        <v>9837</v>
      </c>
      <c r="NMU1" s="46" t="s">
        <v>9838</v>
      </c>
      <c r="NMV1" s="46" t="s">
        <v>9839</v>
      </c>
      <c r="NMW1" s="46" t="s">
        <v>9840</v>
      </c>
      <c r="NMX1" s="46" t="s">
        <v>9841</v>
      </c>
      <c r="NMY1" s="46" t="s">
        <v>9842</v>
      </c>
      <c r="NMZ1" s="46" t="s">
        <v>9843</v>
      </c>
      <c r="NNA1" s="46" t="s">
        <v>9844</v>
      </c>
      <c r="NNB1" s="46" t="s">
        <v>9845</v>
      </c>
      <c r="NNC1" s="46" t="s">
        <v>9846</v>
      </c>
      <c r="NND1" s="46" t="s">
        <v>9847</v>
      </c>
      <c r="NNE1" s="46" t="s">
        <v>9848</v>
      </c>
      <c r="NNF1" s="46" t="s">
        <v>9849</v>
      </c>
      <c r="NNG1" s="46" t="s">
        <v>9850</v>
      </c>
      <c r="NNH1" s="46" t="s">
        <v>9851</v>
      </c>
      <c r="NNI1" s="46" t="s">
        <v>9852</v>
      </c>
      <c r="NNJ1" s="46" t="s">
        <v>9853</v>
      </c>
      <c r="NNK1" s="46" t="s">
        <v>9854</v>
      </c>
      <c r="NNL1" s="46" t="s">
        <v>9855</v>
      </c>
      <c r="NNM1" s="46" t="s">
        <v>9856</v>
      </c>
      <c r="NNN1" s="46" t="s">
        <v>9857</v>
      </c>
      <c r="NNO1" s="46" t="s">
        <v>9858</v>
      </c>
      <c r="NNP1" s="46" t="s">
        <v>9859</v>
      </c>
      <c r="NNQ1" s="46" t="s">
        <v>9860</v>
      </c>
      <c r="NNR1" s="46" t="s">
        <v>9861</v>
      </c>
      <c r="NNS1" s="46" t="s">
        <v>9862</v>
      </c>
      <c r="NNT1" s="46" t="s">
        <v>9863</v>
      </c>
      <c r="NNU1" s="46" t="s">
        <v>9864</v>
      </c>
      <c r="NNV1" s="46" t="s">
        <v>9865</v>
      </c>
      <c r="NNW1" s="46" t="s">
        <v>9866</v>
      </c>
      <c r="NNX1" s="46" t="s">
        <v>9867</v>
      </c>
      <c r="NNY1" s="46" t="s">
        <v>9868</v>
      </c>
      <c r="NNZ1" s="46" t="s">
        <v>9869</v>
      </c>
      <c r="NOA1" s="46" t="s">
        <v>9870</v>
      </c>
      <c r="NOB1" s="46" t="s">
        <v>9871</v>
      </c>
      <c r="NOC1" s="46" t="s">
        <v>9872</v>
      </c>
      <c r="NOD1" s="46" t="s">
        <v>9873</v>
      </c>
      <c r="NOE1" s="46" t="s">
        <v>9874</v>
      </c>
      <c r="NOF1" s="46" t="s">
        <v>9875</v>
      </c>
      <c r="NOG1" s="46" t="s">
        <v>9876</v>
      </c>
      <c r="NOH1" s="46" t="s">
        <v>9877</v>
      </c>
      <c r="NOI1" s="46" t="s">
        <v>9878</v>
      </c>
      <c r="NOJ1" s="46" t="s">
        <v>9879</v>
      </c>
      <c r="NOK1" s="46" t="s">
        <v>9880</v>
      </c>
      <c r="NOL1" s="46" t="s">
        <v>9881</v>
      </c>
      <c r="NOM1" s="46" t="s">
        <v>9882</v>
      </c>
      <c r="NON1" s="46" t="s">
        <v>9883</v>
      </c>
      <c r="NOO1" s="46" t="s">
        <v>9884</v>
      </c>
      <c r="NOP1" s="46" t="s">
        <v>9885</v>
      </c>
      <c r="NOQ1" s="46" t="s">
        <v>9886</v>
      </c>
      <c r="NOR1" s="46" t="s">
        <v>9887</v>
      </c>
      <c r="NOS1" s="46" t="s">
        <v>9888</v>
      </c>
      <c r="NOT1" s="46" t="s">
        <v>9889</v>
      </c>
      <c r="NOU1" s="46" t="s">
        <v>9890</v>
      </c>
      <c r="NOV1" s="46" t="s">
        <v>9891</v>
      </c>
      <c r="NOW1" s="46" t="s">
        <v>9892</v>
      </c>
      <c r="NOX1" s="46" t="s">
        <v>9893</v>
      </c>
      <c r="NOY1" s="46" t="s">
        <v>9894</v>
      </c>
      <c r="NOZ1" s="46" t="s">
        <v>9895</v>
      </c>
      <c r="NPA1" s="46" t="s">
        <v>9896</v>
      </c>
      <c r="NPB1" s="46" t="s">
        <v>9897</v>
      </c>
      <c r="NPC1" s="46" t="s">
        <v>9898</v>
      </c>
      <c r="NPD1" s="46" t="s">
        <v>9899</v>
      </c>
      <c r="NPE1" s="46" t="s">
        <v>9900</v>
      </c>
      <c r="NPF1" s="46" t="s">
        <v>9901</v>
      </c>
      <c r="NPG1" s="46" t="s">
        <v>9902</v>
      </c>
      <c r="NPH1" s="46" t="s">
        <v>9903</v>
      </c>
      <c r="NPI1" s="46" t="s">
        <v>9904</v>
      </c>
      <c r="NPJ1" s="46" t="s">
        <v>9905</v>
      </c>
      <c r="NPK1" s="46" t="s">
        <v>9906</v>
      </c>
      <c r="NPL1" s="46" t="s">
        <v>9907</v>
      </c>
      <c r="NPM1" s="46" t="s">
        <v>9908</v>
      </c>
      <c r="NPN1" s="46" t="s">
        <v>9909</v>
      </c>
      <c r="NPO1" s="46" t="s">
        <v>9910</v>
      </c>
      <c r="NPP1" s="46" t="s">
        <v>9911</v>
      </c>
      <c r="NPQ1" s="46" t="s">
        <v>9912</v>
      </c>
      <c r="NPR1" s="46" t="s">
        <v>9913</v>
      </c>
      <c r="NPS1" s="46" t="s">
        <v>9914</v>
      </c>
      <c r="NPT1" s="46" t="s">
        <v>9915</v>
      </c>
      <c r="NPU1" s="46" t="s">
        <v>9916</v>
      </c>
      <c r="NPV1" s="46" t="s">
        <v>9917</v>
      </c>
      <c r="NPW1" s="46" t="s">
        <v>9918</v>
      </c>
      <c r="NPX1" s="46" t="s">
        <v>9919</v>
      </c>
      <c r="NPY1" s="46" t="s">
        <v>9920</v>
      </c>
      <c r="NPZ1" s="46" t="s">
        <v>9921</v>
      </c>
      <c r="NQA1" s="46" t="s">
        <v>9922</v>
      </c>
      <c r="NQB1" s="46" t="s">
        <v>9923</v>
      </c>
      <c r="NQC1" s="46" t="s">
        <v>9924</v>
      </c>
      <c r="NQD1" s="46" t="s">
        <v>9925</v>
      </c>
      <c r="NQE1" s="46" t="s">
        <v>9926</v>
      </c>
      <c r="NQF1" s="46" t="s">
        <v>9927</v>
      </c>
      <c r="NQG1" s="46" t="s">
        <v>9928</v>
      </c>
      <c r="NQH1" s="46" t="s">
        <v>9929</v>
      </c>
      <c r="NQI1" s="46" t="s">
        <v>9930</v>
      </c>
      <c r="NQJ1" s="46" t="s">
        <v>9931</v>
      </c>
      <c r="NQK1" s="46" t="s">
        <v>9932</v>
      </c>
      <c r="NQL1" s="46" t="s">
        <v>9933</v>
      </c>
      <c r="NQM1" s="46" t="s">
        <v>9934</v>
      </c>
      <c r="NQN1" s="46" t="s">
        <v>9935</v>
      </c>
      <c r="NQO1" s="46" t="s">
        <v>9936</v>
      </c>
      <c r="NQP1" s="46" t="s">
        <v>9937</v>
      </c>
      <c r="NQQ1" s="46" t="s">
        <v>9938</v>
      </c>
      <c r="NQR1" s="46" t="s">
        <v>9939</v>
      </c>
      <c r="NQS1" s="46" t="s">
        <v>9940</v>
      </c>
      <c r="NQT1" s="46" t="s">
        <v>9941</v>
      </c>
      <c r="NQU1" s="46" t="s">
        <v>9942</v>
      </c>
      <c r="NQV1" s="46" t="s">
        <v>9943</v>
      </c>
      <c r="NQW1" s="46" t="s">
        <v>9944</v>
      </c>
      <c r="NQX1" s="46" t="s">
        <v>9945</v>
      </c>
      <c r="NQY1" s="46" t="s">
        <v>9946</v>
      </c>
      <c r="NQZ1" s="46" t="s">
        <v>9947</v>
      </c>
      <c r="NRA1" s="46" t="s">
        <v>9948</v>
      </c>
      <c r="NRB1" s="46" t="s">
        <v>9949</v>
      </c>
      <c r="NRC1" s="46" t="s">
        <v>9950</v>
      </c>
      <c r="NRD1" s="46" t="s">
        <v>9951</v>
      </c>
      <c r="NRE1" s="46" t="s">
        <v>9952</v>
      </c>
      <c r="NRF1" s="46" t="s">
        <v>9953</v>
      </c>
      <c r="NRG1" s="46" t="s">
        <v>9954</v>
      </c>
      <c r="NRH1" s="46" t="s">
        <v>9955</v>
      </c>
      <c r="NRI1" s="46" t="s">
        <v>9956</v>
      </c>
      <c r="NRJ1" s="46" t="s">
        <v>9957</v>
      </c>
      <c r="NRK1" s="46" t="s">
        <v>9958</v>
      </c>
      <c r="NRL1" s="46" t="s">
        <v>9959</v>
      </c>
      <c r="NRM1" s="46" t="s">
        <v>9960</v>
      </c>
      <c r="NRN1" s="46" t="s">
        <v>9961</v>
      </c>
      <c r="NRO1" s="46" t="s">
        <v>9962</v>
      </c>
      <c r="NRP1" s="46" t="s">
        <v>9963</v>
      </c>
      <c r="NRQ1" s="46" t="s">
        <v>9964</v>
      </c>
      <c r="NRR1" s="46" t="s">
        <v>9965</v>
      </c>
      <c r="NRS1" s="46" t="s">
        <v>9966</v>
      </c>
      <c r="NRT1" s="46" t="s">
        <v>9967</v>
      </c>
      <c r="NRU1" s="46" t="s">
        <v>9968</v>
      </c>
      <c r="NRV1" s="46" t="s">
        <v>9969</v>
      </c>
      <c r="NRW1" s="46" t="s">
        <v>9970</v>
      </c>
      <c r="NRX1" s="46" t="s">
        <v>9971</v>
      </c>
      <c r="NRY1" s="46" t="s">
        <v>9972</v>
      </c>
      <c r="NRZ1" s="46" t="s">
        <v>9973</v>
      </c>
      <c r="NSA1" s="46" t="s">
        <v>9974</v>
      </c>
      <c r="NSB1" s="46" t="s">
        <v>9975</v>
      </c>
      <c r="NSC1" s="46" t="s">
        <v>9976</v>
      </c>
      <c r="NSD1" s="46" t="s">
        <v>9977</v>
      </c>
      <c r="NSE1" s="46" t="s">
        <v>9978</v>
      </c>
      <c r="NSF1" s="46" t="s">
        <v>9979</v>
      </c>
      <c r="NSG1" s="46" t="s">
        <v>9980</v>
      </c>
      <c r="NSH1" s="46" t="s">
        <v>9981</v>
      </c>
      <c r="NSI1" s="46" t="s">
        <v>9982</v>
      </c>
      <c r="NSJ1" s="46" t="s">
        <v>9983</v>
      </c>
      <c r="NSK1" s="46" t="s">
        <v>9984</v>
      </c>
      <c r="NSL1" s="46" t="s">
        <v>9985</v>
      </c>
      <c r="NSM1" s="46" t="s">
        <v>9986</v>
      </c>
      <c r="NSN1" s="46" t="s">
        <v>9987</v>
      </c>
      <c r="NSO1" s="46" t="s">
        <v>9988</v>
      </c>
      <c r="NSP1" s="46" t="s">
        <v>9989</v>
      </c>
      <c r="NSQ1" s="46" t="s">
        <v>9990</v>
      </c>
      <c r="NSR1" s="46" t="s">
        <v>9991</v>
      </c>
      <c r="NSS1" s="46" t="s">
        <v>9992</v>
      </c>
      <c r="NST1" s="46" t="s">
        <v>9993</v>
      </c>
      <c r="NSU1" s="46" t="s">
        <v>9994</v>
      </c>
      <c r="NSV1" s="46" t="s">
        <v>9995</v>
      </c>
      <c r="NSW1" s="46" t="s">
        <v>9996</v>
      </c>
      <c r="NSX1" s="46" t="s">
        <v>9997</v>
      </c>
      <c r="NSY1" s="46" t="s">
        <v>9998</v>
      </c>
      <c r="NSZ1" s="46" t="s">
        <v>9999</v>
      </c>
      <c r="NTA1" s="46" t="s">
        <v>10000</v>
      </c>
      <c r="NTB1" s="46" t="s">
        <v>10001</v>
      </c>
      <c r="NTC1" s="46" t="s">
        <v>10002</v>
      </c>
      <c r="NTD1" s="46" t="s">
        <v>10003</v>
      </c>
      <c r="NTE1" s="46" t="s">
        <v>10004</v>
      </c>
      <c r="NTF1" s="46" t="s">
        <v>10005</v>
      </c>
      <c r="NTG1" s="46" t="s">
        <v>10006</v>
      </c>
      <c r="NTH1" s="46" t="s">
        <v>10007</v>
      </c>
      <c r="NTI1" s="46" t="s">
        <v>10008</v>
      </c>
      <c r="NTJ1" s="46" t="s">
        <v>10009</v>
      </c>
      <c r="NTK1" s="46" t="s">
        <v>10010</v>
      </c>
      <c r="NTL1" s="46" t="s">
        <v>10011</v>
      </c>
      <c r="NTM1" s="46" t="s">
        <v>10012</v>
      </c>
      <c r="NTN1" s="46" t="s">
        <v>10013</v>
      </c>
      <c r="NTO1" s="46" t="s">
        <v>10014</v>
      </c>
      <c r="NTP1" s="46" t="s">
        <v>10015</v>
      </c>
      <c r="NTQ1" s="46" t="s">
        <v>10016</v>
      </c>
      <c r="NTR1" s="46" t="s">
        <v>10017</v>
      </c>
      <c r="NTS1" s="46" t="s">
        <v>10018</v>
      </c>
      <c r="NTT1" s="46" t="s">
        <v>10019</v>
      </c>
      <c r="NTU1" s="46" t="s">
        <v>10020</v>
      </c>
      <c r="NTV1" s="46" t="s">
        <v>10021</v>
      </c>
      <c r="NTW1" s="46" t="s">
        <v>10022</v>
      </c>
      <c r="NTX1" s="46" t="s">
        <v>10023</v>
      </c>
      <c r="NTY1" s="46" t="s">
        <v>10024</v>
      </c>
      <c r="NTZ1" s="46" t="s">
        <v>10025</v>
      </c>
      <c r="NUA1" s="46" t="s">
        <v>10026</v>
      </c>
      <c r="NUB1" s="46" t="s">
        <v>10027</v>
      </c>
      <c r="NUC1" s="46" t="s">
        <v>10028</v>
      </c>
      <c r="NUD1" s="46" t="s">
        <v>10029</v>
      </c>
      <c r="NUE1" s="46" t="s">
        <v>10030</v>
      </c>
      <c r="NUF1" s="46" t="s">
        <v>10031</v>
      </c>
      <c r="NUG1" s="46" t="s">
        <v>10032</v>
      </c>
      <c r="NUH1" s="46" t="s">
        <v>10033</v>
      </c>
      <c r="NUI1" s="46" t="s">
        <v>10034</v>
      </c>
      <c r="NUJ1" s="46" t="s">
        <v>10035</v>
      </c>
      <c r="NUK1" s="46" t="s">
        <v>10036</v>
      </c>
      <c r="NUL1" s="46" t="s">
        <v>10037</v>
      </c>
      <c r="NUM1" s="46" t="s">
        <v>10038</v>
      </c>
      <c r="NUN1" s="46" t="s">
        <v>10039</v>
      </c>
      <c r="NUO1" s="46" t="s">
        <v>10040</v>
      </c>
      <c r="NUP1" s="46" t="s">
        <v>10041</v>
      </c>
      <c r="NUQ1" s="46" t="s">
        <v>10042</v>
      </c>
      <c r="NUR1" s="46" t="s">
        <v>10043</v>
      </c>
      <c r="NUS1" s="46" t="s">
        <v>10044</v>
      </c>
      <c r="NUT1" s="46" t="s">
        <v>10045</v>
      </c>
      <c r="NUU1" s="46" t="s">
        <v>10046</v>
      </c>
      <c r="NUV1" s="46" t="s">
        <v>10047</v>
      </c>
      <c r="NUW1" s="46" t="s">
        <v>10048</v>
      </c>
      <c r="NUX1" s="46" t="s">
        <v>10049</v>
      </c>
      <c r="NUY1" s="46" t="s">
        <v>10050</v>
      </c>
      <c r="NUZ1" s="46" t="s">
        <v>10051</v>
      </c>
      <c r="NVA1" s="46" t="s">
        <v>10052</v>
      </c>
      <c r="NVB1" s="46" t="s">
        <v>10053</v>
      </c>
      <c r="NVC1" s="46" t="s">
        <v>10054</v>
      </c>
      <c r="NVD1" s="46" t="s">
        <v>10055</v>
      </c>
      <c r="NVE1" s="46" t="s">
        <v>10056</v>
      </c>
      <c r="NVF1" s="46" t="s">
        <v>10057</v>
      </c>
      <c r="NVG1" s="46" t="s">
        <v>10058</v>
      </c>
      <c r="NVH1" s="46" t="s">
        <v>10059</v>
      </c>
      <c r="NVI1" s="46" t="s">
        <v>10060</v>
      </c>
      <c r="NVJ1" s="46" t="s">
        <v>10061</v>
      </c>
      <c r="NVK1" s="46" t="s">
        <v>10062</v>
      </c>
      <c r="NVL1" s="46" t="s">
        <v>10063</v>
      </c>
      <c r="NVM1" s="46" t="s">
        <v>10064</v>
      </c>
      <c r="NVN1" s="46" t="s">
        <v>10065</v>
      </c>
      <c r="NVO1" s="46" t="s">
        <v>10066</v>
      </c>
      <c r="NVP1" s="46" t="s">
        <v>10067</v>
      </c>
      <c r="NVQ1" s="46" t="s">
        <v>10068</v>
      </c>
      <c r="NVR1" s="46" t="s">
        <v>10069</v>
      </c>
      <c r="NVS1" s="46" t="s">
        <v>10070</v>
      </c>
      <c r="NVT1" s="46" t="s">
        <v>10071</v>
      </c>
      <c r="NVU1" s="46" t="s">
        <v>10072</v>
      </c>
      <c r="NVV1" s="46" t="s">
        <v>10073</v>
      </c>
      <c r="NVW1" s="46" t="s">
        <v>10074</v>
      </c>
      <c r="NVX1" s="46" t="s">
        <v>10075</v>
      </c>
      <c r="NVY1" s="46" t="s">
        <v>10076</v>
      </c>
      <c r="NVZ1" s="46" t="s">
        <v>10077</v>
      </c>
      <c r="NWA1" s="46" t="s">
        <v>10078</v>
      </c>
      <c r="NWB1" s="46" t="s">
        <v>10079</v>
      </c>
      <c r="NWC1" s="46" t="s">
        <v>10080</v>
      </c>
      <c r="NWD1" s="46" t="s">
        <v>10081</v>
      </c>
      <c r="NWE1" s="46" t="s">
        <v>10082</v>
      </c>
      <c r="NWF1" s="46" t="s">
        <v>10083</v>
      </c>
      <c r="NWG1" s="46" t="s">
        <v>10084</v>
      </c>
      <c r="NWH1" s="46" t="s">
        <v>10085</v>
      </c>
      <c r="NWI1" s="46" t="s">
        <v>10086</v>
      </c>
      <c r="NWJ1" s="46" t="s">
        <v>10087</v>
      </c>
      <c r="NWK1" s="46" t="s">
        <v>10088</v>
      </c>
      <c r="NWL1" s="46" t="s">
        <v>10089</v>
      </c>
      <c r="NWM1" s="46" t="s">
        <v>10090</v>
      </c>
      <c r="NWN1" s="46" t="s">
        <v>10091</v>
      </c>
      <c r="NWO1" s="46" t="s">
        <v>10092</v>
      </c>
      <c r="NWP1" s="46" t="s">
        <v>10093</v>
      </c>
      <c r="NWQ1" s="46" t="s">
        <v>10094</v>
      </c>
      <c r="NWR1" s="46" t="s">
        <v>10095</v>
      </c>
      <c r="NWS1" s="46" t="s">
        <v>10096</v>
      </c>
      <c r="NWT1" s="46" t="s">
        <v>10097</v>
      </c>
      <c r="NWU1" s="46" t="s">
        <v>10098</v>
      </c>
      <c r="NWV1" s="46" t="s">
        <v>10099</v>
      </c>
      <c r="NWW1" s="46" t="s">
        <v>10100</v>
      </c>
      <c r="NWX1" s="46" t="s">
        <v>10101</v>
      </c>
      <c r="NWY1" s="46" t="s">
        <v>10102</v>
      </c>
      <c r="NWZ1" s="46" t="s">
        <v>10103</v>
      </c>
      <c r="NXA1" s="46" t="s">
        <v>10104</v>
      </c>
      <c r="NXB1" s="46" t="s">
        <v>10105</v>
      </c>
      <c r="NXC1" s="46" t="s">
        <v>10106</v>
      </c>
      <c r="NXD1" s="46" t="s">
        <v>10107</v>
      </c>
      <c r="NXE1" s="46" t="s">
        <v>10108</v>
      </c>
      <c r="NXF1" s="46" t="s">
        <v>10109</v>
      </c>
      <c r="NXG1" s="46" t="s">
        <v>10110</v>
      </c>
      <c r="NXH1" s="46" t="s">
        <v>10111</v>
      </c>
      <c r="NXI1" s="46" t="s">
        <v>10112</v>
      </c>
      <c r="NXJ1" s="46" t="s">
        <v>10113</v>
      </c>
      <c r="NXK1" s="46" t="s">
        <v>10114</v>
      </c>
      <c r="NXL1" s="46" t="s">
        <v>10115</v>
      </c>
      <c r="NXM1" s="46" t="s">
        <v>10116</v>
      </c>
      <c r="NXN1" s="46" t="s">
        <v>10117</v>
      </c>
      <c r="NXO1" s="46" t="s">
        <v>10118</v>
      </c>
      <c r="NXP1" s="46" t="s">
        <v>10119</v>
      </c>
      <c r="NXQ1" s="46" t="s">
        <v>10120</v>
      </c>
      <c r="NXR1" s="46" t="s">
        <v>10121</v>
      </c>
      <c r="NXS1" s="46" t="s">
        <v>10122</v>
      </c>
      <c r="NXT1" s="46" t="s">
        <v>10123</v>
      </c>
      <c r="NXU1" s="46" t="s">
        <v>10124</v>
      </c>
      <c r="NXV1" s="46" t="s">
        <v>10125</v>
      </c>
      <c r="NXW1" s="46" t="s">
        <v>10126</v>
      </c>
      <c r="NXX1" s="46" t="s">
        <v>10127</v>
      </c>
      <c r="NXY1" s="46" t="s">
        <v>10128</v>
      </c>
      <c r="NXZ1" s="46" t="s">
        <v>10129</v>
      </c>
      <c r="NYA1" s="46" t="s">
        <v>10130</v>
      </c>
      <c r="NYB1" s="46" t="s">
        <v>10131</v>
      </c>
      <c r="NYC1" s="46" t="s">
        <v>10132</v>
      </c>
      <c r="NYD1" s="46" t="s">
        <v>10133</v>
      </c>
      <c r="NYE1" s="46" t="s">
        <v>10134</v>
      </c>
      <c r="NYF1" s="46" t="s">
        <v>10135</v>
      </c>
      <c r="NYG1" s="46" t="s">
        <v>10136</v>
      </c>
      <c r="NYH1" s="46" t="s">
        <v>10137</v>
      </c>
      <c r="NYI1" s="46" t="s">
        <v>10138</v>
      </c>
      <c r="NYJ1" s="46" t="s">
        <v>10139</v>
      </c>
      <c r="NYK1" s="46" t="s">
        <v>10140</v>
      </c>
      <c r="NYL1" s="46" t="s">
        <v>10141</v>
      </c>
      <c r="NYM1" s="46" t="s">
        <v>10142</v>
      </c>
      <c r="NYN1" s="46" t="s">
        <v>10143</v>
      </c>
      <c r="NYO1" s="46" t="s">
        <v>10144</v>
      </c>
      <c r="NYP1" s="46" t="s">
        <v>10145</v>
      </c>
      <c r="NYQ1" s="46" t="s">
        <v>10146</v>
      </c>
      <c r="NYR1" s="46" t="s">
        <v>10147</v>
      </c>
      <c r="NYS1" s="46" t="s">
        <v>10148</v>
      </c>
      <c r="NYT1" s="46" t="s">
        <v>10149</v>
      </c>
      <c r="NYU1" s="46" t="s">
        <v>10150</v>
      </c>
      <c r="NYV1" s="46" t="s">
        <v>10151</v>
      </c>
      <c r="NYW1" s="46" t="s">
        <v>10152</v>
      </c>
      <c r="NYX1" s="46" t="s">
        <v>10153</v>
      </c>
      <c r="NYY1" s="46" t="s">
        <v>10154</v>
      </c>
      <c r="NYZ1" s="46" t="s">
        <v>10155</v>
      </c>
      <c r="NZA1" s="46" t="s">
        <v>10156</v>
      </c>
      <c r="NZB1" s="46" t="s">
        <v>10157</v>
      </c>
      <c r="NZC1" s="46" t="s">
        <v>10158</v>
      </c>
      <c r="NZD1" s="46" t="s">
        <v>10159</v>
      </c>
      <c r="NZE1" s="46" t="s">
        <v>10160</v>
      </c>
      <c r="NZF1" s="46" t="s">
        <v>10161</v>
      </c>
      <c r="NZG1" s="46" t="s">
        <v>10162</v>
      </c>
      <c r="NZH1" s="46" t="s">
        <v>10163</v>
      </c>
      <c r="NZI1" s="46" t="s">
        <v>10164</v>
      </c>
      <c r="NZJ1" s="46" t="s">
        <v>10165</v>
      </c>
      <c r="NZK1" s="46" t="s">
        <v>10166</v>
      </c>
      <c r="NZL1" s="46" t="s">
        <v>10167</v>
      </c>
      <c r="NZM1" s="46" t="s">
        <v>10168</v>
      </c>
      <c r="NZN1" s="46" t="s">
        <v>10169</v>
      </c>
      <c r="NZO1" s="46" t="s">
        <v>10170</v>
      </c>
      <c r="NZP1" s="46" t="s">
        <v>10171</v>
      </c>
      <c r="NZQ1" s="46" t="s">
        <v>10172</v>
      </c>
      <c r="NZR1" s="46" t="s">
        <v>10173</v>
      </c>
      <c r="NZS1" s="46" t="s">
        <v>10174</v>
      </c>
      <c r="NZT1" s="46" t="s">
        <v>10175</v>
      </c>
      <c r="NZU1" s="46" t="s">
        <v>10176</v>
      </c>
      <c r="NZV1" s="46" t="s">
        <v>10177</v>
      </c>
      <c r="NZW1" s="46" t="s">
        <v>10178</v>
      </c>
      <c r="NZX1" s="46" t="s">
        <v>10179</v>
      </c>
      <c r="NZY1" s="46" t="s">
        <v>10180</v>
      </c>
      <c r="NZZ1" s="46" t="s">
        <v>10181</v>
      </c>
      <c r="OAA1" s="46" t="s">
        <v>10182</v>
      </c>
      <c r="OAB1" s="46" t="s">
        <v>10183</v>
      </c>
      <c r="OAC1" s="46" t="s">
        <v>10184</v>
      </c>
      <c r="OAD1" s="46" t="s">
        <v>10185</v>
      </c>
      <c r="OAE1" s="46" t="s">
        <v>10186</v>
      </c>
      <c r="OAF1" s="46" t="s">
        <v>10187</v>
      </c>
      <c r="OAG1" s="46" t="s">
        <v>10188</v>
      </c>
      <c r="OAH1" s="46" t="s">
        <v>10189</v>
      </c>
      <c r="OAI1" s="46" t="s">
        <v>10190</v>
      </c>
      <c r="OAJ1" s="46" t="s">
        <v>10191</v>
      </c>
      <c r="OAK1" s="46" t="s">
        <v>10192</v>
      </c>
      <c r="OAL1" s="46" t="s">
        <v>10193</v>
      </c>
      <c r="OAM1" s="46" t="s">
        <v>10194</v>
      </c>
      <c r="OAN1" s="46" t="s">
        <v>10195</v>
      </c>
      <c r="OAO1" s="46" t="s">
        <v>10196</v>
      </c>
      <c r="OAP1" s="46" t="s">
        <v>10197</v>
      </c>
      <c r="OAQ1" s="46" t="s">
        <v>10198</v>
      </c>
      <c r="OAR1" s="46" t="s">
        <v>10199</v>
      </c>
      <c r="OAS1" s="46" t="s">
        <v>10200</v>
      </c>
      <c r="OAT1" s="46" t="s">
        <v>10201</v>
      </c>
      <c r="OAU1" s="46" t="s">
        <v>10202</v>
      </c>
      <c r="OAV1" s="46" t="s">
        <v>10203</v>
      </c>
      <c r="OAW1" s="46" t="s">
        <v>10204</v>
      </c>
      <c r="OAX1" s="46" t="s">
        <v>10205</v>
      </c>
      <c r="OAY1" s="46" t="s">
        <v>10206</v>
      </c>
      <c r="OAZ1" s="46" t="s">
        <v>10207</v>
      </c>
      <c r="OBA1" s="46" t="s">
        <v>10208</v>
      </c>
      <c r="OBB1" s="46" t="s">
        <v>10209</v>
      </c>
      <c r="OBC1" s="46" t="s">
        <v>10210</v>
      </c>
      <c r="OBD1" s="46" t="s">
        <v>10211</v>
      </c>
      <c r="OBE1" s="46" t="s">
        <v>10212</v>
      </c>
      <c r="OBF1" s="46" t="s">
        <v>10213</v>
      </c>
      <c r="OBG1" s="46" t="s">
        <v>10214</v>
      </c>
      <c r="OBH1" s="46" t="s">
        <v>10215</v>
      </c>
      <c r="OBI1" s="46" t="s">
        <v>10216</v>
      </c>
      <c r="OBJ1" s="46" t="s">
        <v>10217</v>
      </c>
      <c r="OBK1" s="46" t="s">
        <v>10218</v>
      </c>
      <c r="OBL1" s="46" t="s">
        <v>10219</v>
      </c>
      <c r="OBM1" s="46" t="s">
        <v>10220</v>
      </c>
      <c r="OBN1" s="46" t="s">
        <v>10221</v>
      </c>
      <c r="OBO1" s="46" t="s">
        <v>10222</v>
      </c>
      <c r="OBP1" s="46" t="s">
        <v>10223</v>
      </c>
      <c r="OBQ1" s="46" t="s">
        <v>10224</v>
      </c>
      <c r="OBR1" s="46" t="s">
        <v>10225</v>
      </c>
      <c r="OBS1" s="46" t="s">
        <v>10226</v>
      </c>
      <c r="OBT1" s="46" t="s">
        <v>10227</v>
      </c>
      <c r="OBU1" s="46" t="s">
        <v>10228</v>
      </c>
      <c r="OBV1" s="46" t="s">
        <v>10229</v>
      </c>
      <c r="OBW1" s="46" t="s">
        <v>10230</v>
      </c>
      <c r="OBX1" s="46" t="s">
        <v>10231</v>
      </c>
      <c r="OBY1" s="46" t="s">
        <v>10232</v>
      </c>
      <c r="OBZ1" s="46" t="s">
        <v>10233</v>
      </c>
      <c r="OCA1" s="46" t="s">
        <v>10234</v>
      </c>
      <c r="OCB1" s="46" t="s">
        <v>10235</v>
      </c>
      <c r="OCC1" s="46" t="s">
        <v>10236</v>
      </c>
      <c r="OCD1" s="46" t="s">
        <v>10237</v>
      </c>
      <c r="OCE1" s="46" t="s">
        <v>10238</v>
      </c>
      <c r="OCF1" s="46" t="s">
        <v>10239</v>
      </c>
      <c r="OCG1" s="46" t="s">
        <v>10240</v>
      </c>
      <c r="OCH1" s="46" t="s">
        <v>10241</v>
      </c>
      <c r="OCI1" s="46" t="s">
        <v>10242</v>
      </c>
      <c r="OCJ1" s="46" t="s">
        <v>10243</v>
      </c>
      <c r="OCK1" s="46" t="s">
        <v>10244</v>
      </c>
      <c r="OCL1" s="46" t="s">
        <v>10245</v>
      </c>
      <c r="OCM1" s="46" t="s">
        <v>10246</v>
      </c>
      <c r="OCN1" s="46" t="s">
        <v>10247</v>
      </c>
      <c r="OCO1" s="46" t="s">
        <v>10248</v>
      </c>
      <c r="OCP1" s="46" t="s">
        <v>10249</v>
      </c>
      <c r="OCQ1" s="46" t="s">
        <v>10250</v>
      </c>
      <c r="OCR1" s="46" t="s">
        <v>10251</v>
      </c>
      <c r="OCS1" s="46" t="s">
        <v>10252</v>
      </c>
      <c r="OCT1" s="46" t="s">
        <v>10253</v>
      </c>
      <c r="OCU1" s="46" t="s">
        <v>10254</v>
      </c>
      <c r="OCV1" s="46" t="s">
        <v>10255</v>
      </c>
      <c r="OCW1" s="46" t="s">
        <v>10256</v>
      </c>
      <c r="OCX1" s="46" t="s">
        <v>10257</v>
      </c>
      <c r="OCY1" s="46" t="s">
        <v>10258</v>
      </c>
      <c r="OCZ1" s="46" t="s">
        <v>10259</v>
      </c>
      <c r="ODA1" s="46" t="s">
        <v>10260</v>
      </c>
      <c r="ODB1" s="46" t="s">
        <v>10261</v>
      </c>
      <c r="ODC1" s="46" t="s">
        <v>10262</v>
      </c>
      <c r="ODD1" s="46" t="s">
        <v>10263</v>
      </c>
      <c r="ODE1" s="46" t="s">
        <v>10264</v>
      </c>
      <c r="ODF1" s="46" t="s">
        <v>10265</v>
      </c>
      <c r="ODG1" s="46" t="s">
        <v>10266</v>
      </c>
      <c r="ODH1" s="46" t="s">
        <v>10267</v>
      </c>
      <c r="ODI1" s="46" t="s">
        <v>10268</v>
      </c>
      <c r="ODJ1" s="46" t="s">
        <v>10269</v>
      </c>
      <c r="ODK1" s="46" t="s">
        <v>10270</v>
      </c>
      <c r="ODL1" s="46" t="s">
        <v>10271</v>
      </c>
      <c r="ODM1" s="46" t="s">
        <v>10272</v>
      </c>
      <c r="ODN1" s="46" t="s">
        <v>10273</v>
      </c>
      <c r="ODO1" s="46" t="s">
        <v>10274</v>
      </c>
      <c r="ODP1" s="46" t="s">
        <v>10275</v>
      </c>
      <c r="ODQ1" s="46" t="s">
        <v>10276</v>
      </c>
      <c r="ODR1" s="46" t="s">
        <v>10277</v>
      </c>
      <c r="ODS1" s="46" t="s">
        <v>10278</v>
      </c>
      <c r="ODT1" s="46" t="s">
        <v>10279</v>
      </c>
      <c r="ODU1" s="46" t="s">
        <v>10280</v>
      </c>
      <c r="ODV1" s="46" t="s">
        <v>10281</v>
      </c>
      <c r="ODW1" s="46" t="s">
        <v>10282</v>
      </c>
      <c r="ODX1" s="46" t="s">
        <v>10283</v>
      </c>
      <c r="ODY1" s="46" t="s">
        <v>10284</v>
      </c>
      <c r="ODZ1" s="46" t="s">
        <v>10285</v>
      </c>
      <c r="OEA1" s="46" t="s">
        <v>10286</v>
      </c>
      <c r="OEB1" s="46" t="s">
        <v>10287</v>
      </c>
      <c r="OEC1" s="46" t="s">
        <v>10288</v>
      </c>
      <c r="OED1" s="46" t="s">
        <v>10289</v>
      </c>
      <c r="OEE1" s="46" t="s">
        <v>10290</v>
      </c>
      <c r="OEF1" s="46" t="s">
        <v>10291</v>
      </c>
      <c r="OEG1" s="46" t="s">
        <v>10292</v>
      </c>
      <c r="OEH1" s="46" t="s">
        <v>10293</v>
      </c>
      <c r="OEI1" s="46" t="s">
        <v>10294</v>
      </c>
      <c r="OEJ1" s="46" t="s">
        <v>10295</v>
      </c>
      <c r="OEK1" s="46" t="s">
        <v>10296</v>
      </c>
      <c r="OEL1" s="46" t="s">
        <v>10297</v>
      </c>
      <c r="OEM1" s="46" t="s">
        <v>10298</v>
      </c>
      <c r="OEN1" s="46" t="s">
        <v>10299</v>
      </c>
      <c r="OEO1" s="46" t="s">
        <v>10300</v>
      </c>
      <c r="OEP1" s="46" t="s">
        <v>10301</v>
      </c>
      <c r="OEQ1" s="46" t="s">
        <v>10302</v>
      </c>
      <c r="OER1" s="46" t="s">
        <v>10303</v>
      </c>
      <c r="OES1" s="46" t="s">
        <v>10304</v>
      </c>
      <c r="OET1" s="46" t="s">
        <v>10305</v>
      </c>
      <c r="OEU1" s="46" t="s">
        <v>10306</v>
      </c>
      <c r="OEV1" s="46" t="s">
        <v>10307</v>
      </c>
      <c r="OEW1" s="46" t="s">
        <v>10308</v>
      </c>
      <c r="OEX1" s="46" t="s">
        <v>10309</v>
      </c>
      <c r="OEY1" s="46" t="s">
        <v>10310</v>
      </c>
      <c r="OEZ1" s="46" t="s">
        <v>10311</v>
      </c>
      <c r="OFA1" s="46" t="s">
        <v>10312</v>
      </c>
      <c r="OFB1" s="46" t="s">
        <v>10313</v>
      </c>
      <c r="OFC1" s="46" t="s">
        <v>10314</v>
      </c>
      <c r="OFD1" s="46" t="s">
        <v>10315</v>
      </c>
      <c r="OFE1" s="46" t="s">
        <v>10316</v>
      </c>
      <c r="OFF1" s="46" t="s">
        <v>10317</v>
      </c>
      <c r="OFG1" s="46" t="s">
        <v>10318</v>
      </c>
      <c r="OFH1" s="46" t="s">
        <v>10319</v>
      </c>
      <c r="OFI1" s="46" t="s">
        <v>10320</v>
      </c>
      <c r="OFJ1" s="46" t="s">
        <v>10321</v>
      </c>
      <c r="OFK1" s="46" t="s">
        <v>10322</v>
      </c>
      <c r="OFL1" s="46" t="s">
        <v>10323</v>
      </c>
      <c r="OFM1" s="46" t="s">
        <v>10324</v>
      </c>
      <c r="OFN1" s="46" t="s">
        <v>10325</v>
      </c>
      <c r="OFO1" s="46" t="s">
        <v>10326</v>
      </c>
      <c r="OFP1" s="46" t="s">
        <v>10327</v>
      </c>
      <c r="OFQ1" s="46" t="s">
        <v>10328</v>
      </c>
      <c r="OFR1" s="46" t="s">
        <v>10329</v>
      </c>
      <c r="OFS1" s="46" t="s">
        <v>10330</v>
      </c>
      <c r="OFT1" s="46" t="s">
        <v>10331</v>
      </c>
      <c r="OFU1" s="46" t="s">
        <v>10332</v>
      </c>
      <c r="OFV1" s="46" t="s">
        <v>10333</v>
      </c>
      <c r="OFW1" s="46" t="s">
        <v>10334</v>
      </c>
      <c r="OFX1" s="46" t="s">
        <v>10335</v>
      </c>
      <c r="OFY1" s="46" t="s">
        <v>10336</v>
      </c>
      <c r="OFZ1" s="46" t="s">
        <v>10337</v>
      </c>
      <c r="OGA1" s="46" t="s">
        <v>10338</v>
      </c>
      <c r="OGB1" s="46" t="s">
        <v>10339</v>
      </c>
      <c r="OGC1" s="46" t="s">
        <v>10340</v>
      </c>
      <c r="OGD1" s="46" t="s">
        <v>10341</v>
      </c>
      <c r="OGE1" s="46" t="s">
        <v>10342</v>
      </c>
      <c r="OGF1" s="46" t="s">
        <v>10343</v>
      </c>
      <c r="OGG1" s="46" t="s">
        <v>10344</v>
      </c>
      <c r="OGH1" s="46" t="s">
        <v>10345</v>
      </c>
      <c r="OGI1" s="46" t="s">
        <v>10346</v>
      </c>
      <c r="OGJ1" s="46" t="s">
        <v>10347</v>
      </c>
      <c r="OGK1" s="46" t="s">
        <v>10348</v>
      </c>
      <c r="OGL1" s="46" t="s">
        <v>10349</v>
      </c>
      <c r="OGM1" s="46" t="s">
        <v>10350</v>
      </c>
      <c r="OGN1" s="46" t="s">
        <v>10351</v>
      </c>
      <c r="OGO1" s="46" t="s">
        <v>10352</v>
      </c>
      <c r="OGP1" s="46" t="s">
        <v>10353</v>
      </c>
      <c r="OGQ1" s="46" t="s">
        <v>10354</v>
      </c>
      <c r="OGR1" s="46" t="s">
        <v>10355</v>
      </c>
      <c r="OGS1" s="46" t="s">
        <v>10356</v>
      </c>
      <c r="OGT1" s="46" t="s">
        <v>10357</v>
      </c>
      <c r="OGU1" s="46" t="s">
        <v>10358</v>
      </c>
      <c r="OGV1" s="46" t="s">
        <v>10359</v>
      </c>
      <c r="OGW1" s="46" t="s">
        <v>10360</v>
      </c>
      <c r="OGX1" s="46" t="s">
        <v>10361</v>
      </c>
      <c r="OGY1" s="46" t="s">
        <v>10362</v>
      </c>
      <c r="OGZ1" s="46" t="s">
        <v>10363</v>
      </c>
      <c r="OHA1" s="46" t="s">
        <v>10364</v>
      </c>
      <c r="OHB1" s="46" t="s">
        <v>10365</v>
      </c>
      <c r="OHC1" s="46" t="s">
        <v>10366</v>
      </c>
      <c r="OHD1" s="46" t="s">
        <v>10367</v>
      </c>
      <c r="OHE1" s="46" t="s">
        <v>10368</v>
      </c>
      <c r="OHF1" s="46" t="s">
        <v>10369</v>
      </c>
      <c r="OHG1" s="46" t="s">
        <v>10370</v>
      </c>
      <c r="OHH1" s="46" t="s">
        <v>10371</v>
      </c>
      <c r="OHI1" s="46" t="s">
        <v>10372</v>
      </c>
      <c r="OHJ1" s="46" t="s">
        <v>10373</v>
      </c>
      <c r="OHK1" s="46" t="s">
        <v>10374</v>
      </c>
      <c r="OHL1" s="46" t="s">
        <v>10375</v>
      </c>
      <c r="OHM1" s="46" t="s">
        <v>10376</v>
      </c>
      <c r="OHN1" s="46" t="s">
        <v>10377</v>
      </c>
      <c r="OHO1" s="46" t="s">
        <v>10378</v>
      </c>
      <c r="OHP1" s="46" t="s">
        <v>10379</v>
      </c>
      <c r="OHQ1" s="46" t="s">
        <v>10380</v>
      </c>
      <c r="OHR1" s="46" t="s">
        <v>10381</v>
      </c>
      <c r="OHS1" s="46" t="s">
        <v>10382</v>
      </c>
      <c r="OHT1" s="46" t="s">
        <v>10383</v>
      </c>
      <c r="OHU1" s="46" t="s">
        <v>10384</v>
      </c>
      <c r="OHV1" s="46" t="s">
        <v>10385</v>
      </c>
      <c r="OHW1" s="46" t="s">
        <v>10386</v>
      </c>
      <c r="OHX1" s="46" t="s">
        <v>10387</v>
      </c>
      <c r="OHY1" s="46" t="s">
        <v>10388</v>
      </c>
      <c r="OHZ1" s="46" t="s">
        <v>10389</v>
      </c>
      <c r="OIA1" s="46" t="s">
        <v>10390</v>
      </c>
      <c r="OIB1" s="46" t="s">
        <v>10391</v>
      </c>
      <c r="OIC1" s="46" t="s">
        <v>10392</v>
      </c>
      <c r="OID1" s="46" t="s">
        <v>10393</v>
      </c>
      <c r="OIE1" s="46" t="s">
        <v>10394</v>
      </c>
      <c r="OIF1" s="46" t="s">
        <v>10395</v>
      </c>
      <c r="OIG1" s="46" t="s">
        <v>10396</v>
      </c>
      <c r="OIH1" s="46" t="s">
        <v>10397</v>
      </c>
      <c r="OII1" s="46" t="s">
        <v>10398</v>
      </c>
      <c r="OIJ1" s="46" t="s">
        <v>10399</v>
      </c>
      <c r="OIK1" s="46" t="s">
        <v>10400</v>
      </c>
      <c r="OIL1" s="46" t="s">
        <v>10401</v>
      </c>
      <c r="OIM1" s="46" t="s">
        <v>10402</v>
      </c>
      <c r="OIN1" s="46" t="s">
        <v>10403</v>
      </c>
      <c r="OIO1" s="46" t="s">
        <v>10404</v>
      </c>
      <c r="OIP1" s="46" t="s">
        <v>10405</v>
      </c>
      <c r="OIQ1" s="46" t="s">
        <v>10406</v>
      </c>
      <c r="OIR1" s="46" t="s">
        <v>10407</v>
      </c>
      <c r="OIS1" s="46" t="s">
        <v>10408</v>
      </c>
      <c r="OIT1" s="46" t="s">
        <v>10409</v>
      </c>
      <c r="OIU1" s="46" t="s">
        <v>10410</v>
      </c>
      <c r="OIV1" s="46" t="s">
        <v>10411</v>
      </c>
      <c r="OIW1" s="46" t="s">
        <v>10412</v>
      </c>
      <c r="OIX1" s="46" t="s">
        <v>10413</v>
      </c>
      <c r="OIY1" s="46" t="s">
        <v>10414</v>
      </c>
      <c r="OIZ1" s="46" t="s">
        <v>10415</v>
      </c>
      <c r="OJA1" s="46" t="s">
        <v>10416</v>
      </c>
      <c r="OJB1" s="46" t="s">
        <v>10417</v>
      </c>
      <c r="OJC1" s="46" t="s">
        <v>10418</v>
      </c>
      <c r="OJD1" s="46" t="s">
        <v>10419</v>
      </c>
      <c r="OJE1" s="46" t="s">
        <v>10420</v>
      </c>
      <c r="OJF1" s="46" t="s">
        <v>10421</v>
      </c>
      <c r="OJG1" s="46" t="s">
        <v>10422</v>
      </c>
      <c r="OJH1" s="46" t="s">
        <v>10423</v>
      </c>
      <c r="OJI1" s="46" t="s">
        <v>10424</v>
      </c>
      <c r="OJJ1" s="46" t="s">
        <v>10425</v>
      </c>
      <c r="OJK1" s="46" t="s">
        <v>10426</v>
      </c>
      <c r="OJL1" s="46" t="s">
        <v>10427</v>
      </c>
      <c r="OJM1" s="46" t="s">
        <v>10428</v>
      </c>
      <c r="OJN1" s="46" t="s">
        <v>10429</v>
      </c>
      <c r="OJO1" s="46" t="s">
        <v>10430</v>
      </c>
      <c r="OJP1" s="46" t="s">
        <v>10431</v>
      </c>
      <c r="OJQ1" s="46" t="s">
        <v>10432</v>
      </c>
      <c r="OJR1" s="46" t="s">
        <v>10433</v>
      </c>
      <c r="OJS1" s="46" t="s">
        <v>10434</v>
      </c>
      <c r="OJT1" s="46" t="s">
        <v>10435</v>
      </c>
      <c r="OJU1" s="46" t="s">
        <v>10436</v>
      </c>
      <c r="OJV1" s="46" t="s">
        <v>10437</v>
      </c>
      <c r="OJW1" s="46" t="s">
        <v>10438</v>
      </c>
      <c r="OJX1" s="46" t="s">
        <v>10439</v>
      </c>
      <c r="OJY1" s="46" t="s">
        <v>10440</v>
      </c>
      <c r="OJZ1" s="46" t="s">
        <v>10441</v>
      </c>
      <c r="OKA1" s="46" t="s">
        <v>10442</v>
      </c>
      <c r="OKB1" s="46" t="s">
        <v>10443</v>
      </c>
      <c r="OKC1" s="46" t="s">
        <v>10444</v>
      </c>
      <c r="OKD1" s="46" t="s">
        <v>10445</v>
      </c>
      <c r="OKE1" s="46" t="s">
        <v>10446</v>
      </c>
      <c r="OKF1" s="46" t="s">
        <v>10447</v>
      </c>
      <c r="OKG1" s="46" t="s">
        <v>10448</v>
      </c>
      <c r="OKH1" s="46" t="s">
        <v>10449</v>
      </c>
      <c r="OKI1" s="46" t="s">
        <v>10450</v>
      </c>
      <c r="OKJ1" s="46" t="s">
        <v>10451</v>
      </c>
      <c r="OKK1" s="46" t="s">
        <v>10452</v>
      </c>
      <c r="OKL1" s="46" t="s">
        <v>10453</v>
      </c>
      <c r="OKM1" s="46" t="s">
        <v>10454</v>
      </c>
      <c r="OKN1" s="46" t="s">
        <v>10455</v>
      </c>
      <c r="OKO1" s="46" t="s">
        <v>10456</v>
      </c>
      <c r="OKP1" s="46" t="s">
        <v>10457</v>
      </c>
      <c r="OKQ1" s="46" t="s">
        <v>10458</v>
      </c>
      <c r="OKR1" s="46" t="s">
        <v>10459</v>
      </c>
      <c r="OKS1" s="46" t="s">
        <v>10460</v>
      </c>
      <c r="OKT1" s="46" t="s">
        <v>10461</v>
      </c>
      <c r="OKU1" s="46" t="s">
        <v>10462</v>
      </c>
      <c r="OKV1" s="46" t="s">
        <v>10463</v>
      </c>
      <c r="OKW1" s="46" t="s">
        <v>10464</v>
      </c>
      <c r="OKX1" s="46" t="s">
        <v>10465</v>
      </c>
      <c r="OKY1" s="46" t="s">
        <v>10466</v>
      </c>
      <c r="OKZ1" s="46" t="s">
        <v>10467</v>
      </c>
      <c r="OLA1" s="46" t="s">
        <v>10468</v>
      </c>
      <c r="OLB1" s="46" t="s">
        <v>10469</v>
      </c>
      <c r="OLC1" s="46" t="s">
        <v>10470</v>
      </c>
      <c r="OLD1" s="46" t="s">
        <v>10471</v>
      </c>
      <c r="OLE1" s="46" t="s">
        <v>10472</v>
      </c>
      <c r="OLF1" s="46" t="s">
        <v>10473</v>
      </c>
      <c r="OLG1" s="46" t="s">
        <v>10474</v>
      </c>
      <c r="OLH1" s="46" t="s">
        <v>10475</v>
      </c>
      <c r="OLI1" s="46" t="s">
        <v>10476</v>
      </c>
      <c r="OLJ1" s="46" t="s">
        <v>10477</v>
      </c>
      <c r="OLK1" s="46" t="s">
        <v>10478</v>
      </c>
      <c r="OLL1" s="46" t="s">
        <v>10479</v>
      </c>
      <c r="OLM1" s="46" t="s">
        <v>10480</v>
      </c>
      <c r="OLN1" s="46" t="s">
        <v>10481</v>
      </c>
      <c r="OLO1" s="46" t="s">
        <v>10482</v>
      </c>
      <c r="OLP1" s="46" t="s">
        <v>10483</v>
      </c>
      <c r="OLQ1" s="46" t="s">
        <v>10484</v>
      </c>
      <c r="OLR1" s="46" t="s">
        <v>10485</v>
      </c>
      <c r="OLS1" s="46" t="s">
        <v>10486</v>
      </c>
      <c r="OLT1" s="46" t="s">
        <v>10487</v>
      </c>
      <c r="OLU1" s="46" t="s">
        <v>10488</v>
      </c>
      <c r="OLV1" s="46" t="s">
        <v>10489</v>
      </c>
      <c r="OLW1" s="46" t="s">
        <v>10490</v>
      </c>
      <c r="OLX1" s="46" t="s">
        <v>10491</v>
      </c>
      <c r="OLY1" s="46" t="s">
        <v>10492</v>
      </c>
      <c r="OLZ1" s="46" t="s">
        <v>10493</v>
      </c>
      <c r="OMA1" s="46" t="s">
        <v>10494</v>
      </c>
      <c r="OMB1" s="46" t="s">
        <v>10495</v>
      </c>
      <c r="OMC1" s="46" t="s">
        <v>10496</v>
      </c>
      <c r="OMD1" s="46" t="s">
        <v>10497</v>
      </c>
      <c r="OME1" s="46" t="s">
        <v>10498</v>
      </c>
      <c r="OMF1" s="46" t="s">
        <v>10499</v>
      </c>
      <c r="OMG1" s="46" t="s">
        <v>10500</v>
      </c>
      <c r="OMH1" s="46" t="s">
        <v>10501</v>
      </c>
      <c r="OMI1" s="46" t="s">
        <v>10502</v>
      </c>
      <c r="OMJ1" s="46" t="s">
        <v>10503</v>
      </c>
      <c r="OMK1" s="46" t="s">
        <v>10504</v>
      </c>
      <c r="OML1" s="46" t="s">
        <v>10505</v>
      </c>
      <c r="OMM1" s="46" t="s">
        <v>10506</v>
      </c>
      <c r="OMN1" s="46" t="s">
        <v>10507</v>
      </c>
      <c r="OMO1" s="46" t="s">
        <v>10508</v>
      </c>
      <c r="OMP1" s="46" t="s">
        <v>10509</v>
      </c>
      <c r="OMQ1" s="46" t="s">
        <v>10510</v>
      </c>
      <c r="OMR1" s="46" t="s">
        <v>10511</v>
      </c>
      <c r="OMS1" s="46" t="s">
        <v>10512</v>
      </c>
      <c r="OMT1" s="46" t="s">
        <v>10513</v>
      </c>
      <c r="OMU1" s="46" t="s">
        <v>10514</v>
      </c>
      <c r="OMV1" s="46" t="s">
        <v>10515</v>
      </c>
      <c r="OMW1" s="46" t="s">
        <v>10516</v>
      </c>
      <c r="OMX1" s="46" t="s">
        <v>10517</v>
      </c>
      <c r="OMY1" s="46" t="s">
        <v>10518</v>
      </c>
      <c r="OMZ1" s="46" t="s">
        <v>10519</v>
      </c>
      <c r="ONA1" s="46" t="s">
        <v>10520</v>
      </c>
      <c r="ONB1" s="46" t="s">
        <v>10521</v>
      </c>
      <c r="ONC1" s="46" t="s">
        <v>10522</v>
      </c>
      <c r="OND1" s="46" t="s">
        <v>10523</v>
      </c>
      <c r="ONE1" s="46" t="s">
        <v>10524</v>
      </c>
      <c r="ONF1" s="46" t="s">
        <v>10525</v>
      </c>
      <c r="ONG1" s="46" t="s">
        <v>10526</v>
      </c>
      <c r="ONH1" s="46" t="s">
        <v>10527</v>
      </c>
      <c r="ONI1" s="46" t="s">
        <v>10528</v>
      </c>
      <c r="ONJ1" s="46" t="s">
        <v>10529</v>
      </c>
      <c r="ONK1" s="46" t="s">
        <v>10530</v>
      </c>
      <c r="ONL1" s="46" t="s">
        <v>10531</v>
      </c>
      <c r="ONM1" s="46" t="s">
        <v>10532</v>
      </c>
      <c r="ONN1" s="46" t="s">
        <v>10533</v>
      </c>
      <c r="ONO1" s="46" t="s">
        <v>10534</v>
      </c>
      <c r="ONP1" s="46" t="s">
        <v>10535</v>
      </c>
      <c r="ONQ1" s="46" t="s">
        <v>10536</v>
      </c>
      <c r="ONR1" s="46" t="s">
        <v>10537</v>
      </c>
      <c r="ONS1" s="46" t="s">
        <v>10538</v>
      </c>
      <c r="ONT1" s="46" t="s">
        <v>10539</v>
      </c>
      <c r="ONU1" s="46" t="s">
        <v>10540</v>
      </c>
      <c r="ONV1" s="46" t="s">
        <v>10541</v>
      </c>
      <c r="ONW1" s="46" t="s">
        <v>10542</v>
      </c>
      <c r="ONX1" s="46" t="s">
        <v>10543</v>
      </c>
      <c r="ONY1" s="46" t="s">
        <v>10544</v>
      </c>
      <c r="ONZ1" s="46" t="s">
        <v>10545</v>
      </c>
      <c r="OOA1" s="46" t="s">
        <v>10546</v>
      </c>
      <c r="OOB1" s="46" t="s">
        <v>10547</v>
      </c>
      <c r="OOC1" s="46" t="s">
        <v>10548</v>
      </c>
      <c r="OOD1" s="46" t="s">
        <v>10549</v>
      </c>
      <c r="OOE1" s="46" t="s">
        <v>10550</v>
      </c>
      <c r="OOF1" s="46" t="s">
        <v>10551</v>
      </c>
      <c r="OOG1" s="46" t="s">
        <v>10552</v>
      </c>
      <c r="OOH1" s="46" t="s">
        <v>10553</v>
      </c>
      <c r="OOI1" s="46" t="s">
        <v>10554</v>
      </c>
      <c r="OOJ1" s="46" t="s">
        <v>10555</v>
      </c>
      <c r="OOK1" s="46" t="s">
        <v>10556</v>
      </c>
      <c r="OOL1" s="46" t="s">
        <v>10557</v>
      </c>
      <c r="OOM1" s="46" t="s">
        <v>10558</v>
      </c>
      <c r="OON1" s="46" t="s">
        <v>10559</v>
      </c>
      <c r="OOO1" s="46" t="s">
        <v>10560</v>
      </c>
      <c r="OOP1" s="46" t="s">
        <v>10561</v>
      </c>
      <c r="OOQ1" s="46" t="s">
        <v>10562</v>
      </c>
      <c r="OOR1" s="46" t="s">
        <v>10563</v>
      </c>
      <c r="OOS1" s="46" t="s">
        <v>10564</v>
      </c>
      <c r="OOT1" s="46" t="s">
        <v>10565</v>
      </c>
      <c r="OOU1" s="46" t="s">
        <v>10566</v>
      </c>
      <c r="OOV1" s="46" t="s">
        <v>10567</v>
      </c>
      <c r="OOW1" s="46" t="s">
        <v>10568</v>
      </c>
      <c r="OOX1" s="46" t="s">
        <v>10569</v>
      </c>
      <c r="OOY1" s="46" t="s">
        <v>10570</v>
      </c>
      <c r="OOZ1" s="46" t="s">
        <v>10571</v>
      </c>
      <c r="OPA1" s="46" t="s">
        <v>10572</v>
      </c>
      <c r="OPB1" s="46" t="s">
        <v>10573</v>
      </c>
      <c r="OPC1" s="46" t="s">
        <v>10574</v>
      </c>
      <c r="OPD1" s="46" t="s">
        <v>10575</v>
      </c>
      <c r="OPE1" s="46" t="s">
        <v>10576</v>
      </c>
      <c r="OPF1" s="46" t="s">
        <v>10577</v>
      </c>
      <c r="OPG1" s="46" t="s">
        <v>10578</v>
      </c>
      <c r="OPH1" s="46" t="s">
        <v>10579</v>
      </c>
      <c r="OPI1" s="46" t="s">
        <v>10580</v>
      </c>
      <c r="OPJ1" s="46" t="s">
        <v>10581</v>
      </c>
      <c r="OPK1" s="46" t="s">
        <v>10582</v>
      </c>
      <c r="OPL1" s="46" t="s">
        <v>10583</v>
      </c>
      <c r="OPM1" s="46" t="s">
        <v>10584</v>
      </c>
      <c r="OPN1" s="46" t="s">
        <v>10585</v>
      </c>
      <c r="OPO1" s="46" t="s">
        <v>10586</v>
      </c>
      <c r="OPP1" s="46" t="s">
        <v>10587</v>
      </c>
      <c r="OPQ1" s="46" t="s">
        <v>10588</v>
      </c>
      <c r="OPR1" s="46" t="s">
        <v>10589</v>
      </c>
      <c r="OPS1" s="46" t="s">
        <v>10590</v>
      </c>
      <c r="OPT1" s="46" t="s">
        <v>10591</v>
      </c>
      <c r="OPU1" s="46" t="s">
        <v>10592</v>
      </c>
      <c r="OPV1" s="46" t="s">
        <v>10593</v>
      </c>
      <c r="OPW1" s="46" t="s">
        <v>10594</v>
      </c>
      <c r="OPX1" s="46" t="s">
        <v>10595</v>
      </c>
      <c r="OPY1" s="46" t="s">
        <v>10596</v>
      </c>
      <c r="OPZ1" s="46" t="s">
        <v>10597</v>
      </c>
      <c r="OQA1" s="46" t="s">
        <v>10598</v>
      </c>
      <c r="OQB1" s="46" t="s">
        <v>10599</v>
      </c>
      <c r="OQC1" s="46" t="s">
        <v>10600</v>
      </c>
      <c r="OQD1" s="46" t="s">
        <v>10601</v>
      </c>
      <c r="OQE1" s="46" t="s">
        <v>10602</v>
      </c>
      <c r="OQF1" s="46" t="s">
        <v>10603</v>
      </c>
      <c r="OQG1" s="46" t="s">
        <v>10604</v>
      </c>
      <c r="OQH1" s="46" t="s">
        <v>10605</v>
      </c>
      <c r="OQI1" s="46" t="s">
        <v>10606</v>
      </c>
      <c r="OQJ1" s="46" t="s">
        <v>10607</v>
      </c>
      <c r="OQK1" s="46" t="s">
        <v>10608</v>
      </c>
      <c r="OQL1" s="46" t="s">
        <v>10609</v>
      </c>
      <c r="OQM1" s="46" t="s">
        <v>10610</v>
      </c>
      <c r="OQN1" s="46" t="s">
        <v>10611</v>
      </c>
      <c r="OQO1" s="46" t="s">
        <v>10612</v>
      </c>
      <c r="OQP1" s="46" t="s">
        <v>10613</v>
      </c>
      <c r="OQQ1" s="46" t="s">
        <v>10614</v>
      </c>
      <c r="OQR1" s="46" t="s">
        <v>10615</v>
      </c>
      <c r="OQS1" s="46" t="s">
        <v>10616</v>
      </c>
      <c r="OQT1" s="46" t="s">
        <v>10617</v>
      </c>
      <c r="OQU1" s="46" t="s">
        <v>10618</v>
      </c>
      <c r="OQV1" s="46" t="s">
        <v>10619</v>
      </c>
      <c r="OQW1" s="46" t="s">
        <v>10620</v>
      </c>
      <c r="OQX1" s="46" t="s">
        <v>10621</v>
      </c>
      <c r="OQY1" s="46" t="s">
        <v>10622</v>
      </c>
      <c r="OQZ1" s="46" t="s">
        <v>10623</v>
      </c>
      <c r="ORA1" s="46" t="s">
        <v>10624</v>
      </c>
      <c r="ORB1" s="46" t="s">
        <v>10625</v>
      </c>
      <c r="ORC1" s="46" t="s">
        <v>10626</v>
      </c>
      <c r="ORD1" s="46" t="s">
        <v>10627</v>
      </c>
      <c r="ORE1" s="46" t="s">
        <v>10628</v>
      </c>
      <c r="ORF1" s="46" t="s">
        <v>10629</v>
      </c>
      <c r="ORG1" s="46" t="s">
        <v>10630</v>
      </c>
      <c r="ORH1" s="46" t="s">
        <v>10631</v>
      </c>
      <c r="ORI1" s="46" t="s">
        <v>10632</v>
      </c>
      <c r="ORJ1" s="46" t="s">
        <v>10633</v>
      </c>
      <c r="ORK1" s="46" t="s">
        <v>10634</v>
      </c>
      <c r="ORL1" s="46" t="s">
        <v>10635</v>
      </c>
      <c r="ORM1" s="46" t="s">
        <v>10636</v>
      </c>
      <c r="ORN1" s="46" t="s">
        <v>10637</v>
      </c>
      <c r="ORO1" s="46" t="s">
        <v>10638</v>
      </c>
      <c r="ORP1" s="46" t="s">
        <v>10639</v>
      </c>
      <c r="ORQ1" s="46" t="s">
        <v>10640</v>
      </c>
      <c r="ORR1" s="46" t="s">
        <v>10641</v>
      </c>
      <c r="ORS1" s="46" t="s">
        <v>10642</v>
      </c>
      <c r="ORT1" s="46" t="s">
        <v>10643</v>
      </c>
      <c r="ORU1" s="46" t="s">
        <v>10644</v>
      </c>
      <c r="ORV1" s="46" t="s">
        <v>10645</v>
      </c>
      <c r="ORW1" s="46" t="s">
        <v>10646</v>
      </c>
      <c r="ORX1" s="46" t="s">
        <v>10647</v>
      </c>
      <c r="ORY1" s="46" t="s">
        <v>10648</v>
      </c>
      <c r="ORZ1" s="46" t="s">
        <v>10649</v>
      </c>
      <c r="OSA1" s="46" t="s">
        <v>10650</v>
      </c>
      <c r="OSB1" s="46" t="s">
        <v>10651</v>
      </c>
      <c r="OSC1" s="46" t="s">
        <v>10652</v>
      </c>
      <c r="OSD1" s="46" t="s">
        <v>10653</v>
      </c>
      <c r="OSE1" s="46" t="s">
        <v>10654</v>
      </c>
      <c r="OSF1" s="46" t="s">
        <v>10655</v>
      </c>
      <c r="OSG1" s="46" t="s">
        <v>10656</v>
      </c>
      <c r="OSH1" s="46" t="s">
        <v>10657</v>
      </c>
      <c r="OSI1" s="46" t="s">
        <v>10658</v>
      </c>
      <c r="OSJ1" s="46" t="s">
        <v>10659</v>
      </c>
      <c r="OSK1" s="46" t="s">
        <v>10660</v>
      </c>
      <c r="OSL1" s="46" t="s">
        <v>10661</v>
      </c>
      <c r="OSM1" s="46" t="s">
        <v>10662</v>
      </c>
      <c r="OSN1" s="46" t="s">
        <v>10663</v>
      </c>
      <c r="OSO1" s="46" t="s">
        <v>10664</v>
      </c>
      <c r="OSP1" s="46" t="s">
        <v>10665</v>
      </c>
      <c r="OSQ1" s="46" t="s">
        <v>10666</v>
      </c>
      <c r="OSR1" s="46" t="s">
        <v>10667</v>
      </c>
      <c r="OSS1" s="46" t="s">
        <v>10668</v>
      </c>
      <c r="OST1" s="46" t="s">
        <v>10669</v>
      </c>
      <c r="OSU1" s="46" t="s">
        <v>10670</v>
      </c>
      <c r="OSV1" s="46" t="s">
        <v>10671</v>
      </c>
      <c r="OSW1" s="46" t="s">
        <v>10672</v>
      </c>
      <c r="OSX1" s="46" t="s">
        <v>10673</v>
      </c>
      <c r="OSY1" s="46" t="s">
        <v>10674</v>
      </c>
      <c r="OSZ1" s="46" t="s">
        <v>10675</v>
      </c>
      <c r="OTA1" s="46" t="s">
        <v>10676</v>
      </c>
      <c r="OTB1" s="46" t="s">
        <v>10677</v>
      </c>
      <c r="OTC1" s="46" t="s">
        <v>10678</v>
      </c>
      <c r="OTD1" s="46" t="s">
        <v>10679</v>
      </c>
      <c r="OTE1" s="46" t="s">
        <v>10680</v>
      </c>
      <c r="OTF1" s="46" t="s">
        <v>10681</v>
      </c>
      <c r="OTG1" s="46" t="s">
        <v>10682</v>
      </c>
      <c r="OTH1" s="46" t="s">
        <v>10683</v>
      </c>
      <c r="OTI1" s="46" t="s">
        <v>10684</v>
      </c>
      <c r="OTJ1" s="46" t="s">
        <v>10685</v>
      </c>
      <c r="OTK1" s="46" t="s">
        <v>10686</v>
      </c>
      <c r="OTL1" s="46" t="s">
        <v>10687</v>
      </c>
      <c r="OTM1" s="46" t="s">
        <v>10688</v>
      </c>
      <c r="OTN1" s="46" t="s">
        <v>10689</v>
      </c>
      <c r="OTO1" s="46" t="s">
        <v>10690</v>
      </c>
      <c r="OTP1" s="46" t="s">
        <v>10691</v>
      </c>
      <c r="OTQ1" s="46" t="s">
        <v>10692</v>
      </c>
      <c r="OTR1" s="46" t="s">
        <v>10693</v>
      </c>
      <c r="OTS1" s="46" t="s">
        <v>10694</v>
      </c>
      <c r="OTT1" s="46" t="s">
        <v>10695</v>
      </c>
      <c r="OTU1" s="46" t="s">
        <v>10696</v>
      </c>
      <c r="OTV1" s="46" t="s">
        <v>10697</v>
      </c>
      <c r="OTW1" s="46" t="s">
        <v>10698</v>
      </c>
      <c r="OTX1" s="46" t="s">
        <v>10699</v>
      </c>
      <c r="OTY1" s="46" t="s">
        <v>10700</v>
      </c>
      <c r="OTZ1" s="46" t="s">
        <v>10701</v>
      </c>
      <c r="OUA1" s="46" t="s">
        <v>10702</v>
      </c>
      <c r="OUB1" s="46" t="s">
        <v>10703</v>
      </c>
      <c r="OUC1" s="46" t="s">
        <v>10704</v>
      </c>
      <c r="OUD1" s="46" t="s">
        <v>10705</v>
      </c>
      <c r="OUE1" s="46" t="s">
        <v>10706</v>
      </c>
      <c r="OUF1" s="46" t="s">
        <v>10707</v>
      </c>
      <c r="OUG1" s="46" t="s">
        <v>10708</v>
      </c>
      <c r="OUH1" s="46" t="s">
        <v>10709</v>
      </c>
      <c r="OUI1" s="46" t="s">
        <v>10710</v>
      </c>
      <c r="OUJ1" s="46" t="s">
        <v>10711</v>
      </c>
      <c r="OUK1" s="46" t="s">
        <v>10712</v>
      </c>
      <c r="OUL1" s="46" t="s">
        <v>10713</v>
      </c>
      <c r="OUM1" s="46" t="s">
        <v>10714</v>
      </c>
      <c r="OUN1" s="46" t="s">
        <v>10715</v>
      </c>
      <c r="OUO1" s="46" t="s">
        <v>10716</v>
      </c>
      <c r="OUP1" s="46" t="s">
        <v>10717</v>
      </c>
      <c r="OUQ1" s="46" t="s">
        <v>10718</v>
      </c>
      <c r="OUR1" s="46" t="s">
        <v>10719</v>
      </c>
      <c r="OUS1" s="46" t="s">
        <v>10720</v>
      </c>
      <c r="OUT1" s="46" t="s">
        <v>10721</v>
      </c>
      <c r="OUU1" s="46" t="s">
        <v>10722</v>
      </c>
      <c r="OUV1" s="46" t="s">
        <v>10723</v>
      </c>
      <c r="OUW1" s="46" t="s">
        <v>10724</v>
      </c>
      <c r="OUX1" s="46" t="s">
        <v>10725</v>
      </c>
      <c r="OUY1" s="46" t="s">
        <v>10726</v>
      </c>
      <c r="OUZ1" s="46" t="s">
        <v>10727</v>
      </c>
      <c r="OVA1" s="46" t="s">
        <v>10728</v>
      </c>
      <c r="OVB1" s="46" t="s">
        <v>10729</v>
      </c>
      <c r="OVC1" s="46" t="s">
        <v>10730</v>
      </c>
      <c r="OVD1" s="46" t="s">
        <v>10731</v>
      </c>
      <c r="OVE1" s="46" t="s">
        <v>10732</v>
      </c>
      <c r="OVF1" s="46" t="s">
        <v>10733</v>
      </c>
      <c r="OVG1" s="46" t="s">
        <v>10734</v>
      </c>
      <c r="OVH1" s="46" t="s">
        <v>10735</v>
      </c>
      <c r="OVI1" s="46" t="s">
        <v>10736</v>
      </c>
      <c r="OVJ1" s="46" t="s">
        <v>10737</v>
      </c>
      <c r="OVK1" s="46" t="s">
        <v>10738</v>
      </c>
      <c r="OVL1" s="46" t="s">
        <v>10739</v>
      </c>
      <c r="OVM1" s="46" t="s">
        <v>10740</v>
      </c>
      <c r="OVN1" s="46" t="s">
        <v>10741</v>
      </c>
      <c r="OVO1" s="46" t="s">
        <v>10742</v>
      </c>
      <c r="OVP1" s="46" t="s">
        <v>10743</v>
      </c>
      <c r="OVQ1" s="46" t="s">
        <v>10744</v>
      </c>
      <c r="OVR1" s="46" t="s">
        <v>10745</v>
      </c>
      <c r="OVS1" s="46" t="s">
        <v>10746</v>
      </c>
      <c r="OVT1" s="46" t="s">
        <v>10747</v>
      </c>
      <c r="OVU1" s="46" t="s">
        <v>10748</v>
      </c>
      <c r="OVV1" s="46" t="s">
        <v>10749</v>
      </c>
      <c r="OVW1" s="46" t="s">
        <v>10750</v>
      </c>
      <c r="OVX1" s="46" t="s">
        <v>10751</v>
      </c>
      <c r="OVY1" s="46" t="s">
        <v>10752</v>
      </c>
      <c r="OVZ1" s="46" t="s">
        <v>10753</v>
      </c>
      <c r="OWA1" s="46" t="s">
        <v>10754</v>
      </c>
      <c r="OWB1" s="46" t="s">
        <v>10755</v>
      </c>
      <c r="OWC1" s="46" t="s">
        <v>10756</v>
      </c>
      <c r="OWD1" s="46" t="s">
        <v>10757</v>
      </c>
      <c r="OWE1" s="46" t="s">
        <v>10758</v>
      </c>
      <c r="OWF1" s="46" t="s">
        <v>10759</v>
      </c>
      <c r="OWG1" s="46" t="s">
        <v>10760</v>
      </c>
      <c r="OWH1" s="46" t="s">
        <v>10761</v>
      </c>
      <c r="OWI1" s="46" t="s">
        <v>10762</v>
      </c>
      <c r="OWJ1" s="46" t="s">
        <v>10763</v>
      </c>
      <c r="OWK1" s="46" t="s">
        <v>10764</v>
      </c>
      <c r="OWL1" s="46" t="s">
        <v>10765</v>
      </c>
      <c r="OWM1" s="46" t="s">
        <v>10766</v>
      </c>
      <c r="OWN1" s="46" t="s">
        <v>10767</v>
      </c>
      <c r="OWO1" s="46" t="s">
        <v>10768</v>
      </c>
      <c r="OWP1" s="46" t="s">
        <v>10769</v>
      </c>
      <c r="OWQ1" s="46" t="s">
        <v>10770</v>
      </c>
      <c r="OWR1" s="46" t="s">
        <v>10771</v>
      </c>
      <c r="OWS1" s="46" t="s">
        <v>10772</v>
      </c>
      <c r="OWT1" s="46" t="s">
        <v>10773</v>
      </c>
      <c r="OWU1" s="46" t="s">
        <v>10774</v>
      </c>
      <c r="OWV1" s="46" t="s">
        <v>10775</v>
      </c>
      <c r="OWW1" s="46" t="s">
        <v>10776</v>
      </c>
      <c r="OWX1" s="46" t="s">
        <v>10777</v>
      </c>
      <c r="OWY1" s="46" t="s">
        <v>10778</v>
      </c>
      <c r="OWZ1" s="46" t="s">
        <v>10779</v>
      </c>
      <c r="OXA1" s="46" t="s">
        <v>10780</v>
      </c>
      <c r="OXB1" s="46" t="s">
        <v>10781</v>
      </c>
      <c r="OXC1" s="46" t="s">
        <v>10782</v>
      </c>
      <c r="OXD1" s="46" t="s">
        <v>10783</v>
      </c>
      <c r="OXE1" s="46" t="s">
        <v>10784</v>
      </c>
      <c r="OXF1" s="46" t="s">
        <v>10785</v>
      </c>
      <c r="OXG1" s="46" t="s">
        <v>10786</v>
      </c>
      <c r="OXH1" s="46" t="s">
        <v>10787</v>
      </c>
      <c r="OXI1" s="46" t="s">
        <v>10788</v>
      </c>
      <c r="OXJ1" s="46" t="s">
        <v>10789</v>
      </c>
      <c r="OXK1" s="46" t="s">
        <v>10790</v>
      </c>
      <c r="OXL1" s="46" t="s">
        <v>10791</v>
      </c>
      <c r="OXM1" s="46" t="s">
        <v>10792</v>
      </c>
      <c r="OXN1" s="46" t="s">
        <v>10793</v>
      </c>
      <c r="OXO1" s="46" t="s">
        <v>10794</v>
      </c>
      <c r="OXP1" s="46" t="s">
        <v>10795</v>
      </c>
      <c r="OXQ1" s="46" t="s">
        <v>10796</v>
      </c>
      <c r="OXR1" s="46" t="s">
        <v>10797</v>
      </c>
      <c r="OXS1" s="46" t="s">
        <v>10798</v>
      </c>
      <c r="OXT1" s="46" t="s">
        <v>10799</v>
      </c>
      <c r="OXU1" s="46" t="s">
        <v>10800</v>
      </c>
      <c r="OXV1" s="46" t="s">
        <v>10801</v>
      </c>
      <c r="OXW1" s="46" t="s">
        <v>10802</v>
      </c>
      <c r="OXX1" s="46" t="s">
        <v>10803</v>
      </c>
      <c r="OXY1" s="46" t="s">
        <v>10804</v>
      </c>
      <c r="OXZ1" s="46" t="s">
        <v>10805</v>
      </c>
      <c r="OYA1" s="46" t="s">
        <v>10806</v>
      </c>
      <c r="OYB1" s="46" t="s">
        <v>10807</v>
      </c>
      <c r="OYC1" s="46" t="s">
        <v>10808</v>
      </c>
      <c r="OYD1" s="46" t="s">
        <v>10809</v>
      </c>
      <c r="OYE1" s="46" t="s">
        <v>10810</v>
      </c>
      <c r="OYF1" s="46" t="s">
        <v>10811</v>
      </c>
      <c r="OYG1" s="46" t="s">
        <v>10812</v>
      </c>
      <c r="OYH1" s="46" t="s">
        <v>10813</v>
      </c>
      <c r="OYI1" s="46" t="s">
        <v>10814</v>
      </c>
      <c r="OYJ1" s="46" t="s">
        <v>10815</v>
      </c>
      <c r="OYK1" s="46" t="s">
        <v>10816</v>
      </c>
      <c r="OYL1" s="46" t="s">
        <v>10817</v>
      </c>
      <c r="OYM1" s="46" t="s">
        <v>10818</v>
      </c>
      <c r="OYN1" s="46" t="s">
        <v>10819</v>
      </c>
      <c r="OYO1" s="46" t="s">
        <v>10820</v>
      </c>
      <c r="OYP1" s="46" t="s">
        <v>10821</v>
      </c>
      <c r="OYQ1" s="46" t="s">
        <v>10822</v>
      </c>
      <c r="OYR1" s="46" t="s">
        <v>10823</v>
      </c>
      <c r="OYS1" s="46" t="s">
        <v>10824</v>
      </c>
      <c r="OYT1" s="46" t="s">
        <v>10825</v>
      </c>
      <c r="OYU1" s="46" t="s">
        <v>10826</v>
      </c>
      <c r="OYV1" s="46" t="s">
        <v>10827</v>
      </c>
      <c r="OYW1" s="46" t="s">
        <v>10828</v>
      </c>
      <c r="OYX1" s="46" t="s">
        <v>10829</v>
      </c>
      <c r="OYY1" s="46" t="s">
        <v>10830</v>
      </c>
      <c r="OYZ1" s="46" t="s">
        <v>10831</v>
      </c>
      <c r="OZA1" s="46" t="s">
        <v>10832</v>
      </c>
      <c r="OZB1" s="46" t="s">
        <v>10833</v>
      </c>
      <c r="OZC1" s="46" t="s">
        <v>10834</v>
      </c>
      <c r="OZD1" s="46" t="s">
        <v>10835</v>
      </c>
      <c r="OZE1" s="46" t="s">
        <v>10836</v>
      </c>
      <c r="OZF1" s="46" t="s">
        <v>10837</v>
      </c>
      <c r="OZG1" s="46" t="s">
        <v>10838</v>
      </c>
      <c r="OZH1" s="46" t="s">
        <v>10839</v>
      </c>
      <c r="OZI1" s="46" t="s">
        <v>10840</v>
      </c>
      <c r="OZJ1" s="46" t="s">
        <v>10841</v>
      </c>
      <c r="OZK1" s="46" t="s">
        <v>10842</v>
      </c>
      <c r="OZL1" s="46" t="s">
        <v>10843</v>
      </c>
      <c r="OZM1" s="46" t="s">
        <v>10844</v>
      </c>
      <c r="OZN1" s="46" t="s">
        <v>10845</v>
      </c>
      <c r="OZO1" s="46" t="s">
        <v>10846</v>
      </c>
      <c r="OZP1" s="46" t="s">
        <v>10847</v>
      </c>
      <c r="OZQ1" s="46" t="s">
        <v>10848</v>
      </c>
      <c r="OZR1" s="46" t="s">
        <v>10849</v>
      </c>
      <c r="OZS1" s="46" t="s">
        <v>10850</v>
      </c>
      <c r="OZT1" s="46" t="s">
        <v>10851</v>
      </c>
      <c r="OZU1" s="46" t="s">
        <v>10852</v>
      </c>
      <c r="OZV1" s="46" t="s">
        <v>10853</v>
      </c>
      <c r="OZW1" s="46" t="s">
        <v>10854</v>
      </c>
      <c r="OZX1" s="46" t="s">
        <v>10855</v>
      </c>
      <c r="OZY1" s="46" t="s">
        <v>10856</v>
      </c>
      <c r="OZZ1" s="46" t="s">
        <v>10857</v>
      </c>
      <c r="PAA1" s="46" t="s">
        <v>10858</v>
      </c>
      <c r="PAB1" s="46" t="s">
        <v>10859</v>
      </c>
      <c r="PAC1" s="46" t="s">
        <v>10860</v>
      </c>
      <c r="PAD1" s="46" t="s">
        <v>10861</v>
      </c>
      <c r="PAE1" s="46" t="s">
        <v>10862</v>
      </c>
      <c r="PAF1" s="46" t="s">
        <v>10863</v>
      </c>
      <c r="PAG1" s="46" t="s">
        <v>10864</v>
      </c>
      <c r="PAH1" s="46" t="s">
        <v>10865</v>
      </c>
      <c r="PAI1" s="46" t="s">
        <v>10866</v>
      </c>
      <c r="PAJ1" s="46" t="s">
        <v>10867</v>
      </c>
      <c r="PAK1" s="46" t="s">
        <v>10868</v>
      </c>
      <c r="PAL1" s="46" t="s">
        <v>10869</v>
      </c>
      <c r="PAM1" s="46" t="s">
        <v>10870</v>
      </c>
      <c r="PAN1" s="46" t="s">
        <v>10871</v>
      </c>
      <c r="PAO1" s="46" t="s">
        <v>10872</v>
      </c>
      <c r="PAP1" s="46" t="s">
        <v>10873</v>
      </c>
      <c r="PAQ1" s="46" t="s">
        <v>10874</v>
      </c>
      <c r="PAR1" s="46" t="s">
        <v>10875</v>
      </c>
      <c r="PAS1" s="46" t="s">
        <v>10876</v>
      </c>
      <c r="PAT1" s="46" t="s">
        <v>10877</v>
      </c>
      <c r="PAU1" s="46" t="s">
        <v>10878</v>
      </c>
      <c r="PAV1" s="46" t="s">
        <v>10879</v>
      </c>
      <c r="PAW1" s="46" t="s">
        <v>10880</v>
      </c>
      <c r="PAX1" s="46" t="s">
        <v>10881</v>
      </c>
      <c r="PAY1" s="46" t="s">
        <v>10882</v>
      </c>
      <c r="PAZ1" s="46" t="s">
        <v>10883</v>
      </c>
      <c r="PBA1" s="46" t="s">
        <v>10884</v>
      </c>
      <c r="PBB1" s="46" t="s">
        <v>10885</v>
      </c>
      <c r="PBC1" s="46" t="s">
        <v>10886</v>
      </c>
      <c r="PBD1" s="46" t="s">
        <v>10887</v>
      </c>
      <c r="PBE1" s="46" t="s">
        <v>10888</v>
      </c>
      <c r="PBF1" s="46" t="s">
        <v>10889</v>
      </c>
      <c r="PBG1" s="46" t="s">
        <v>10890</v>
      </c>
      <c r="PBH1" s="46" t="s">
        <v>10891</v>
      </c>
      <c r="PBI1" s="46" t="s">
        <v>10892</v>
      </c>
      <c r="PBJ1" s="46" t="s">
        <v>10893</v>
      </c>
      <c r="PBK1" s="46" t="s">
        <v>10894</v>
      </c>
      <c r="PBL1" s="46" t="s">
        <v>10895</v>
      </c>
      <c r="PBM1" s="46" t="s">
        <v>10896</v>
      </c>
      <c r="PBN1" s="46" t="s">
        <v>10897</v>
      </c>
      <c r="PBO1" s="46" t="s">
        <v>10898</v>
      </c>
      <c r="PBP1" s="46" t="s">
        <v>10899</v>
      </c>
      <c r="PBQ1" s="46" t="s">
        <v>10900</v>
      </c>
      <c r="PBR1" s="46" t="s">
        <v>10901</v>
      </c>
      <c r="PBS1" s="46" t="s">
        <v>10902</v>
      </c>
      <c r="PBT1" s="46" t="s">
        <v>10903</v>
      </c>
      <c r="PBU1" s="46" t="s">
        <v>10904</v>
      </c>
      <c r="PBV1" s="46" t="s">
        <v>10905</v>
      </c>
      <c r="PBW1" s="46" t="s">
        <v>10906</v>
      </c>
      <c r="PBX1" s="46" t="s">
        <v>10907</v>
      </c>
      <c r="PBY1" s="46" t="s">
        <v>10908</v>
      </c>
      <c r="PBZ1" s="46" t="s">
        <v>10909</v>
      </c>
      <c r="PCA1" s="46" t="s">
        <v>10910</v>
      </c>
      <c r="PCB1" s="46" t="s">
        <v>10911</v>
      </c>
      <c r="PCC1" s="46" t="s">
        <v>10912</v>
      </c>
      <c r="PCD1" s="46" t="s">
        <v>10913</v>
      </c>
      <c r="PCE1" s="46" t="s">
        <v>10914</v>
      </c>
      <c r="PCF1" s="46" t="s">
        <v>10915</v>
      </c>
      <c r="PCG1" s="46" t="s">
        <v>10916</v>
      </c>
      <c r="PCH1" s="46" t="s">
        <v>10917</v>
      </c>
      <c r="PCI1" s="46" t="s">
        <v>10918</v>
      </c>
      <c r="PCJ1" s="46" t="s">
        <v>10919</v>
      </c>
      <c r="PCK1" s="46" t="s">
        <v>10920</v>
      </c>
      <c r="PCL1" s="46" t="s">
        <v>10921</v>
      </c>
      <c r="PCM1" s="46" t="s">
        <v>10922</v>
      </c>
      <c r="PCN1" s="46" t="s">
        <v>10923</v>
      </c>
      <c r="PCO1" s="46" t="s">
        <v>10924</v>
      </c>
      <c r="PCP1" s="46" t="s">
        <v>10925</v>
      </c>
      <c r="PCQ1" s="46" t="s">
        <v>10926</v>
      </c>
      <c r="PCR1" s="46" t="s">
        <v>10927</v>
      </c>
      <c r="PCS1" s="46" t="s">
        <v>10928</v>
      </c>
      <c r="PCT1" s="46" t="s">
        <v>10929</v>
      </c>
      <c r="PCU1" s="46" t="s">
        <v>10930</v>
      </c>
      <c r="PCV1" s="46" t="s">
        <v>10931</v>
      </c>
      <c r="PCW1" s="46" t="s">
        <v>10932</v>
      </c>
      <c r="PCX1" s="46" t="s">
        <v>10933</v>
      </c>
      <c r="PCY1" s="46" t="s">
        <v>10934</v>
      </c>
      <c r="PCZ1" s="46" t="s">
        <v>10935</v>
      </c>
      <c r="PDA1" s="46" t="s">
        <v>10936</v>
      </c>
      <c r="PDB1" s="46" t="s">
        <v>10937</v>
      </c>
      <c r="PDC1" s="46" t="s">
        <v>10938</v>
      </c>
      <c r="PDD1" s="46" t="s">
        <v>10939</v>
      </c>
      <c r="PDE1" s="46" t="s">
        <v>10940</v>
      </c>
      <c r="PDF1" s="46" t="s">
        <v>10941</v>
      </c>
      <c r="PDG1" s="46" t="s">
        <v>10942</v>
      </c>
      <c r="PDH1" s="46" t="s">
        <v>10943</v>
      </c>
      <c r="PDI1" s="46" t="s">
        <v>10944</v>
      </c>
      <c r="PDJ1" s="46" t="s">
        <v>10945</v>
      </c>
      <c r="PDK1" s="46" t="s">
        <v>10946</v>
      </c>
      <c r="PDL1" s="46" t="s">
        <v>10947</v>
      </c>
      <c r="PDM1" s="46" t="s">
        <v>10948</v>
      </c>
      <c r="PDN1" s="46" t="s">
        <v>10949</v>
      </c>
      <c r="PDO1" s="46" t="s">
        <v>10950</v>
      </c>
      <c r="PDP1" s="46" t="s">
        <v>10951</v>
      </c>
      <c r="PDQ1" s="46" t="s">
        <v>10952</v>
      </c>
      <c r="PDR1" s="46" t="s">
        <v>10953</v>
      </c>
      <c r="PDS1" s="46" t="s">
        <v>10954</v>
      </c>
      <c r="PDT1" s="46" t="s">
        <v>10955</v>
      </c>
      <c r="PDU1" s="46" t="s">
        <v>10956</v>
      </c>
      <c r="PDV1" s="46" t="s">
        <v>10957</v>
      </c>
      <c r="PDW1" s="46" t="s">
        <v>10958</v>
      </c>
      <c r="PDX1" s="46" t="s">
        <v>10959</v>
      </c>
      <c r="PDY1" s="46" t="s">
        <v>10960</v>
      </c>
      <c r="PDZ1" s="46" t="s">
        <v>10961</v>
      </c>
      <c r="PEA1" s="46" t="s">
        <v>10962</v>
      </c>
      <c r="PEB1" s="46" t="s">
        <v>10963</v>
      </c>
      <c r="PEC1" s="46" t="s">
        <v>10964</v>
      </c>
      <c r="PED1" s="46" t="s">
        <v>10965</v>
      </c>
      <c r="PEE1" s="46" t="s">
        <v>10966</v>
      </c>
      <c r="PEF1" s="46" t="s">
        <v>10967</v>
      </c>
      <c r="PEG1" s="46" t="s">
        <v>10968</v>
      </c>
      <c r="PEH1" s="46" t="s">
        <v>10969</v>
      </c>
      <c r="PEI1" s="46" t="s">
        <v>10970</v>
      </c>
      <c r="PEJ1" s="46" t="s">
        <v>10971</v>
      </c>
      <c r="PEK1" s="46" t="s">
        <v>10972</v>
      </c>
      <c r="PEL1" s="46" t="s">
        <v>10973</v>
      </c>
      <c r="PEM1" s="46" t="s">
        <v>10974</v>
      </c>
      <c r="PEN1" s="46" t="s">
        <v>10975</v>
      </c>
      <c r="PEO1" s="46" t="s">
        <v>10976</v>
      </c>
      <c r="PEP1" s="46" t="s">
        <v>10977</v>
      </c>
      <c r="PEQ1" s="46" t="s">
        <v>10978</v>
      </c>
      <c r="PER1" s="46" t="s">
        <v>10979</v>
      </c>
      <c r="PES1" s="46" t="s">
        <v>10980</v>
      </c>
      <c r="PET1" s="46" t="s">
        <v>10981</v>
      </c>
      <c r="PEU1" s="46" t="s">
        <v>10982</v>
      </c>
      <c r="PEV1" s="46" t="s">
        <v>10983</v>
      </c>
      <c r="PEW1" s="46" t="s">
        <v>10984</v>
      </c>
      <c r="PEX1" s="46" t="s">
        <v>10985</v>
      </c>
      <c r="PEY1" s="46" t="s">
        <v>10986</v>
      </c>
      <c r="PEZ1" s="46" t="s">
        <v>10987</v>
      </c>
      <c r="PFA1" s="46" t="s">
        <v>10988</v>
      </c>
      <c r="PFB1" s="46" t="s">
        <v>10989</v>
      </c>
      <c r="PFC1" s="46" t="s">
        <v>10990</v>
      </c>
      <c r="PFD1" s="46" t="s">
        <v>10991</v>
      </c>
      <c r="PFE1" s="46" t="s">
        <v>10992</v>
      </c>
      <c r="PFF1" s="46" t="s">
        <v>10993</v>
      </c>
      <c r="PFG1" s="46" t="s">
        <v>10994</v>
      </c>
      <c r="PFH1" s="46" t="s">
        <v>10995</v>
      </c>
      <c r="PFI1" s="46" t="s">
        <v>10996</v>
      </c>
      <c r="PFJ1" s="46" t="s">
        <v>10997</v>
      </c>
      <c r="PFK1" s="46" t="s">
        <v>10998</v>
      </c>
      <c r="PFL1" s="46" t="s">
        <v>10999</v>
      </c>
      <c r="PFM1" s="46" t="s">
        <v>11000</v>
      </c>
      <c r="PFN1" s="46" t="s">
        <v>11001</v>
      </c>
      <c r="PFO1" s="46" t="s">
        <v>11002</v>
      </c>
      <c r="PFP1" s="46" t="s">
        <v>11003</v>
      </c>
      <c r="PFQ1" s="46" t="s">
        <v>11004</v>
      </c>
      <c r="PFR1" s="46" t="s">
        <v>11005</v>
      </c>
      <c r="PFS1" s="46" t="s">
        <v>11006</v>
      </c>
      <c r="PFT1" s="46" t="s">
        <v>11007</v>
      </c>
      <c r="PFU1" s="46" t="s">
        <v>11008</v>
      </c>
      <c r="PFV1" s="46" t="s">
        <v>11009</v>
      </c>
      <c r="PFW1" s="46" t="s">
        <v>11010</v>
      </c>
      <c r="PFX1" s="46" t="s">
        <v>11011</v>
      </c>
      <c r="PFY1" s="46" t="s">
        <v>11012</v>
      </c>
      <c r="PFZ1" s="46" t="s">
        <v>11013</v>
      </c>
      <c r="PGA1" s="46" t="s">
        <v>11014</v>
      </c>
      <c r="PGB1" s="46" t="s">
        <v>11015</v>
      </c>
      <c r="PGC1" s="46" t="s">
        <v>11016</v>
      </c>
      <c r="PGD1" s="46" t="s">
        <v>11017</v>
      </c>
      <c r="PGE1" s="46" t="s">
        <v>11018</v>
      </c>
      <c r="PGF1" s="46" t="s">
        <v>11019</v>
      </c>
      <c r="PGG1" s="46" t="s">
        <v>11020</v>
      </c>
      <c r="PGH1" s="46" t="s">
        <v>11021</v>
      </c>
      <c r="PGI1" s="46" t="s">
        <v>11022</v>
      </c>
      <c r="PGJ1" s="46" t="s">
        <v>11023</v>
      </c>
      <c r="PGK1" s="46" t="s">
        <v>11024</v>
      </c>
      <c r="PGL1" s="46" t="s">
        <v>11025</v>
      </c>
      <c r="PGM1" s="46" t="s">
        <v>11026</v>
      </c>
      <c r="PGN1" s="46" t="s">
        <v>11027</v>
      </c>
      <c r="PGO1" s="46" t="s">
        <v>11028</v>
      </c>
      <c r="PGP1" s="46" t="s">
        <v>11029</v>
      </c>
      <c r="PGQ1" s="46" t="s">
        <v>11030</v>
      </c>
      <c r="PGR1" s="46" t="s">
        <v>11031</v>
      </c>
      <c r="PGS1" s="46" t="s">
        <v>11032</v>
      </c>
      <c r="PGT1" s="46" t="s">
        <v>11033</v>
      </c>
      <c r="PGU1" s="46" t="s">
        <v>11034</v>
      </c>
      <c r="PGV1" s="46" t="s">
        <v>11035</v>
      </c>
      <c r="PGW1" s="46" t="s">
        <v>11036</v>
      </c>
      <c r="PGX1" s="46" t="s">
        <v>11037</v>
      </c>
      <c r="PGY1" s="46" t="s">
        <v>11038</v>
      </c>
      <c r="PGZ1" s="46" t="s">
        <v>11039</v>
      </c>
      <c r="PHA1" s="46" t="s">
        <v>11040</v>
      </c>
      <c r="PHB1" s="46" t="s">
        <v>11041</v>
      </c>
      <c r="PHC1" s="46" t="s">
        <v>11042</v>
      </c>
      <c r="PHD1" s="46" t="s">
        <v>11043</v>
      </c>
      <c r="PHE1" s="46" t="s">
        <v>11044</v>
      </c>
      <c r="PHF1" s="46" t="s">
        <v>11045</v>
      </c>
      <c r="PHG1" s="46" t="s">
        <v>11046</v>
      </c>
      <c r="PHH1" s="46" t="s">
        <v>11047</v>
      </c>
      <c r="PHI1" s="46" t="s">
        <v>11048</v>
      </c>
      <c r="PHJ1" s="46" t="s">
        <v>11049</v>
      </c>
      <c r="PHK1" s="46" t="s">
        <v>11050</v>
      </c>
      <c r="PHL1" s="46" t="s">
        <v>11051</v>
      </c>
      <c r="PHM1" s="46" t="s">
        <v>11052</v>
      </c>
      <c r="PHN1" s="46" t="s">
        <v>11053</v>
      </c>
      <c r="PHO1" s="46" t="s">
        <v>11054</v>
      </c>
      <c r="PHP1" s="46" t="s">
        <v>11055</v>
      </c>
      <c r="PHQ1" s="46" t="s">
        <v>11056</v>
      </c>
      <c r="PHR1" s="46" t="s">
        <v>11057</v>
      </c>
      <c r="PHS1" s="46" t="s">
        <v>11058</v>
      </c>
      <c r="PHT1" s="46" t="s">
        <v>11059</v>
      </c>
      <c r="PHU1" s="46" t="s">
        <v>11060</v>
      </c>
      <c r="PHV1" s="46" t="s">
        <v>11061</v>
      </c>
      <c r="PHW1" s="46" t="s">
        <v>11062</v>
      </c>
      <c r="PHX1" s="46" t="s">
        <v>11063</v>
      </c>
      <c r="PHY1" s="46" t="s">
        <v>11064</v>
      </c>
      <c r="PHZ1" s="46" t="s">
        <v>11065</v>
      </c>
      <c r="PIA1" s="46" t="s">
        <v>11066</v>
      </c>
      <c r="PIB1" s="46" t="s">
        <v>11067</v>
      </c>
      <c r="PIC1" s="46" t="s">
        <v>11068</v>
      </c>
      <c r="PID1" s="46" t="s">
        <v>11069</v>
      </c>
      <c r="PIE1" s="46" t="s">
        <v>11070</v>
      </c>
      <c r="PIF1" s="46" t="s">
        <v>11071</v>
      </c>
      <c r="PIG1" s="46" t="s">
        <v>11072</v>
      </c>
      <c r="PIH1" s="46" t="s">
        <v>11073</v>
      </c>
      <c r="PII1" s="46" t="s">
        <v>11074</v>
      </c>
      <c r="PIJ1" s="46" t="s">
        <v>11075</v>
      </c>
      <c r="PIK1" s="46" t="s">
        <v>11076</v>
      </c>
      <c r="PIL1" s="46" t="s">
        <v>11077</v>
      </c>
      <c r="PIM1" s="46" t="s">
        <v>11078</v>
      </c>
      <c r="PIN1" s="46" t="s">
        <v>11079</v>
      </c>
      <c r="PIO1" s="46" t="s">
        <v>11080</v>
      </c>
      <c r="PIP1" s="46" t="s">
        <v>11081</v>
      </c>
      <c r="PIQ1" s="46" t="s">
        <v>11082</v>
      </c>
      <c r="PIR1" s="46" t="s">
        <v>11083</v>
      </c>
      <c r="PIS1" s="46" t="s">
        <v>11084</v>
      </c>
      <c r="PIT1" s="46" t="s">
        <v>11085</v>
      </c>
      <c r="PIU1" s="46" t="s">
        <v>11086</v>
      </c>
      <c r="PIV1" s="46" t="s">
        <v>11087</v>
      </c>
      <c r="PIW1" s="46" t="s">
        <v>11088</v>
      </c>
      <c r="PIX1" s="46" t="s">
        <v>11089</v>
      </c>
      <c r="PIY1" s="46" t="s">
        <v>11090</v>
      </c>
      <c r="PIZ1" s="46" t="s">
        <v>11091</v>
      </c>
      <c r="PJA1" s="46" t="s">
        <v>11092</v>
      </c>
      <c r="PJB1" s="46" t="s">
        <v>11093</v>
      </c>
      <c r="PJC1" s="46" t="s">
        <v>11094</v>
      </c>
      <c r="PJD1" s="46" t="s">
        <v>11095</v>
      </c>
      <c r="PJE1" s="46" t="s">
        <v>11096</v>
      </c>
      <c r="PJF1" s="46" t="s">
        <v>11097</v>
      </c>
      <c r="PJG1" s="46" t="s">
        <v>11098</v>
      </c>
      <c r="PJH1" s="46" t="s">
        <v>11099</v>
      </c>
      <c r="PJI1" s="46" t="s">
        <v>11100</v>
      </c>
      <c r="PJJ1" s="46" t="s">
        <v>11101</v>
      </c>
      <c r="PJK1" s="46" t="s">
        <v>11102</v>
      </c>
      <c r="PJL1" s="46" t="s">
        <v>11103</v>
      </c>
      <c r="PJM1" s="46" t="s">
        <v>11104</v>
      </c>
      <c r="PJN1" s="46" t="s">
        <v>11105</v>
      </c>
      <c r="PJO1" s="46" t="s">
        <v>11106</v>
      </c>
      <c r="PJP1" s="46" t="s">
        <v>11107</v>
      </c>
      <c r="PJQ1" s="46" t="s">
        <v>11108</v>
      </c>
      <c r="PJR1" s="46" t="s">
        <v>11109</v>
      </c>
      <c r="PJS1" s="46" t="s">
        <v>11110</v>
      </c>
      <c r="PJT1" s="46" t="s">
        <v>11111</v>
      </c>
      <c r="PJU1" s="46" t="s">
        <v>11112</v>
      </c>
      <c r="PJV1" s="46" t="s">
        <v>11113</v>
      </c>
      <c r="PJW1" s="46" t="s">
        <v>11114</v>
      </c>
      <c r="PJX1" s="46" t="s">
        <v>11115</v>
      </c>
      <c r="PJY1" s="46" t="s">
        <v>11116</v>
      </c>
      <c r="PJZ1" s="46" t="s">
        <v>11117</v>
      </c>
      <c r="PKA1" s="46" t="s">
        <v>11118</v>
      </c>
      <c r="PKB1" s="46" t="s">
        <v>11119</v>
      </c>
      <c r="PKC1" s="46" t="s">
        <v>11120</v>
      </c>
      <c r="PKD1" s="46" t="s">
        <v>11121</v>
      </c>
      <c r="PKE1" s="46" t="s">
        <v>11122</v>
      </c>
      <c r="PKF1" s="46" t="s">
        <v>11123</v>
      </c>
      <c r="PKG1" s="46" t="s">
        <v>11124</v>
      </c>
      <c r="PKH1" s="46" t="s">
        <v>11125</v>
      </c>
      <c r="PKI1" s="46" t="s">
        <v>11126</v>
      </c>
      <c r="PKJ1" s="46" t="s">
        <v>11127</v>
      </c>
      <c r="PKK1" s="46" t="s">
        <v>11128</v>
      </c>
      <c r="PKL1" s="46" t="s">
        <v>11129</v>
      </c>
      <c r="PKM1" s="46" t="s">
        <v>11130</v>
      </c>
      <c r="PKN1" s="46" t="s">
        <v>11131</v>
      </c>
      <c r="PKO1" s="46" t="s">
        <v>11132</v>
      </c>
      <c r="PKP1" s="46" t="s">
        <v>11133</v>
      </c>
      <c r="PKQ1" s="46" t="s">
        <v>11134</v>
      </c>
      <c r="PKR1" s="46" t="s">
        <v>11135</v>
      </c>
      <c r="PKS1" s="46" t="s">
        <v>11136</v>
      </c>
      <c r="PKT1" s="46" t="s">
        <v>11137</v>
      </c>
      <c r="PKU1" s="46" t="s">
        <v>11138</v>
      </c>
      <c r="PKV1" s="46" t="s">
        <v>11139</v>
      </c>
      <c r="PKW1" s="46" t="s">
        <v>11140</v>
      </c>
      <c r="PKX1" s="46" t="s">
        <v>11141</v>
      </c>
      <c r="PKY1" s="46" t="s">
        <v>11142</v>
      </c>
      <c r="PKZ1" s="46" t="s">
        <v>11143</v>
      </c>
      <c r="PLA1" s="46" t="s">
        <v>11144</v>
      </c>
      <c r="PLB1" s="46" t="s">
        <v>11145</v>
      </c>
      <c r="PLC1" s="46" t="s">
        <v>11146</v>
      </c>
      <c r="PLD1" s="46" t="s">
        <v>11147</v>
      </c>
      <c r="PLE1" s="46" t="s">
        <v>11148</v>
      </c>
      <c r="PLF1" s="46" t="s">
        <v>11149</v>
      </c>
      <c r="PLG1" s="46" t="s">
        <v>11150</v>
      </c>
      <c r="PLH1" s="46" t="s">
        <v>11151</v>
      </c>
      <c r="PLI1" s="46" t="s">
        <v>11152</v>
      </c>
      <c r="PLJ1" s="46" t="s">
        <v>11153</v>
      </c>
      <c r="PLK1" s="46" t="s">
        <v>11154</v>
      </c>
      <c r="PLL1" s="46" t="s">
        <v>11155</v>
      </c>
      <c r="PLM1" s="46" t="s">
        <v>11156</v>
      </c>
      <c r="PLN1" s="46" t="s">
        <v>11157</v>
      </c>
      <c r="PLO1" s="46" t="s">
        <v>11158</v>
      </c>
      <c r="PLP1" s="46" t="s">
        <v>11159</v>
      </c>
      <c r="PLQ1" s="46" t="s">
        <v>11160</v>
      </c>
      <c r="PLR1" s="46" t="s">
        <v>11161</v>
      </c>
      <c r="PLS1" s="46" t="s">
        <v>11162</v>
      </c>
      <c r="PLT1" s="46" t="s">
        <v>11163</v>
      </c>
      <c r="PLU1" s="46" t="s">
        <v>11164</v>
      </c>
      <c r="PLV1" s="46" t="s">
        <v>11165</v>
      </c>
      <c r="PLW1" s="46" t="s">
        <v>11166</v>
      </c>
      <c r="PLX1" s="46" t="s">
        <v>11167</v>
      </c>
      <c r="PLY1" s="46" t="s">
        <v>11168</v>
      </c>
      <c r="PLZ1" s="46" t="s">
        <v>11169</v>
      </c>
      <c r="PMA1" s="46" t="s">
        <v>11170</v>
      </c>
      <c r="PMB1" s="46" t="s">
        <v>11171</v>
      </c>
      <c r="PMC1" s="46" t="s">
        <v>11172</v>
      </c>
      <c r="PMD1" s="46" t="s">
        <v>11173</v>
      </c>
      <c r="PME1" s="46" t="s">
        <v>11174</v>
      </c>
      <c r="PMF1" s="46" t="s">
        <v>11175</v>
      </c>
      <c r="PMG1" s="46" t="s">
        <v>11176</v>
      </c>
      <c r="PMH1" s="46" t="s">
        <v>11177</v>
      </c>
      <c r="PMI1" s="46" t="s">
        <v>11178</v>
      </c>
      <c r="PMJ1" s="46" t="s">
        <v>11179</v>
      </c>
      <c r="PMK1" s="46" t="s">
        <v>11180</v>
      </c>
      <c r="PML1" s="46" t="s">
        <v>11181</v>
      </c>
      <c r="PMM1" s="46" t="s">
        <v>11182</v>
      </c>
      <c r="PMN1" s="46" t="s">
        <v>11183</v>
      </c>
      <c r="PMO1" s="46" t="s">
        <v>11184</v>
      </c>
      <c r="PMP1" s="46" t="s">
        <v>11185</v>
      </c>
      <c r="PMQ1" s="46" t="s">
        <v>11186</v>
      </c>
      <c r="PMR1" s="46" t="s">
        <v>11187</v>
      </c>
      <c r="PMS1" s="46" t="s">
        <v>11188</v>
      </c>
      <c r="PMT1" s="46" t="s">
        <v>11189</v>
      </c>
      <c r="PMU1" s="46" t="s">
        <v>11190</v>
      </c>
      <c r="PMV1" s="46" t="s">
        <v>11191</v>
      </c>
      <c r="PMW1" s="46" t="s">
        <v>11192</v>
      </c>
      <c r="PMX1" s="46" t="s">
        <v>11193</v>
      </c>
      <c r="PMY1" s="46" t="s">
        <v>11194</v>
      </c>
      <c r="PMZ1" s="46" t="s">
        <v>11195</v>
      </c>
      <c r="PNA1" s="46" t="s">
        <v>11196</v>
      </c>
      <c r="PNB1" s="46" t="s">
        <v>11197</v>
      </c>
      <c r="PNC1" s="46" t="s">
        <v>11198</v>
      </c>
      <c r="PND1" s="46" t="s">
        <v>11199</v>
      </c>
      <c r="PNE1" s="46" t="s">
        <v>11200</v>
      </c>
      <c r="PNF1" s="46" t="s">
        <v>11201</v>
      </c>
      <c r="PNG1" s="46" t="s">
        <v>11202</v>
      </c>
      <c r="PNH1" s="46" t="s">
        <v>11203</v>
      </c>
      <c r="PNI1" s="46" t="s">
        <v>11204</v>
      </c>
      <c r="PNJ1" s="46" t="s">
        <v>11205</v>
      </c>
      <c r="PNK1" s="46" t="s">
        <v>11206</v>
      </c>
      <c r="PNL1" s="46" t="s">
        <v>11207</v>
      </c>
      <c r="PNM1" s="46" t="s">
        <v>11208</v>
      </c>
      <c r="PNN1" s="46" t="s">
        <v>11209</v>
      </c>
      <c r="PNO1" s="46" t="s">
        <v>11210</v>
      </c>
      <c r="PNP1" s="46" t="s">
        <v>11211</v>
      </c>
      <c r="PNQ1" s="46" t="s">
        <v>11212</v>
      </c>
      <c r="PNR1" s="46" t="s">
        <v>11213</v>
      </c>
      <c r="PNS1" s="46" t="s">
        <v>11214</v>
      </c>
      <c r="PNT1" s="46" t="s">
        <v>11215</v>
      </c>
      <c r="PNU1" s="46" t="s">
        <v>11216</v>
      </c>
      <c r="PNV1" s="46" t="s">
        <v>11217</v>
      </c>
      <c r="PNW1" s="46" t="s">
        <v>11218</v>
      </c>
      <c r="PNX1" s="46" t="s">
        <v>11219</v>
      </c>
      <c r="PNY1" s="46" t="s">
        <v>11220</v>
      </c>
      <c r="PNZ1" s="46" t="s">
        <v>11221</v>
      </c>
      <c r="POA1" s="46" t="s">
        <v>11222</v>
      </c>
      <c r="POB1" s="46" t="s">
        <v>11223</v>
      </c>
      <c r="POC1" s="46" t="s">
        <v>11224</v>
      </c>
      <c r="POD1" s="46" t="s">
        <v>11225</v>
      </c>
      <c r="POE1" s="46" t="s">
        <v>11226</v>
      </c>
      <c r="POF1" s="46" t="s">
        <v>11227</v>
      </c>
      <c r="POG1" s="46" t="s">
        <v>11228</v>
      </c>
      <c r="POH1" s="46" t="s">
        <v>11229</v>
      </c>
      <c r="POI1" s="46" t="s">
        <v>11230</v>
      </c>
      <c r="POJ1" s="46" t="s">
        <v>11231</v>
      </c>
      <c r="POK1" s="46" t="s">
        <v>11232</v>
      </c>
      <c r="POL1" s="46" t="s">
        <v>11233</v>
      </c>
      <c r="POM1" s="46" t="s">
        <v>11234</v>
      </c>
      <c r="PON1" s="46" t="s">
        <v>11235</v>
      </c>
      <c r="POO1" s="46" t="s">
        <v>11236</v>
      </c>
      <c r="POP1" s="46" t="s">
        <v>11237</v>
      </c>
      <c r="POQ1" s="46" t="s">
        <v>11238</v>
      </c>
      <c r="POR1" s="46" t="s">
        <v>11239</v>
      </c>
      <c r="POS1" s="46" t="s">
        <v>11240</v>
      </c>
      <c r="POT1" s="46" t="s">
        <v>11241</v>
      </c>
      <c r="POU1" s="46" t="s">
        <v>11242</v>
      </c>
      <c r="POV1" s="46" t="s">
        <v>11243</v>
      </c>
      <c r="POW1" s="46" t="s">
        <v>11244</v>
      </c>
      <c r="POX1" s="46" t="s">
        <v>11245</v>
      </c>
      <c r="POY1" s="46" t="s">
        <v>11246</v>
      </c>
      <c r="POZ1" s="46" t="s">
        <v>11247</v>
      </c>
      <c r="PPA1" s="46" t="s">
        <v>11248</v>
      </c>
      <c r="PPB1" s="46" t="s">
        <v>11249</v>
      </c>
      <c r="PPC1" s="46" t="s">
        <v>11250</v>
      </c>
      <c r="PPD1" s="46" t="s">
        <v>11251</v>
      </c>
      <c r="PPE1" s="46" t="s">
        <v>11252</v>
      </c>
      <c r="PPF1" s="46" t="s">
        <v>11253</v>
      </c>
      <c r="PPG1" s="46" t="s">
        <v>11254</v>
      </c>
      <c r="PPH1" s="46" t="s">
        <v>11255</v>
      </c>
      <c r="PPI1" s="46" t="s">
        <v>11256</v>
      </c>
      <c r="PPJ1" s="46" t="s">
        <v>11257</v>
      </c>
      <c r="PPK1" s="46" t="s">
        <v>11258</v>
      </c>
      <c r="PPL1" s="46" t="s">
        <v>11259</v>
      </c>
      <c r="PPM1" s="46" t="s">
        <v>11260</v>
      </c>
      <c r="PPN1" s="46" t="s">
        <v>11261</v>
      </c>
      <c r="PPO1" s="46" t="s">
        <v>11262</v>
      </c>
      <c r="PPP1" s="46" t="s">
        <v>11263</v>
      </c>
      <c r="PPQ1" s="46" t="s">
        <v>11264</v>
      </c>
      <c r="PPR1" s="46" t="s">
        <v>11265</v>
      </c>
      <c r="PPS1" s="46" t="s">
        <v>11266</v>
      </c>
      <c r="PPT1" s="46" t="s">
        <v>11267</v>
      </c>
      <c r="PPU1" s="46" t="s">
        <v>11268</v>
      </c>
      <c r="PPV1" s="46" t="s">
        <v>11269</v>
      </c>
      <c r="PPW1" s="46" t="s">
        <v>11270</v>
      </c>
      <c r="PPX1" s="46" t="s">
        <v>11271</v>
      </c>
      <c r="PPY1" s="46" t="s">
        <v>11272</v>
      </c>
      <c r="PPZ1" s="46" t="s">
        <v>11273</v>
      </c>
      <c r="PQA1" s="46" t="s">
        <v>11274</v>
      </c>
      <c r="PQB1" s="46" t="s">
        <v>11275</v>
      </c>
      <c r="PQC1" s="46" t="s">
        <v>11276</v>
      </c>
      <c r="PQD1" s="46" t="s">
        <v>11277</v>
      </c>
      <c r="PQE1" s="46" t="s">
        <v>11278</v>
      </c>
      <c r="PQF1" s="46" t="s">
        <v>11279</v>
      </c>
      <c r="PQG1" s="46" t="s">
        <v>11280</v>
      </c>
      <c r="PQH1" s="46" t="s">
        <v>11281</v>
      </c>
      <c r="PQI1" s="46" t="s">
        <v>11282</v>
      </c>
      <c r="PQJ1" s="46" t="s">
        <v>11283</v>
      </c>
      <c r="PQK1" s="46" t="s">
        <v>11284</v>
      </c>
      <c r="PQL1" s="46" t="s">
        <v>11285</v>
      </c>
      <c r="PQM1" s="46" t="s">
        <v>11286</v>
      </c>
      <c r="PQN1" s="46" t="s">
        <v>11287</v>
      </c>
      <c r="PQO1" s="46" t="s">
        <v>11288</v>
      </c>
      <c r="PQP1" s="46" t="s">
        <v>11289</v>
      </c>
      <c r="PQQ1" s="46" t="s">
        <v>11290</v>
      </c>
      <c r="PQR1" s="46" t="s">
        <v>11291</v>
      </c>
      <c r="PQS1" s="46" t="s">
        <v>11292</v>
      </c>
      <c r="PQT1" s="46" t="s">
        <v>11293</v>
      </c>
      <c r="PQU1" s="46" t="s">
        <v>11294</v>
      </c>
      <c r="PQV1" s="46" t="s">
        <v>11295</v>
      </c>
      <c r="PQW1" s="46" t="s">
        <v>11296</v>
      </c>
      <c r="PQX1" s="46" t="s">
        <v>11297</v>
      </c>
      <c r="PQY1" s="46" t="s">
        <v>11298</v>
      </c>
      <c r="PQZ1" s="46" t="s">
        <v>11299</v>
      </c>
      <c r="PRA1" s="46" t="s">
        <v>11300</v>
      </c>
      <c r="PRB1" s="46" t="s">
        <v>11301</v>
      </c>
      <c r="PRC1" s="46" t="s">
        <v>11302</v>
      </c>
      <c r="PRD1" s="46" t="s">
        <v>11303</v>
      </c>
      <c r="PRE1" s="46" t="s">
        <v>11304</v>
      </c>
      <c r="PRF1" s="46" t="s">
        <v>11305</v>
      </c>
      <c r="PRG1" s="46" t="s">
        <v>11306</v>
      </c>
      <c r="PRH1" s="46" t="s">
        <v>11307</v>
      </c>
      <c r="PRI1" s="46" t="s">
        <v>11308</v>
      </c>
      <c r="PRJ1" s="46" t="s">
        <v>11309</v>
      </c>
      <c r="PRK1" s="46" t="s">
        <v>11310</v>
      </c>
      <c r="PRL1" s="46" t="s">
        <v>11311</v>
      </c>
      <c r="PRM1" s="46" t="s">
        <v>11312</v>
      </c>
      <c r="PRN1" s="46" t="s">
        <v>11313</v>
      </c>
      <c r="PRO1" s="46" t="s">
        <v>11314</v>
      </c>
      <c r="PRP1" s="46" t="s">
        <v>11315</v>
      </c>
      <c r="PRQ1" s="46" t="s">
        <v>11316</v>
      </c>
      <c r="PRR1" s="46" t="s">
        <v>11317</v>
      </c>
      <c r="PRS1" s="46" t="s">
        <v>11318</v>
      </c>
      <c r="PRT1" s="46" t="s">
        <v>11319</v>
      </c>
      <c r="PRU1" s="46" t="s">
        <v>11320</v>
      </c>
      <c r="PRV1" s="46" t="s">
        <v>11321</v>
      </c>
      <c r="PRW1" s="46" t="s">
        <v>11322</v>
      </c>
      <c r="PRX1" s="46" t="s">
        <v>11323</v>
      </c>
      <c r="PRY1" s="46" t="s">
        <v>11324</v>
      </c>
      <c r="PRZ1" s="46" t="s">
        <v>11325</v>
      </c>
      <c r="PSA1" s="46" t="s">
        <v>11326</v>
      </c>
      <c r="PSB1" s="46" t="s">
        <v>11327</v>
      </c>
      <c r="PSC1" s="46" t="s">
        <v>11328</v>
      </c>
      <c r="PSD1" s="46" t="s">
        <v>11329</v>
      </c>
      <c r="PSE1" s="46" t="s">
        <v>11330</v>
      </c>
      <c r="PSF1" s="46" t="s">
        <v>11331</v>
      </c>
      <c r="PSG1" s="46" t="s">
        <v>11332</v>
      </c>
      <c r="PSH1" s="46" t="s">
        <v>11333</v>
      </c>
      <c r="PSI1" s="46" t="s">
        <v>11334</v>
      </c>
      <c r="PSJ1" s="46" t="s">
        <v>11335</v>
      </c>
      <c r="PSK1" s="46" t="s">
        <v>11336</v>
      </c>
      <c r="PSL1" s="46" t="s">
        <v>11337</v>
      </c>
      <c r="PSM1" s="46" t="s">
        <v>11338</v>
      </c>
      <c r="PSN1" s="46" t="s">
        <v>11339</v>
      </c>
      <c r="PSO1" s="46" t="s">
        <v>11340</v>
      </c>
      <c r="PSP1" s="46" t="s">
        <v>11341</v>
      </c>
      <c r="PSQ1" s="46" t="s">
        <v>11342</v>
      </c>
      <c r="PSR1" s="46" t="s">
        <v>11343</v>
      </c>
      <c r="PSS1" s="46" t="s">
        <v>11344</v>
      </c>
      <c r="PST1" s="46" t="s">
        <v>11345</v>
      </c>
      <c r="PSU1" s="46" t="s">
        <v>11346</v>
      </c>
      <c r="PSV1" s="46" t="s">
        <v>11347</v>
      </c>
      <c r="PSW1" s="46" t="s">
        <v>11348</v>
      </c>
      <c r="PSX1" s="46" t="s">
        <v>11349</v>
      </c>
      <c r="PSY1" s="46" t="s">
        <v>11350</v>
      </c>
      <c r="PSZ1" s="46" t="s">
        <v>11351</v>
      </c>
      <c r="PTA1" s="46" t="s">
        <v>11352</v>
      </c>
      <c r="PTB1" s="46" t="s">
        <v>11353</v>
      </c>
      <c r="PTC1" s="46" t="s">
        <v>11354</v>
      </c>
      <c r="PTD1" s="46" t="s">
        <v>11355</v>
      </c>
      <c r="PTE1" s="46" t="s">
        <v>11356</v>
      </c>
      <c r="PTF1" s="46" t="s">
        <v>11357</v>
      </c>
      <c r="PTG1" s="46" t="s">
        <v>11358</v>
      </c>
      <c r="PTH1" s="46" t="s">
        <v>11359</v>
      </c>
      <c r="PTI1" s="46" t="s">
        <v>11360</v>
      </c>
      <c r="PTJ1" s="46" t="s">
        <v>11361</v>
      </c>
      <c r="PTK1" s="46" t="s">
        <v>11362</v>
      </c>
      <c r="PTL1" s="46" t="s">
        <v>11363</v>
      </c>
      <c r="PTM1" s="46" t="s">
        <v>11364</v>
      </c>
      <c r="PTN1" s="46" t="s">
        <v>11365</v>
      </c>
      <c r="PTO1" s="46" t="s">
        <v>11366</v>
      </c>
      <c r="PTP1" s="46" t="s">
        <v>11367</v>
      </c>
      <c r="PTQ1" s="46" t="s">
        <v>11368</v>
      </c>
      <c r="PTR1" s="46" t="s">
        <v>11369</v>
      </c>
      <c r="PTS1" s="46" t="s">
        <v>11370</v>
      </c>
      <c r="PTT1" s="46" t="s">
        <v>11371</v>
      </c>
      <c r="PTU1" s="46" t="s">
        <v>11372</v>
      </c>
      <c r="PTV1" s="46" t="s">
        <v>11373</v>
      </c>
      <c r="PTW1" s="46" t="s">
        <v>11374</v>
      </c>
      <c r="PTX1" s="46" t="s">
        <v>11375</v>
      </c>
      <c r="PTY1" s="46" t="s">
        <v>11376</v>
      </c>
      <c r="PTZ1" s="46" t="s">
        <v>11377</v>
      </c>
      <c r="PUA1" s="46" t="s">
        <v>11378</v>
      </c>
      <c r="PUB1" s="46" t="s">
        <v>11379</v>
      </c>
      <c r="PUC1" s="46" t="s">
        <v>11380</v>
      </c>
      <c r="PUD1" s="46" t="s">
        <v>11381</v>
      </c>
      <c r="PUE1" s="46" t="s">
        <v>11382</v>
      </c>
      <c r="PUF1" s="46" t="s">
        <v>11383</v>
      </c>
      <c r="PUG1" s="46" t="s">
        <v>11384</v>
      </c>
      <c r="PUH1" s="46" t="s">
        <v>11385</v>
      </c>
      <c r="PUI1" s="46" t="s">
        <v>11386</v>
      </c>
      <c r="PUJ1" s="46" t="s">
        <v>11387</v>
      </c>
      <c r="PUK1" s="46" t="s">
        <v>11388</v>
      </c>
      <c r="PUL1" s="46" t="s">
        <v>11389</v>
      </c>
      <c r="PUM1" s="46" t="s">
        <v>11390</v>
      </c>
      <c r="PUN1" s="46" t="s">
        <v>11391</v>
      </c>
      <c r="PUO1" s="46" t="s">
        <v>11392</v>
      </c>
      <c r="PUP1" s="46" t="s">
        <v>11393</v>
      </c>
      <c r="PUQ1" s="46" t="s">
        <v>11394</v>
      </c>
      <c r="PUR1" s="46" t="s">
        <v>11395</v>
      </c>
      <c r="PUS1" s="46" t="s">
        <v>11396</v>
      </c>
      <c r="PUT1" s="46" t="s">
        <v>11397</v>
      </c>
      <c r="PUU1" s="46" t="s">
        <v>11398</v>
      </c>
      <c r="PUV1" s="46" t="s">
        <v>11399</v>
      </c>
      <c r="PUW1" s="46" t="s">
        <v>11400</v>
      </c>
      <c r="PUX1" s="46" t="s">
        <v>11401</v>
      </c>
      <c r="PUY1" s="46" t="s">
        <v>11402</v>
      </c>
      <c r="PUZ1" s="46" t="s">
        <v>11403</v>
      </c>
      <c r="PVA1" s="46" t="s">
        <v>11404</v>
      </c>
      <c r="PVB1" s="46" t="s">
        <v>11405</v>
      </c>
      <c r="PVC1" s="46" t="s">
        <v>11406</v>
      </c>
      <c r="PVD1" s="46" t="s">
        <v>11407</v>
      </c>
      <c r="PVE1" s="46" t="s">
        <v>11408</v>
      </c>
      <c r="PVF1" s="46" t="s">
        <v>11409</v>
      </c>
      <c r="PVG1" s="46" t="s">
        <v>11410</v>
      </c>
      <c r="PVH1" s="46" t="s">
        <v>11411</v>
      </c>
      <c r="PVI1" s="46" t="s">
        <v>11412</v>
      </c>
      <c r="PVJ1" s="46" t="s">
        <v>11413</v>
      </c>
      <c r="PVK1" s="46" t="s">
        <v>11414</v>
      </c>
      <c r="PVL1" s="46" t="s">
        <v>11415</v>
      </c>
      <c r="PVM1" s="46" t="s">
        <v>11416</v>
      </c>
      <c r="PVN1" s="46" t="s">
        <v>11417</v>
      </c>
      <c r="PVO1" s="46" t="s">
        <v>11418</v>
      </c>
      <c r="PVP1" s="46" t="s">
        <v>11419</v>
      </c>
      <c r="PVQ1" s="46" t="s">
        <v>11420</v>
      </c>
      <c r="PVR1" s="46" t="s">
        <v>11421</v>
      </c>
      <c r="PVS1" s="46" t="s">
        <v>11422</v>
      </c>
      <c r="PVT1" s="46" t="s">
        <v>11423</v>
      </c>
      <c r="PVU1" s="46" t="s">
        <v>11424</v>
      </c>
      <c r="PVV1" s="46" t="s">
        <v>11425</v>
      </c>
      <c r="PVW1" s="46" t="s">
        <v>11426</v>
      </c>
      <c r="PVX1" s="46" t="s">
        <v>11427</v>
      </c>
      <c r="PVY1" s="46" t="s">
        <v>11428</v>
      </c>
      <c r="PVZ1" s="46" t="s">
        <v>11429</v>
      </c>
      <c r="PWA1" s="46" t="s">
        <v>11430</v>
      </c>
      <c r="PWB1" s="46" t="s">
        <v>11431</v>
      </c>
      <c r="PWC1" s="46" t="s">
        <v>11432</v>
      </c>
      <c r="PWD1" s="46" t="s">
        <v>11433</v>
      </c>
      <c r="PWE1" s="46" t="s">
        <v>11434</v>
      </c>
      <c r="PWF1" s="46" t="s">
        <v>11435</v>
      </c>
      <c r="PWG1" s="46" t="s">
        <v>11436</v>
      </c>
      <c r="PWH1" s="46" t="s">
        <v>11437</v>
      </c>
      <c r="PWI1" s="46" t="s">
        <v>11438</v>
      </c>
      <c r="PWJ1" s="46" t="s">
        <v>11439</v>
      </c>
      <c r="PWK1" s="46" t="s">
        <v>11440</v>
      </c>
      <c r="PWL1" s="46" t="s">
        <v>11441</v>
      </c>
      <c r="PWM1" s="46" t="s">
        <v>11442</v>
      </c>
      <c r="PWN1" s="46" t="s">
        <v>11443</v>
      </c>
      <c r="PWO1" s="46" t="s">
        <v>11444</v>
      </c>
      <c r="PWP1" s="46" t="s">
        <v>11445</v>
      </c>
      <c r="PWQ1" s="46" t="s">
        <v>11446</v>
      </c>
      <c r="PWR1" s="46" t="s">
        <v>11447</v>
      </c>
      <c r="PWS1" s="46" t="s">
        <v>11448</v>
      </c>
      <c r="PWT1" s="46" t="s">
        <v>11449</v>
      </c>
      <c r="PWU1" s="46" t="s">
        <v>11450</v>
      </c>
      <c r="PWV1" s="46" t="s">
        <v>11451</v>
      </c>
      <c r="PWW1" s="46" t="s">
        <v>11452</v>
      </c>
      <c r="PWX1" s="46" t="s">
        <v>11453</v>
      </c>
      <c r="PWY1" s="46" t="s">
        <v>11454</v>
      </c>
      <c r="PWZ1" s="46" t="s">
        <v>11455</v>
      </c>
      <c r="PXA1" s="46" t="s">
        <v>11456</v>
      </c>
      <c r="PXB1" s="46" t="s">
        <v>11457</v>
      </c>
      <c r="PXC1" s="46" t="s">
        <v>11458</v>
      </c>
      <c r="PXD1" s="46" t="s">
        <v>11459</v>
      </c>
      <c r="PXE1" s="46" t="s">
        <v>11460</v>
      </c>
      <c r="PXF1" s="46" t="s">
        <v>11461</v>
      </c>
      <c r="PXG1" s="46" t="s">
        <v>11462</v>
      </c>
      <c r="PXH1" s="46" t="s">
        <v>11463</v>
      </c>
      <c r="PXI1" s="46" t="s">
        <v>11464</v>
      </c>
      <c r="PXJ1" s="46" t="s">
        <v>11465</v>
      </c>
      <c r="PXK1" s="46" t="s">
        <v>11466</v>
      </c>
      <c r="PXL1" s="46" t="s">
        <v>11467</v>
      </c>
      <c r="PXM1" s="46" t="s">
        <v>11468</v>
      </c>
      <c r="PXN1" s="46" t="s">
        <v>11469</v>
      </c>
      <c r="PXO1" s="46" t="s">
        <v>11470</v>
      </c>
      <c r="PXP1" s="46" t="s">
        <v>11471</v>
      </c>
      <c r="PXQ1" s="46" t="s">
        <v>11472</v>
      </c>
      <c r="PXR1" s="46" t="s">
        <v>11473</v>
      </c>
      <c r="PXS1" s="46" t="s">
        <v>11474</v>
      </c>
      <c r="PXT1" s="46" t="s">
        <v>11475</v>
      </c>
      <c r="PXU1" s="46" t="s">
        <v>11476</v>
      </c>
      <c r="PXV1" s="46" t="s">
        <v>11477</v>
      </c>
      <c r="PXW1" s="46" t="s">
        <v>11478</v>
      </c>
      <c r="PXX1" s="46" t="s">
        <v>11479</v>
      </c>
      <c r="PXY1" s="46" t="s">
        <v>11480</v>
      </c>
      <c r="PXZ1" s="46" t="s">
        <v>11481</v>
      </c>
      <c r="PYA1" s="46" t="s">
        <v>11482</v>
      </c>
      <c r="PYB1" s="46" t="s">
        <v>11483</v>
      </c>
      <c r="PYC1" s="46" t="s">
        <v>11484</v>
      </c>
      <c r="PYD1" s="46" t="s">
        <v>11485</v>
      </c>
      <c r="PYE1" s="46" t="s">
        <v>11486</v>
      </c>
      <c r="PYF1" s="46" t="s">
        <v>11487</v>
      </c>
      <c r="PYG1" s="46" t="s">
        <v>11488</v>
      </c>
      <c r="PYH1" s="46" t="s">
        <v>11489</v>
      </c>
      <c r="PYI1" s="46" t="s">
        <v>11490</v>
      </c>
      <c r="PYJ1" s="46" t="s">
        <v>11491</v>
      </c>
      <c r="PYK1" s="46" t="s">
        <v>11492</v>
      </c>
      <c r="PYL1" s="46" t="s">
        <v>11493</v>
      </c>
      <c r="PYM1" s="46" t="s">
        <v>11494</v>
      </c>
      <c r="PYN1" s="46" t="s">
        <v>11495</v>
      </c>
      <c r="PYO1" s="46" t="s">
        <v>11496</v>
      </c>
      <c r="PYP1" s="46" t="s">
        <v>11497</v>
      </c>
      <c r="PYQ1" s="46" t="s">
        <v>11498</v>
      </c>
      <c r="PYR1" s="46" t="s">
        <v>11499</v>
      </c>
      <c r="PYS1" s="46" t="s">
        <v>11500</v>
      </c>
      <c r="PYT1" s="46" t="s">
        <v>11501</v>
      </c>
      <c r="PYU1" s="46" t="s">
        <v>11502</v>
      </c>
      <c r="PYV1" s="46" t="s">
        <v>11503</v>
      </c>
      <c r="PYW1" s="46" t="s">
        <v>11504</v>
      </c>
      <c r="PYX1" s="46" t="s">
        <v>11505</v>
      </c>
      <c r="PYY1" s="46" t="s">
        <v>11506</v>
      </c>
      <c r="PYZ1" s="46" t="s">
        <v>11507</v>
      </c>
      <c r="PZA1" s="46" t="s">
        <v>11508</v>
      </c>
      <c r="PZB1" s="46" t="s">
        <v>11509</v>
      </c>
      <c r="PZC1" s="46" t="s">
        <v>11510</v>
      </c>
      <c r="PZD1" s="46" t="s">
        <v>11511</v>
      </c>
      <c r="PZE1" s="46" t="s">
        <v>11512</v>
      </c>
      <c r="PZF1" s="46" t="s">
        <v>11513</v>
      </c>
      <c r="PZG1" s="46" t="s">
        <v>11514</v>
      </c>
      <c r="PZH1" s="46" t="s">
        <v>11515</v>
      </c>
      <c r="PZI1" s="46" t="s">
        <v>11516</v>
      </c>
      <c r="PZJ1" s="46" t="s">
        <v>11517</v>
      </c>
      <c r="PZK1" s="46" t="s">
        <v>11518</v>
      </c>
      <c r="PZL1" s="46" t="s">
        <v>11519</v>
      </c>
      <c r="PZM1" s="46" t="s">
        <v>11520</v>
      </c>
      <c r="PZN1" s="46" t="s">
        <v>11521</v>
      </c>
      <c r="PZO1" s="46" t="s">
        <v>11522</v>
      </c>
      <c r="PZP1" s="46" t="s">
        <v>11523</v>
      </c>
      <c r="PZQ1" s="46" t="s">
        <v>11524</v>
      </c>
      <c r="PZR1" s="46" t="s">
        <v>11525</v>
      </c>
      <c r="PZS1" s="46" t="s">
        <v>11526</v>
      </c>
      <c r="PZT1" s="46" t="s">
        <v>11527</v>
      </c>
      <c r="PZU1" s="46" t="s">
        <v>11528</v>
      </c>
      <c r="PZV1" s="46" t="s">
        <v>11529</v>
      </c>
      <c r="PZW1" s="46" t="s">
        <v>11530</v>
      </c>
      <c r="PZX1" s="46" t="s">
        <v>11531</v>
      </c>
      <c r="PZY1" s="46" t="s">
        <v>11532</v>
      </c>
      <c r="PZZ1" s="46" t="s">
        <v>11533</v>
      </c>
      <c r="QAA1" s="46" t="s">
        <v>11534</v>
      </c>
      <c r="QAB1" s="46" t="s">
        <v>11535</v>
      </c>
      <c r="QAC1" s="46" t="s">
        <v>11536</v>
      </c>
      <c r="QAD1" s="46" t="s">
        <v>11537</v>
      </c>
      <c r="QAE1" s="46" t="s">
        <v>11538</v>
      </c>
      <c r="QAF1" s="46" t="s">
        <v>11539</v>
      </c>
      <c r="QAG1" s="46" t="s">
        <v>11540</v>
      </c>
      <c r="QAH1" s="46" t="s">
        <v>11541</v>
      </c>
      <c r="QAI1" s="46" t="s">
        <v>11542</v>
      </c>
      <c r="QAJ1" s="46" t="s">
        <v>11543</v>
      </c>
      <c r="QAK1" s="46" t="s">
        <v>11544</v>
      </c>
      <c r="QAL1" s="46" t="s">
        <v>11545</v>
      </c>
      <c r="QAM1" s="46" t="s">
        <v>11546</v>
      </c>
      <c r="QAN1" s="46" t="s">
        <v>11547</v>
      </c>
      <c r="QAO1" s="46" t="s">
        <v>11548</v>
      </c>
      <c r="QAP1" s="46" t="s">
        <v>11549</v>
      </c>
      <c r="QAQ1" s="46" t="s">
        <v>11550</v>
      </c>
      <c r="QAR1" s="46" t="s">
        <v>11551</v>
      </c>
      <c r="QAS1" s="46" t="s">
        <v>11552</v>
      </c>
      <c r="QAT1" s="46" t="s">
        <v>11553</v>
      </c>
      <c r="QAU1" s="46" t="s">
        <v>11554</v>
      </c>
      <c r="QAV1" s="46" t="s">
        <v>11555</v>
      </c>
      <c r="QAW1" s="46" t="s">
        <v>11556</v>
      </c>
      <c r="QAX1" s="46" t="s">
        <v>11557</v>
      </c>
      <c r="QAY1" s="46" t="s">
        <v>11558</v>
      </c>
      <c r="QAZ1" s="46" t="s">
        <v>11559</v>
      </c>
      <c r="QBA1" s="46" t="s">
        <v>11560</v>
      </c>
      <c r="QBB1" s="46" t="s">
        <v>11561</v>
      </c>
      <c r="QBC1" s="46" t="s">
        <v>11562</v>
      </c>
      <c r="QBD1" s="46" t="s">
        <v>11563</v>
      </c>
      <c r="QBE1" s="46" t="s">
        <v>11564</v>
      </c>
      <c r="QBF1" s="46" t="s">
        <v>11565</v>
      </c>
      <c r="QBG1" s="46" t="s">
        <v>11566</v>
      </c>
      <c r="QBH1" s="46" t="s">
        <v>11567</v>
      </c>
      <c r="QBI1" s="46" t="s">
        <v>11568</v>
      </c>
      <c r="QBJ1" s="46" t="s">
        <v>11569</v>
      </c>
      <c r="QBK1" s="46" t="s">
        <v>11570</v>
      </c>
      <c r="QBL1" s="46" t="s">
        <v>11571</v>
      </c>
      <c r="QBM1" s="46" t="s">
        <v>11572</v>
      </c>
      <c r="QBN1" s="46" t="s">
        <v>11573</v>
      </c>
      <c r="QBO1" s="46" t="s">
        <v>11574</v>
      </c>
      <c r="QBP1" s="46" t="s">
        <v>11575</v>
      </c>
      <c r="QBQ1" s="46" t="s">
        <v>11576</v>
      </c>
      <c r="QBR1" s="46" t="s">
        <v>11577</v>
      </c>
      <c r="QBS1" s="46" t="s">
        <v>11578</v>
      </c>
      <c r="QBT1" s="46" t="s">
        <v>11579</v>
      </c>
      <c r="QBU1" s="46" t="s">
        <v>11580</v>
      </c>
      <c r="QBV1" s="46" t="s">
        <v>11581</v>
      </c>
      <c r="QBW1" s="46" t="s">
        <v>11582</v>
      </c>
      <c r="QBX1" s="46" t="s">
        <v>11583</v>
      </c>
      <c r="QBY1" s="46" t="s">
        <v>11584</v>
      </c>
      <c r="QBZ1" s="46" t="s">
        <v>11585</v>
      </c>
      <c r="QCA1" s="46" t="s">
        <v>11586</v>
      </c>
      <c r="QCB1" s="46" t="s">
        <v>11587</v>
      </c>
      <c r="QCC1" s="46" t="s">
        <v>11588</v>
      </c>
      <c r="QCD1" s="46" t="s">
        <v>11589</v>
      </c>
      <c r="QCE1" s="46" t="s">
        <v>11590</v>
      </c>
      <c r="QCF1" s="46" t="s">
        <v>11591</v>
      </c>
      <c r="QCG1" s="46" t="s">
        <v>11592</v>
      </c>
      <c r="QCH1" s="46" t="s">
        <v>11593</v>
      </c>
      <c r="QCI1" s="46" t="s">
        <v>11594</v>
      </c>
      <c r="QCJ1" s="46" t="s">
        <v>11595</v>
      </c>
      <c r="QCK1" s="46" t="s">
        <v>11596</v>
      </c>
      <c r="QCL1" s="46" t="s">
        <v>11597</v>
      </c>
      <c r="QCM1" s="46" t="s">
        <v>11598</v>
      </c>
      <c r="QCN1" s="46" t="s">
        <v>11599</v>
      </c>
      <c r="QCO1" s="46" t="s">
        <v>11600</v>
      </c>
      <c r="QCP1" s="46" t="s">
        <v>11601</v>
      </c>
      <c r="QCQ1" s="46" t="s">
        <v>11602</v>
      </c>
      <c r="QCR1" s="46" t="s">
        <v>11603</v>
      </c>
      <c r="QCS1" s="46" t="s">
        <v>11604</v>
      </c>
      <c r="QCT1" s="46" t="s">
        <v>11605</v>
      </c>
      <c r="QCU1" s="46" t="s">
        <v>11606</v>
      </c>
      <c r="QCV1" s="46" t="s">
        <v>11607</v>
      </c>
      <c r="QCW1" s="46" t="s">
        <v>11608</v>
      </c>
      <c r="QCX1" s="46" t="s">
        <v>11609</v>
      </c>
      <c r="QCY1" s="46" t="s">
        <v>11610</v>
      </c>
      <c r="QCZ1" s="46" t="s">
        <v>11611</v>
      </c>
      <c r="QDA1" s="46" t="s">
        <v>11612</v>
      </c>
      <c r="QDB1" s="46" t="s">
        <v>11613</v>
      </c>
      <c r="QDC1" s="46" t="s">
        <v>11614</v>
      </c>
      <c r="QDD1" s="46" t="s">
        <v>11615</v>
      </c>
      <c r="QDE1" s="46" t="s">
        <v>11616</v>
      </c>
      <c r="QDF1" s="46" t="s">
        <v>11617</v>
      </c>
      <c r="QDG1" s="46" t="s">
        <v>11618</v>
      </c>
      <c r="QDH1" s="46" t="s">
        <v>11619</v>
      </c>
      <c r="QDI1" s="46" t="s">
        <v>11620</v>
      </c>
      <c r="QDJ1" s="46" t="s">
        <v>11621</v>
      </c>
      <c r="QDK1" s="46" t="s">
        <v>11622</v>
      </c>
      <c r="QDL1" s="46" t="s">
        <v>11623</v>
      </c>
      <c r="QDM1" s="46" t="s">
        <v>11624</v>
      </c>
      <c r="QDN1" s="46" t="s">
        <v>11625</v>
      </c>
      <c r="QDO1" s="46" t="s">
        <v>11626</v>
      </c>
      <c r="QDP1" s="46" t="s">
        <v>11627</v>
      </c>
      <c r="QDQ1" s="46" t="s">
        <v>11628</v>
      </c>
      <c r="QDR1" s="46" t="s">
        <v>11629</v>
      </c>
      <c r="QDS1" s="46" t="s">
        <v>11630</v>
      </c>
      <c r="QDT1" s="46" t="s">
        <v>11631</v>
      </c>
      <c r="QDU1" s="46" t="s">
        <v>11632</v>
      </c>
      <c r="QDV1" s="46" t="s">
        <v>11633</v>
      </c>
      <c r="QDW1" s="46" t="s">
        <v>11634</v>
      </c>
      <c r="QDX1" s="46" t="s">
        <v>11635</v>
      </c>
      <c r="QDY1" s="46" t="s">
        <v>11636</v>
      </c>
      <c r="QDZ1" s="46" t="s">
        <v>11637</v>
      </c>
      <c r="QEA1" s="46" t="s">
        <v>11638</v>
      </c>
      <c r="QEB1" s="46" t="s">
        <v>11639</v>
      </c>
      <c r="QEC1" s="46" t="s">
        <v>11640</v>
      </c>
      <c r="QED1" s="46" t="s">
        <v>11641</v>
      </c>
      <c r="QEE1" s="46" t="s">
        <v>11642</v>
      </c>
      <c r="QEF1" s="46" t="s">
        <v>11643</v>
      </c>
      <c r="QEG1" s="46" t="s">
        <v>11644</v>
      </c>
      <c r="QEH1" s="46" t="s">
        <v>11645</v>
      </c>
      <c r="QEI1" s="46" t="s">
        <v>11646</v>
      </c>
      <c r="QEJ1" s="46" t="s">
        <v>11647</v>
      </c>
      <c r="QEK1" s="46" t="s">
        <v>11648</v>
      </c>
      <c r="QEL1" s="46" t="s">
        <v>11649</v>
      </c>
      <c r="QEM1" s="46" t="s">
        <v>11650</v>
      </c>
      <c r="QEN1" s="46" t="s">
        <v>11651</v>
      </c>
      <c r="QEO1" s="46" t="s">
        <v>11652</v>
      </c>
      <c r="QEP1" s="46" t="s">
        <v>11653</v>
      </c>
      <c r="QEQ1" s="46" t="s">
        <v>11654</v>
      </c>
      <c r="QER1" s="46" t="s">
        <v>11655</v>
      </c>
      <c r="QES1" s="46" t="s">
        <v>11656</v>
      </c>
      <c r="QET1" s="46" t="s">
        <v>11657</v>
      </c>
      <c r="QEU1" s="46" t="s">
        <v>11658</v>
      </c>
      <c r="QEV1" s="46" t="s">
        <v>11659</v>
      </c>
      <c r="QEW1" s="46" t="s">
        <v>11660</v>
      </c>
      <c r="QEX1" s="46" t="s">
        <v>11661</v>
      </c>
      <c r="QEY1" s="46" t="s">
        <v>11662</v>
      </c>
      <c r="QEZ1" s="46" t="s">
        <v>11663</v>
      </c>
      <c r="QFA1" s="46" t="s">
        <v>11664</v>
      </c>
      <c r="QFB1" s="46" t="s">
        <v>11665</v>
      </c>
      <c r="QFC1" s="46" t="s">
        <v>11666</v>
      </c>
      <c r="QFD1" s="46" t="s">
        <v>11667</v>
      </c>
      <c r="QFE1" s="46" t="s">
        <v>11668</v>
      </c>
      <c r="QFF1" s="46" t="s">
        <v>11669</v>
      </c>
      <c r="QFG1" s="46" t="s">
        <v>11670</v>
      </c>
      <c r="QFH1" s="46" t="s">
        <v>11671</v>
      </c>
      <c r="QFI1" s="46" t="s">
        <v>11672</v>
      </c>
      <c r="QFJ1" s="46" t="s">
        <v>11673</v>
      </c>
      <c r="QFK1" s="46" t="s">
        <v>11674</v>
      </c>
      <c r="QFL1" s="46" t="s">
        <v>11675</v>
      </c>
      <c r="QFM1" s="46" t="s">
        <v>11676</v>
      </c>
      <c r="QFN1" s="46" t="s">
        <v>11677</v>
      </c>
      <c r="QFO1" s="46" t="s">
        <v>11678</v>
      </c>
      <c r="QFP1" s="46" t="s">
        <v>11679</v>
      </c>
      <c r="QFQ1" s="46" t="s">
        <v>11680</v>
      </c>
      <c r="QFR1" s="46" t="s">
        <v>11681</v>
      </c>
      <c r="QFS1" s="46" t="s">
        <v>11682</v>
      </c>
      <c r="QFT1" s="46" t="s">
        <v>11683</v>
      </c>
      <c r="QFU1" s="46" t="s">
        <v>11684</v>
      </c>
      <c r="QFV1" s="46" t="s">
        <v>11685</v>
      </c>
      <c r="QFW1" s="46" t="s">
        <v>11686</v>
      </c>
      <c r="QFX1" s="46" t="s">
        <v>11687</v>
      </c>
      <c r="QFY1" s="46" t="s">
        <v>11688</v>
      </c>
      <c r="QFZ1" s="46" t="s">
        <v>11689</v>
      </c>
      <c r="QGA1" s="46" t="s">
        <v>11690</v>
      </c>
      <c r="QGB1" s="46" t="s">
        <v>11691</v>
      </c>
      <c r="QGC1" s="46" t="s">
        <v>11692</v>
      </c>
      <c r="QGD1" s="46" t="s">
        <v>11693</v>
      </c>
      <c r="QGE1" s="46" t="s">
        <v>11694</v>
      </c>
      <c r="QGF1" s="46" t="s">
        <v>11695</v>
      </c>
      <c r="QGG1" s="46" t="s">
        <v>11696</v>
      </c>
      <c r="QGH1" s="46" t="s">
        <v>11697</v>
      </c>
      <c r="QGI1" s="46" t="s">
        <v>11698</v>
      </c>
      <c r="QGJ1" s="46" t="s">
        <v>11699</v>
      </c>
      <c r="QGK1" s="46" t="s">
        <v>11700</v>
      </c>
      <c r="QGL1" s="46" t="s">
        <v>11701</v>
      </c>
      <c r="QGM1" s="46" t="s">
        <v>11702</v>
      </c>
      <c r="QGN1" s="46" t="s">
        <v>11703</v>
      </c>
      <c r="QGO1" s="46" t="s">
        <v>11704</v>
      </c>
      <c r="QGP1" s="46" t="s">
        <v>11705</v>
      </c>
      <c r="QGQ1" s="46" t="s">
        <v>11706</v>
      </c>
      <c r="QGR1" s="46" t="s">
        <v>11707</v>
      </c>
      <c r="QGS1" s="46" t="s">
        <v>11708</v>
      </c>
      <c r="QGT1" s="46" t="s">
        <v>11709</v>
      </c>
      <c r="QGU1" s="46" t="s">
        <v>11710</v>
      </c>
      <c r="QGV1" s="46" t="s">
        <v>11711</v>
      </c>
      <c r="QGW1" s="46" t="s">
        <v>11712</v>
      </c>
      <c r="QGX1" s="46" t="s">
        <v>11713</v>
      </c>
      <c r="QGY1" s="46" t="s">
        <v>11714</v>
      </c>
      <c r="QGZ1" s="46" t="s">
        <v>11715</v>
      </c>
      <c r="QHA1" s="46" t="s">
        <v>11716</v>
      </c>
      <c r="QHB1" s="46" t="s">
        <v>11717</v>
      </c>
      <c r="QHC1" s="46" t="s">
        <v>11718</v>
      </c>
      <c r="QHD1" s="46" t="s">
        <v>11719</v>
      </c>
      <c r="QHE1" s="46" t="s">
        <v>11720</v>
      </c>
      <c r="QHF1" s="46" t="s">
        <v>11721</v>
      </c>
      <c r="QHG1" s="46" t="s">
        <v>11722</v>
      </c>
      <c r="QHH1" s="46" t="s">
        <v>11723</v>
      </c>
      <c r="QHI1" s="46" t="s">
        <v>11724</v>
      </c>
      <c r="QHJ1" s="46" t="s">
        <v>11725</v>
      </c>
      <c r="QHK1" s="46" t="s">
        <v>11726</v>
      </c>
      <c r="QHL1" s="46" t="s">
        <v>11727</v>
      </c>
      <c r="QHM1" s="46" t="s">
        <v>11728</v>
      </c>
      <c r="QHN1" s="46" t="s">
        <v>11729</v>
      </c>
      <c r="QHO1" s="46" t="s">
        <v>11730</v>
      </c>
      <c r="QHP1" s="46" t="s">
        <v>11731</v>
      </c>
      <c r="QHQ1" s="46" t="s">
        <v>11732</v>
      </c>
      <c r="QHR1" s="46" t="s">
        <v>11733</v>
      </c>
      <c r="QHS1" s="46" t="s">
        <v>11734</v>
      </c>
      <c r="QHT1" s="46" t="s">
        <v>11735</v>
      </c>
      <c r="QHU1" s="46" t="s">
        <v>11736</v>
      </c>
      <c r="QHV1" s="46" t="s">
        <v>11737</v>
      </c>
      <c r="QHW1" s="46" t="s">
        <v>11738</v>
      </c>
      <c r="QHX1" s="46" t="s">
        <v>11739</v>
      </c>
      <c r="QHY1" s="46" t="s">
        <v>11740</v>
      </c>
      <c r="QHZ1" s="46" t="s">
        <v>11741</v>
      </c>
      <c r="QIA1" s="46" t="s">
        <v>11742</v>
      </c>
      <c r="QIB1" s="46" t="s">
        <v>11743</v>
      </c>
      <c r="QIC1" s="46" t="s">
        <v>11744</v>
      </c>
      <c r="QID1" s="46" t="s">
        <v>11745</v>
      </c>
      <c r="QIE1" s="46" t="s">
        <v>11746</v>
      </c>
      <c r="QIF1" s="46" t="s">
        <v>11747</v>
      </c>
      <c r="QIG1" s="46" t="s">
        <v>11748</v>
      </c>
      <c r="QIH1" s="46" t="s">
        <v>11749</v>
      </c>
      <c r="QII1" s="46" t="s">
        <v>11750</v>
      </c>
      <c r="QIJ1" s="46" t="s">
        <v>11751</v>
      </c>
      <c r="QIK1" s="46" t="s">
        <v>11752</v>
      </c>
      <c r="QIL1" s="46" t="s">
        <v>11753</v>
      </c>
      <c r="QIM1" s="46" t="s">
        <v>11754</v>
      </c>
      <c r="QIN1" s="46" t="s">
        <v>11755</v>
      </c>
      <c r="QIO1" s="46" t="s">
        <v>11756</v>
      </c>
      <c r="QIP1" s="46" t="s">
        <v>11757</v>
      </c>
      <c r="QIQ1" s="46" t="s">
        <v>11758</v>
      </c>
      <c r="QIR1" s="46" t="s">
        <v>11759</v>
      </c>
      <c r="QIS1" s="46" t="s">
        <v>11760</v>
      </c>
      <c r="QIT1" s="46" t="s">
        <v>11761</v>
      </c>
      <c r="QIU1" s="46" t="s">
        <v>11762</v>
      </c>
      <c r="QIV1" s="46" t="s">
        <v>11763</v>
      </c>
      <c r="QIW1" s="46" t="s">
        <v>11764</v>
      </c>
      <c r="QIX1" s="46" t="s">
        <v>11765</v>
      </c>
      <c r="QIY1" s="46" t="s">
        <v>11766</v>
      </c>
      <c r="QIZ1" s="46" t="s">
        <v>11767</v>
      </c>
      <c r="QJA1" s="46" t="s">
        <v>11768</v>
      </c>
      <c r="QJB1" s="46" t="s">
        <v>11769</v>
      </c>
      <c r="QJC1" s="46" t="s">
        <v>11770</v>
      </c>
      <c r="QJD1" s="46" t="s">
        <v>11771</v>
      </c>
      <c r="QJE1" s="46" t="s">
        <v>11772</v>
      </c>
      <c r="QJF1" s="46" t="s">
        <v>11773</v>
      </c>
      <c r="QJG1" s="46" t="s">
        <v>11774</v>
      </c>
      <c r="QJH1" s="46" t="s">
        <v>11775</v>
      </c>
      <c r="QJI1" s="46" t="s">
        <v>11776</v>
      </c>
      <c r="QJJ1" s="46" t="s">
        <v>11777</v>
      </c>
      <c r="QJK1" s="46" t="s">
        <v>11778</v>
      </c>
      <c r="QJL1" s="46" t="s">
        <v>11779</v>
      </c>
      <c r="QJM1" s="46" t="s">
        <v>11780</v>
      </c>
      <c r="QJN1" s="46" t="s">
        <v>11781</v>
      </c>
      <c r="QJO1" s="46" t="s">
        <v>11782</v>
      </c>
      <c r="QJP1" s="46" t="s">
        <v>11783</v>
      </c>
      <c r="QJQ1" s="46" t="s">
        <v>11784</v>
      </c>
      <c r="QJR1" s="46" t="s">
        <v>11785</v>
      </c>
      <c r="QJS1" s="46" t="s">
        <v>11786</v>
      </c>
      <c r="QJT1" s="46" t="s">
        <v>11787</v>
      </c>
      <c r="QJU1" s="46" t="s">
        <v>11788</v>
      </c>
      <c r="QJV1" s="46" t="s">
        <v>11789</v>
      </c>
      <c r="QJW1" s="46" t="s">
        <v>11790</v>
      </c>
      <c r="QJX1" s="46" t="s">
        <v>11791</v>
      </c>
      <c r="QJY1" s="46" t="s">
        <v>11792</v>
      </c>
      <c r="QJZ1" s="46" t="s">
        <v>11793</v>
      </c>
      <c r="QKA1" s="46" t="s">
        <v>11794</v>
      </c>
      <c r="QKB1" s="46" t="s">
        <v>11795</v>
      </c>
      <c r="QKC1" s="46" t="s">
        <v>11796</v>
      </c>
      <c r="QKD1" s="46" t="s">
        <v>11797</v>
      </c>
      <c r="QKE1" s="46" t="s">
        <v>11798</v>
      </c>
      <c r="QKF1" s="46" t="s">
        <v>11799</v>
      </c>
      <c r="QKG1" s="46" t="s">
        <v>11800</v>
      </c>
      <c r="QKH1" s="46" t="s">
        <v>11801</v>
      </c>
      <c r="QKI1" s="46" t="s">
        <v>11802</v>
      </c>
      <c r="QKJ1" s="46" t="s">
        <v>11803</v>
      </c>
      <c r="QKK1" s="46" t="s">
        <v>11804</v>
      </c>
      <c r="QKL1" s="46" t="s">
        <v>11805</v>
      </c>
      <c r="QKM1" s="46" t="s">
        <v>11806</v>
      </c>
      <c r="QKN1" s="46" t="s">
        <v>11807</v>
      </c>
      <c r="QKO1" s="46" t="s">
        <v>11808</v>
      </c>
      <c r="QKP1" s="46" t="s">
        <v>11809</v>
      </c>
      <c r="QKQ1" s="46" t="s">
        <v>11810</v>
      </c>
      <c r="QKR1" s="46" t="s">
        <v>11811</v>
      </c>
      <c r="QKS1" s="46" t="s">
        <v>11812</v>
      </c>
      <c r="QKT1" s="46" t="s">
        <v>11813</v>
      </c>
      <c r="QKU1" s="46" t="s">
        <v>11814</v>
      </c>
      <c r="QKV1" s="46" t="s">
        <v>11815</v>
      </c>
      <c r="QKW1" s="46" t="s">
        <v>11816</v>
      </c>
      <c r="QKX1" s="46" t="s">
        <v>11817</v>
      </c>
      <c r="QKY1" s="46" t="s">
        <v>11818</v>
      </c>
      <c r="QKZ1" s="46" t="s">
        <v>11819</v>
      </c>
      <c r="QLA1" s="46" t="s">
        <v>11820</v>
      </c>
      <c r="QLB1" s="46" t="s">
        <v>11821</v>
      </c>
      <c r="QLC1" s="46" t="s">
        <v>11822</v>
      </c>
      <c r="QLD1" s="46" t="s">
        <v>11823</v>
      </c>
      <c r="QLE1" s="46" t="s">
        <v>11824</v>
      </c>
      <c r="QLF1" s="46" t="s">
        <v>11825</v>
      </c>
      <c r="QLG1" s="46" t="s">
        <v>11826</v>
      </c>
      <c r="QLH1" s="46" t="s">
        <v>11827</v>
      </c>
      <c r="QLI1" s="46" t="s">
        <v>11828</v>
      </c>
      <c r="QLJ1" s="46" t="s">
        <v>11829</v>
      </c>
      <c r="QLK1" s="46" t="s">
        <v>11830</v>
      </c>
      <c r="QLL1" s="46" t="s">
        <v>11831</v>
      </c>
      <c r="QLM1" s="46" t="s">
        <v>11832</v>
      </c>
      <c r="QLN1" s="46" t="s">
        <v>11833</v>
      </c>
      <c r="QLO1" s="46" t="s">
        <v>11834</v>
      </c>
      <c r="QLP1" s="46" t="s">
        <v>11835</v>
      </c>
      <c r="QLQ1" s="46" t="s">
        <v>11836</v>
      </c>
      <c r="QLR1" s="46" t="s">
        <v>11837</v>
      </c>
      <c r="QLS1" s="46" t="s">
        <v>11838</v>
      </c>
      <c r="QLT1" s="46" t="s">
        <v>11839</v>
      </c>
      <c r="QLU1" s="46" t="s">
        <v>11840</v>
      </c>
      <c r="QLV1" s="46" t="s">
        <v>11841</v>
      </c>
      <c r="QLW1" s="46" t="s">
        <v>11842</v>
      </c>
      <c r="QLX1" s="46" t="s">
        <v>11843</v>
      </c>
      <c r="QLY1" s="46" t="s">
        <v>11844</v>
      </c>
      <c r="QLZ1" s="46" t="s">
        <v>11845</v>
      </c>
      <c r="QMA1" s="46" t="s">
        <v>11846</v>
      </c>
      <c r="QMB1" s="46" t="s">
        <v>11847</v>
      </c>
      <c r="QMC1" s="46" t="s">
        <v>11848</v>
      </c>
      <c r="QMD1" s="46" t="s">
        <v>11849</v>
      </c>
      <c r="QME1" s="46" t="s">
        <v>11850</v>
      </c>
      <c r="QMF1" s="46" t="s">
        <v>11851</v>
      </c>
      <c r="QMG1" s="46" t="s">
        <v>11852</v>
      </c>
      <c r="QMH1" s="46" t="s">
        <v>11853</v>
      </c>
      <c r="QMI1" s="46" t="s">
        <v>11854</v>
      </c>
      <c r="QMJ1" s="46" t="s">
        <v>11855</v>
      </c>
      <c r="QMK1" s="46" t="s">
        <v>11856</v>
      </c>
      <c r="QML1" s="46" t="s">
        <v>11857</v>
      </c>
      <c r="QMM1" s="46" t="s">
        <v>11858</v>
      </c>
      <c r="QMN1" s="46" t="s">
        <v>11859</v>
      </c>
      <c r="QMO1" s="46" t="s">
        <v>11860</v>
      </c>
      <c r="QMP1" s="46" t="s">
        <v>11861</v>
      </c>
      <c r="QMQ1" s="46" t="s">
        <v>11862</v>
      </c>
      <c r="QMR1" s="46" t="s">
        <v>11863</v>
      </c>
      <c r="QMS1" s="46" t="s">
        <v>11864</v>
      </c>
      <c r="QMT1" s="46" t="s">
        <v>11865</v>
      </c>
      <c r="QMU1" s="46" t="s">
        <v>11866</v>
      </c>
      <c r="QMV1" s="46" t="s">
        <v>11867</v>
      </c>
      <c r="QMW1" s="46" t="s">
        <v>11868</v>
      </c>
      <c r="QMX1" s="46" t="s">
        <v>11869</v>
      </c>
      <c r="QMY1" s="46" t="s">
        <v>11870</v>
      </c>
      <c r="QMZ1" s="46" t="s">
        <v>11871</v>
      </c>
      <c r="QNA1" s="46" t="s">
        <v>11872</v>
      </c>
      <c r="QNB1" s="46" t="s">
        <v>11873</v>
      </c>
      <c r="QNC1" s="46" t="s">
        <v>11874</v>
      </c>
      <c r="QND1" s="46" t="s">
        <v>11875</v>
      </c>
      <c r="QNE1" s="46" t="s">
        <v>11876</v>
      </c>
      <c r="QNF1" s="46" t="s">
        <v>11877</v>
      </c>
      <c r="QNG1" s="46" t="s">
        <v>11878</v>
      </c>
      <c r="QNH1" s="46" t="s">
        <v>11879</v>
      </c>
      <c r="QNI1" s="46" t="s">
        <v>11880</v>
      </c>
      <c r="QNJ1" s="46" t="s">
        <v>11881</v>
      </c>
      <c r="QNK1" s="46" t="s">
        <v>11882</v>
      </c>
      <c r="QNL1" s="46" t="s">
        <v>11883</v>
      </c>
      <c r="QNM1" s="46" t="s">
        <v>11884</v>
      </c>
      <c r="QNN1" s="46" t="s">
        <v>11885</v>
      </c>
      <c r="QNO1" s="46" t="s">
        <v>11886</v>
      </c>
      <c r="QNP1" s="46" t="s">
        <v>11887</v>
      </c>
      <c r="QNQ1" s="46" t="s">
        <v>11888</v>
      </c>
      <c r="QNR1" s="46" t="s">
        <v>11889</v>
      </c>
      <c r="QNS1" s="46" t="s">
        <v>11890</v>
      </c>
      <c r="QNT1" s="46" t="s">
        <v>11891</v>
      </c>
      <c r="QNU1" s="46" t="s">
        <v>11892</v>
      </c>
      <c r="QNV1" s="46" t="s">
        <v>11893</v>
      </c>
      <c r="QNW1" s="46" t="s">
        <v>11894</v>
      </c>
      <c r="QNX1" s="46" t="s">
        <v>11895</v>
      </c>
      <c r="QNY1" s="46" t="s">
        <v>11896</v>
      </c>
      <c r="QNZ1" s="46" t="s">
        <v>11897</v>
      </c>
      <c r="QOA1" s="46" t="s">
        <v>11898</v>
      </c>
      <c r="QOB1" s="46" t="s">
        <v>11899</v>
      </c>
      <c r="QOC1" s="46" t="s">
        <v>11900</v>
      </c>
      <c r="QOD1" s="46" t="s">
        <v>11901</v>
      </c>
      <c r="QOE1" s="46" t="s">
        <v>11902</v>
      </c>
      <c r="QOF1" s="46" t="s">
        <v>11903</v>
      </c>
      <c r="QOG1" s="46" t="s">
        <v>11904</v>
      </c>
      <c r="QOH1" s="46" t="s">
        <v>11905</v>
      </c>
      <c r="QOI1" s="46" t="s">
        <v>11906</v>
      </c>
      <c r="QOJ1" s="46" t="s">
        <v>11907</v>
      </c>
      <c r="QOK1" s="46" t="s">
        <v>11908</v>
      </c>
      <c r="QOL1" s="46" t="s">
        <v>11909</v>
      </c>
      <c r="QOM1" s="46" t="s">
        <v>11910</v>
      </c>
      <c r="QON1" s="46" t="s">
        <v>11911</v>
      </c>
      <c r="QOO1" s="46" t="s">
        <v>11912</v>
      </c>
      <c r="QOP1" s="46" t="s">
        <v>11913</v>
      </c>
      <c r="QOQ1" s="46" t="s">
        <v>11914</v>
      </c>
      <c r="QOR1" s="46" t="s">
        <v>11915</v>
      </c>
      <c r="QOS1" s="46" t="s">
        <v>11916</v>
      </c>
      <c r="QOT1" s="46" t="s">
        <v>11917</v>
      </c>
      <c r="QOU1" s="46" t="s">
        <v>11918</v>
      </c>
      <c r="QOV1" s="46" t="s">
        <v>11919</v>
      </c>
      <c r="QOW1" s="46" t="s">
        <v>11920</v>
      </c>
      <c r="QOX1" s="46" t="s">
        <v>11921</v>
      </c>
      <c r="QOY1" s="46" t="s">
        <v>11922</v>
      </c>
      <c r="QOZ1" s="46" t="s">
        <v>11923</v>
      </c>
      <c r="QPA1" s="46" t="s">
        <v>11924</v>
      </c>
      <c r="QPB1" s="46" t="s">
        <v>11925</v>
      </c>
      <c r="QPC1" s="46" t="s">
        <v>11926</v>
      </c>
      <c r="QPD1" s="46" t="s">
        <v>11927</v>
      </c>
      <c r="QPE1" s="46" t="s">
        <v>11928</v>
      </c>
      <c r="QPF1" s="46" t="s">
        <v>11929</v>
      </c>
      <c r="QPG1" s="46" t="s">
        <v>11930</v>
      </c>
      <c r="QPH1" s="46" t="s">
        <v>11931</v>
      </c>
      <c r="QPI1" s="46" t="s">
        <v>11932</v>
      </c>
      <c r="QPJ1" s="46" t="s">
        <v>11933</v>
      </c>
      <c r="QPK1" s="46" t="s">
        <v>11934</v>
      </c>
      <c r="QPL1" s="46" t="s">
        <v>11935</v>
      </c>
      <c r="QPM1" s="46" t="s">
        <v>11936</v>
      </c>
      <c r="QPN1" s="46" t="s">
        <v>11937</v>
      </c>
      <c r="QPO1" s="46" t="s">
        <v>11938</v>
      </c>
      <c r="QPP1" s="46" t="s">
        <v>11939</v>
      </c>
      <c r="QPQ1" s="46" t="s">
        <v>11940</v>
      </c>
      <c r="QPR1" s="46" t="s">
        <v>11941</v>
      </c>
      <c r="QPS1" s="46" t="s">
        <v>11942</v>
      </c>
      <c r="QPT1" s="46" t="s">
        <v>11943</v>
      </c>
      <c r="QPU1" s="46" t="s">
        <v>11944</v>
      </c>
      <c r="QPV1" s="46" t="s">
        <v>11945</v>
      </c>
      <c r="QPW1" s="46" t="s">
        <v>11946</v>
      </c>
      <c r="QPX1" s="46" t="s">
        <v>11947</v>
      </c>
      <c r="QPY1" s="46" t="s">
        <v>11948</v>
      </c>
      <c r="QPZ1" s="46" t="s">
        <v>11949</v>
      </c>
      <c r="QQA1" s="46" t="s">
        <v>11950</v>
      </c>
      <c r="QQB1" s="46" t="s">
        <v>11951</v>
      </c>
      <c r="QQC1" s="46" t="s">
        <v>11952</v>
      </c>
      <c r="QQD1" s="46" t="s">
        <v>11953</v>
      </c>
      <c r="QQE1" s="46" t="s">
        <v>11954</v>
      </c>
      <c r="QQF1" s="46" t="s">
        <v>11955</v>
      </c>
      <c r="QQG1" s="46" t="s">
        <v>11956</v>
      </c>
      <c r="QQH1" s="46" t="s">
        <v>11957</v>
      </c>
      <c r="QQI1" s="46" t="s">
        <v>11958</v>
      </c>
      <c r="QQJ1" s="46" t="s">
        <v>11959</v>
      </c>
      <c r="QQK1" s="46" t="s">
        <v>11960</v>
      </c>
      <c r="QQL1" s="46" t="s">
        <v>11961</v>
      </c>
      <c r="QQM1" s="46" t="s">
        <v>11962</v>
      </c>
      <c r="QQN1" s="46" t="s">
        <v>11963</v>
      </c>
      <c r="QQO1" s="46" t="s">
        <v>11964</v>
      </c>
      <c r="QQP1" s="46" t="s">
        <v>11965</v>
      </c>
      <c r="QQQ1" s="46" t="s">
        <v>11966</v>
      </c>
      <c r="QQR1" s="46" t="s">
        <v>11967</v>
      </c>
      <c r="QQS1" s="46" t="s">
        <v>11968</v>
      </c>
      <c r="QQT1" s="46" t="s">
        <v>11969</v>
      </c>
      <c r="QQU1" s="46" t="s">
        <v>11970</v>
      </c>
      <c r="QQV1" s="46" t="s">
        <v>11971</v>
      </c>
      <c r="QQW1" s="46" t="s">
        <v>11972</v>
      </c>
      <c r="QQX1" s="46" t="s">
        <v>11973</v>
      </c>
      <c r="QQY1" s="46" t="s">
        <v>11974</v>
      </c>
      <c r="QQZ1" s="46" t="s">
        <v>11975</v>
      </c>
      <c r="QRA1" s="46" t="s">
        <v>11976</v>
      </c>
      <c r="QRB1" s="46" t="s">
        <v>11977</v>
      </c>
      <c r="QRC1" s="46" t="s">
        <v>11978</v>
      </c>
      <c r="QRD1" s="46" t="s">
        <v>11979</v>
      </c>
      <c r="QRE1" s="46" t="s">
        <v>11980</v>
      </c>
      <c r="QRF1" s="46" t="s">
        <v>11981</v>
      </c>
      <c r="QRG1" s="46" t="s">
        <v>11982</v>
      </c>
      <c r="QRH1" s="46" t="s">
        <v>11983</v>
      </c>
      <c r="QRI1" s="46" t="s">
        <v>11984</v>
      </c>
      <c r="QRJ1" s="46" t="s">
        <v>11985</v>
      </c>
      <c r="QRK1" s="46" t="s">
        <v>11986</v>
      </c>
      <c r="QRL1" s="46" t="s">
        <v>11987</v>
      </c>
      <c r="QRM1" s="46" t="s">
        <v>11988</v>
      </c>
      <c r="QRN1" s="46" t="s">
        <v>11989</v>
      </c>
      <c r="QRO1" s="46" t="s">
        <v>11990</v>
      </c>
      <c r="QRP1" s="46" t="s">
        <v>11991</v>
      </c>
      <c r="QRQ1" s="46" t="s">
        <v>11992</v>
      </c>
      <c r="QRR1" s="46" t="s">
        <v>11993</v>
      </c>
      <c r="QRS1" s="46" t="s">
        <v>11994</v>
      </c>
      <c r="QRT1" s="46" t="s">
        <v>11995</v>
      </c>
      <c r="QRU1" s="46" t="s">
        <v>11996</v>
      </c>
      <c r="QRV1" s="46" t="s">
        <v>11997</v>
      </c>
      <c r="QRW1" s="46" t="s">
        <v>11998</v>
      </c>
      <c r="QRX1" s="46" t="s">
        <v>11999</v>
      </c>
      <c r="QRY1" s="46" t="s">
        <v>12000</v>
      </c>
      <c r="QRZ1" s="46" t="s">
        <v>12001</v>
      </c>
      <c r="QSA1" s="46" t="s">
        <v>12002</v>
      </c>
      <c r="QSB1" s="46" t="s">
        <v>12003</v>
      </c>
      <c r="QSC1" s="46" t="s">
        <v>12004</v>
      </c>
      <c r="QSD1" s="46" t="s">
        <v>12005</v>
      </c>
      <c r="QSE1" s="46" t="s">
        <v>12006</v>
      </c>
      <c r="QSF1" s="46" t="s">
        <v>12007</v>
      </c>
      <c r="QSG1" s="46" t="s">
        <v>12008</v>
      </c>
      <c r="QSH1" s="46" t="s">
        <v>12009</v>
      </c>
      <c r="QSI1" s="46" t="s">
        <v>12010</v>
      </c>
      <c r="QSJ1" s="46" t="s">
        <v>12011</v>
      </c>
      <c r="QSK1" s="46" t="s">
        <v>12012</v>
      </c>
      <c r="QSL1" s="46" t="s">
        <v>12013</v>
      </c>
      <c r="QSM1" s="46" t="s">
        <v>12014</v>
      </c>
      <c r="QSN1" s="46" t="s">
        <v>12015</v>
      </c>
      <c r="QSO1" s="46" t="s">
        <v>12016</v>
      </c>
      <c r="QSP1" s="46" t="s">
        <v>12017</v>
      </c>
      <c r="QSQ1" s="46" t="s">
        <v>12018</v>
      </c>
      <c r="QSR1" s="46" t="s">
        <v>12019</v>
      </c>
      <c r="QSS1" s="46" t="s">
        <v>12020</v>
      </c>
      <c r="QST1" s="46" t="s">
        <v>12021</v>
      </c>
      <c r="QSU1" s="46" t="s">
        <v>12022</v>
      </c>
      <c r="QSV1" s="46" t="s">
        <v>12023</v>
      </c>
      <c r="QSW1" s="46" t="s">
        <v>12024</v>
      </c>
      <c r="QSX1" s="46" t="s">
        <v>12025</v>
      </c>
      <c r="QSY1" s="46" t="s">
        <v>12026</v>
      </c>
      <c r="QSZ1" s="46" t="s">
        <v>12027</v>
      </c>
      <c r="QTA1" s="46" t="s">
        <v>12028</v>
      </c>
      <c r="QTB1" s="46" t="s">
        <v>12029</v>
      </c>
      <c r="QTC1" s="46" t="s">
        <v>12030</v>
      </c>
      <c r="QTD1" s="46" t="s">
        <v>12031</v>
      </c>
      <c r="QTE1" s="46" t="s">
        <v>12032</v>
      </c>
      <c r="QTF1" s="46" t="s">
        <v>12033</v>
      </c>
      <c r="QTG1" s="46" t="s">
        <v>12034</v>
      </c>
      <c r="QTH1" s="46" t="s">
        <v>12035</v>
      </c>
      <c r="QTI1" s="46" t="s">
        <v>12036</v>
      </c>
      <c r="QTJ1" s="46" t="s">
        <v>12037</v>
      </c>
      <c r="QTK1" s="46" t="s">
        <v>12038</v>
      </c>
      <c r="QTL1" s="46" t="s">
        <v>12039</v>
      </c>
      <c r="QTM1" s="46" t="s">
        <v>12040</v>
      </c>
      <c r="QTN1" s="46" t="s">
        <v>12041</v>
      </c>
      <c r="QTO1" s="46" t="s">
        <v>12042</v>
      </c>
      <c r="QTP1" s="46" t="s">
        <v>12043</v>
      </c>
      <c r="QTQ1" s="46" t="s">
        <v>12044</v>
      </c>
      <c r="QTR1" s="46" t="s">
        <v>12045</v>
      </c>
      <c r="QTS1" s="46" t="s">
        <v>12046</v>
      </c>
      <c r="QTT1" s="46" t="s">
        <v>12047</v>
      </c>
      <c r="QTU1" s="46" t="s">
        <v>12048</v>
      </c>
      <c r="QTV1" s="46" t="s">
        <v>12049</v>
      </c>
      <c r="QTW1" s="46" t="s">
        <v>12050</v>
      </c>
      <c r="QTX1" s="46" t="s">
        <v>12051</v>
      </c>
      <c r="QTY1" s="46" t="s">
        <v>12052</v>
      </c>
      <c r="QTZ1" s="46" t="s">
        <v>12053</v>
      </c>
      <c r="QUA1" s="46" t="s">
        <v>12054</v>
      </c>
      <c r="QUB1" s="46" t="s">
        <v>12055</v>
      </c>
      <c r="QUC1" s="46" t="s">
        <v>12056</v>
      </c>
      <c r="QUD1" s="46" t="s">
        <v>12057</v>
      </c>
      <c r="QUE1" s="46" t="s">
        <v>12058</v>
      </c>
      <c r="QUF1" s="46" t="s">
        <v>12059</v>
      </c>
      <c r="QUG1" s="46" t="s">
        <v>12060</v>
      </c>
      <c r="QUH1" s="46" t="s">
        <v>12061</v>
      </c>
      <c r="QUI1" s="46" t="s">
        <v>12062</v>
      </c>
      <c r="QUJ1" s="46" t="s">
        <v>12063</v>
      </c>
      <c r="QUK1" s="46" t="s">
        <v>12064</v>
      </c>
      <c r="QUL1" s="46" t="s">
        <v>12065</v>
      </c>
      <c r="QUM1" s="46" t="s">
        <v>12066</v>
      </c>
      <c r="QUN1" s="46" t="s">
        <v>12067</v>
      </c>
      <c r="QUO1" s="46" t="s">
        <v>12068</v>
      </c>
      <c r="QUP1" s="46" t="s">
        <v>12069</v>
      </c>
      <c r="QUQ1" s="46" t="s">
        <v>12070</v>
      </c>
      <c r="QUR1" s="46" t="s">
        <v>12071</v>
      </c>
      <c r="QUS1" s="46" t="s">
        <v>12072</v>
      </c>
      <c r="QUT1" s="46" t="s">
        <v>12073</v>
      </c>
      <c r="QUU1" s="46" t="s">
        <v>12074</v>
      </c>
      <c r="QUV1" s="46" t="s">
        <v>12075</v>
      </c>
      <c r="QUW1" s="46" t="s">
        <v>12076</v>
      </c>
      <c r="QUX1" s="46" t="s">
        <v>12077</v>
      </c>
      <c r="QUY1" s="46" t="s">
        <v>12078</v>
      </c>
      <c r="QUZ1" s="46" t="s">
        <v>12079</v>
      </c>
      <c r="QVA1" s="46" t="s">
        <v>12080</v>
      </c>
      <c r="QVB1" s="46" t="s">
        <v>12081</v>
      </c>
      <c r="QVC1" s="46" t="s">
        <v>12082</v>
      </c>
      <c r="QVD1" s="46" t="s">
        <v>12083</v>
      </c>
      <c r="QVE1" s="46" t="s">
        <v>12084</v>
      </c>
      <c r="QVF1" s="46" t="s">
        <v>12085</v>
      </c>
      <c r="QVG1" s="46" t="s">
        <v>12086</v>
      </c>
      <c r="QVH1" s="46" t="s">
        <v>12087</v>
      </c>
      <c r="QVI1" s="46" t="s">
        <v>12088</v>
      </c>
      <c r="QVJ1" s="46" t="s">
        <v>12089</v>
      </c>
      <c r="QVK1" s="46" t="s">
        <v>12090</v>
      </c>
      <c r="QVL1" s="46" t="s">
        <v>12091</v>
      </c>
      <c r="QVM1" s="46" t="s">
        <v>12092</v>
      </c>
      <c r="QVN1" s="46" t="s">
        <v>12093</v>
      </c>
      <c r="QVO1" s="46" t="s">
        <v>12094</v>
      </c>
      <c r="QVP1" s="46" t="s">
        <v>12095</v>
      </c>
      <c r="QVQ1" s="46" t="s">
        <v>12096</v>
      </c>
      <c r="QVR1" s="46" t="s">
        <v>12097</v>
      </c>
      <c r="QVS1" s="46" t="s">
        <v>12098</v>
      </c>
      <c r="QVT1" s="46" t="s">
        <v>12099</v>
      </c>
      <c r="QVU1" s="46" t="s">
        <v>12100</v>
      </c>
      <c r="QVV1" s="46" t="s">
        <v>12101</v>
      </c>
      <c r="QVW1" s="46" t="s">
        <v>12102</v>
      </c>
      <c r="QVX1" s="46" t="s">
        <v>12103</v>
      </c>
      <c r="QVY1" s="46" t="s">
        <v>12104</v>
      </c>
      <c r="QVZ1" s="46" t="s">
        <v>12105</v>
      </c>
      <c r="QWA1" s="46" t="s">
        <v>12106</v>
      </c>
      <c r="QWB1" s="46" t="s">
        <v>12107</v>
      </c>
      <c r="QWC1" s="46" t="s">
        <v>12108</v>
      </c>
      <c r="QWD1" s="46" t="s">
        <v>12109</v>
      </c>
      <c r="QWE1" s="46" t="s">
        <v>12110</v>
      </c>
      <c r="QWF1" s="46" t="s">
        <v>12111</v>
      </c>
      <c r="QWG1" s="46" t="s">
        <v>12112</v>
      </c>
      <c r="QWH1" s="46" t="s">
        <v>12113</v>
      </c>
      <c r="QWI1" s="46" t="s">
        <v>12114</v>
      </c>
      <c r="QWJ1" s="46" t="s">
        <v>12115</v>
      </c>
      <c r="QWK1" s="46" t="s">
        <v>12116</v>
      </c>
      <c r="QWL1" s="46" t="s">
        <v>12117</v>
      </c>
      <c r="QWM1" s="46" t="s">
        <v>12118</v>
      </c>
      <c r="QWN1" s="46" t="s">
        <v>12119</v>
      </c>
      <c r="QWO1" s="46" t="s">
        <v>12120</v>
      </c>
      <c r="QWP1" s="46" t="s">
        <v>12121</v>
      </c>
      <c r="QWQ1" s="46" t="s">
        <v>12122</v>
      </c>
      <c r="QWR1" s="46" t="s">
        <v>12123</v>
      </c>
      <c r="QWS1" s="46" t="s">
        <v>12124</v>
      </c>
      <c r="QWT1" s="46" t="s">
        <v>12125</v>
      </c>
      <c r="QWU1" s="46" t="s">
        <v>12126</v>
      </c>
      <c r="QWV1" s="46" t="s">
        <v>12127</v>
      </c>
      <c r="QWW1" s="46" t="s">
        <v>12128</v>
      </c>
      <c r="QWX1" s="46" t="s">
        <v>12129</v>
      </c>
      <c r="QWY1" s="46" t="s">
        <v>12130</v>
      </c>
      <c r="QWZ1" s="46" t="s">
        <v>12131</v>
      </c>
      <c r="QXA1" s="46" t="s">
        <v>12132</v>
      </c>
      <c r="QXB1" s="46" t="s">
        <v>12133</v>
      </c>
      <c r="QXC1" s="46" t="s">
        <v>12134</v>
      </c>
      <c r="QXD1" s="46" t="s">
        <v>12135</v>
      </c>
      <c r="QXE1" s="46" t="s">
        <v>12136</v>
      </c>
      <c r="QXF1" s="46" t="s">
        <v>12137</v>
      </c>
      <c r="QXG1" s="46" t="s">
        <v>12138</v>
      </c>
      <c r="QXH1" s="46" t="s">
        <v>12139</v>
      </c>
      <c r="QXI1" s="46" t="s">
        <v>12140</v>
      </c>
      <c r="QXJ1" s="46" t="s">
        <v>12141</v>
      </c>
      <c r="QXK1" s="46" t="s">
        <v>12142</v>
      </c>
      <c r="QXL1" s="46" t="s">
        <v>12143</v>
      </c>
      <c r="QXM1" s="46" t="s">
        <v>12144</v>
      </c>
      <c r="QXN1" s="46" t="s">
        <v>12145</v>
      </c>
      <c r="QXO1" s="46" t="s">
        <v>12146</v>
      </c>
      <c r="QXP1" s="46" t="s">
        <v>12147</v>
      </c>
      <c r="QXQ1" s="46" t="s">
        <v>12148</v>
      </c>
      <c r="QXR1" s="46" t="s">
        <v>12149</v>
      </c>
      <c r="QXS1" s="46" t="s">
        <v>12150</v>
      </c>
      <c r="QXT1" s="46" t="s">
        <v>12151</v>
      </c>
      <c r="QXU1" s="46" t="s">
        <v>12152</v>
      </c>
      <c r="QXV1" s="46" t="s">
        <v>12153</v>
      </c>
      <c r="QXW1" s="46" t="s">
        <v>12154</v>
      </c>
      <c r="QXX1" s="46" t="s">
        <v>12155</v>
      </c>
      <c r="QXY1" s="46" t="s">
        <v>12156</v>
      </c>
      <c r="QXZ1" s="46" t="s">
        <v>12157</v>
      </c>
      <c r="QYA1" s="46" t="s">
        <v>12158</v>
      </c>
      <c r="QYB1" s="46" t="s">
        <v>12159</v>
      </c>
      <c r="QYC1" s="46" t="s">
        <v>12160</v>
      </c>
      <c r="QYD1" s="46" t="s">
        <v>12161</v>
      </c>
      <c r="QYE1" s="46" t="s">
        <v>12162</v>
      </c>
      <c r="QYF1" s="46" t="s">
        <v>12163</v>
      </c>
      <c r="QYG1" s="46" t="s">
        <v>12164</v>
      </c>
      <c r="QYH1" s="46" t="s">
        <v>12165</v>
      </c>
      <c r="QYI1" s="46" t="s">
        <v>12166</v>
      </c>
      <c r="QYJ1" s="46" t="s">
        <v>12167</v>
      </c>
      <c r="QYK1" s="46" t="s">
        <v>12168</v>
      </c>
      <c r="QYL1" s="46" t="s">
        <v>12169</v>
      </c>
      <c r="QYM1" s="46" t="s">
        <v>12170</v>
      </c>
      <c r="QYN1" s="46" t="s">
        <v>12171</v>
      </c>
      <c r="QYO1" s="46" t="s">
        <v>12172</v>
      </c>
      <c r="QYP1" s="46" t="s">
        <v>12173</v>
      </c>
      <c r="QYQ1" s="46" t="s">
        <v>12174</v>
      </c>
      <c r="QYR1" s="46" t="s">
        <v>12175</v>
      </c>
      <c r="QYS1" s="46" t="s">
        <v>12176</v>
      </c>
      <c r="QYT1" s="46" t="s">
        <v>12177</v>
      </c>
      <c r="QYU1" s="46" t="s">
        <v>12178</v>
      </c>
      <c r="QYV1" s="46" t="s">
        <v>12179</v>
      </c>
      <c r="QYW1" s="46" t="s">
        <v>12180</v>
      </c>
      <c r="QYX1" s="46" t="s">
        <v>12181</v>
      </c>
      <c r="QYY1" s="46" t="s">
        <v>12182</v>
      </c>
      <c r="QYZ1" s="46" t="s">
        <v>12183</v>
      </c>
      <c r="QZA1" s="46" t="s">
        <v>12184</v>
      </c>
      <c r="QZB1" s="46" t="s">
        <v>12185</v>
      </c>
      <c r="QZC1" s="46" t="s">
        <v>12186</v>
      </c>
      <c r="QZD1" s="46" t="s">
        <v>12187</v>
      </c>
      <c r="QZE1" s="46" t="s">
        <v>12188</v>
      </c>
      <c r="QZF1" s="46" t="s">
        <v>12189</v>
      </c>
      <c r="QZG1" s="46" t="s">
        <v>12190</v>
      </c>
      <c r="QZH1" s="46" t="s">
        <v>12191</v>
      </c>
      <c r="QZI1" s="46" t="s">
        <v>12192</v>
      </c>
      <c r="QZJ1" s="46" t="s">
        <v>12193</v>
      </c>
      <c r="QZK1" s="46" t="s">
        <v>12194</v>
      </c>
      <c r="QZL1" s="46" t="s">
        <v>12195</v>
      </c>
      <c r="QZM1" s="46" t="s">
        <v>12196</v>
      </c>
      <c r="QZN1" s="46" t="s">
        <v>12197</v>
      </c>
      <c r="QZO1" s="46" t="s">
        <v>12198</v>
      </c>
      <c r="QZP1" s="46" t="s">
        <v>12199</v>
      </c>
      <c r="QZQ1" s="46" t="s">
        <v>12200</v>
      </c>
      <c r="QZR1" s="46" t="s">
        <v>12201</v>
      </c>
      <c r="QZS1" s="46" t="s">
        <v>12202</v>
      </c>
      <c r="QZT1" s="46" t="s">
        <v>12203</v>
      </c>
      <c r="QZU1" s="46" t="s">
        <v>12204</v>
      </c>
      <c r="QZV1" s="46" t="s">
        <v>12205</v>
      </c>
      <c r="QZW1" s="46" t="s">
        <v>12206</v>
      </c>
      <c r="QZX1" s="46" t="s">
        <v>12207</v>
      </c>
      <c r="QZY1" s="46" t="s">
        <v>12208</v>
      </c>
      <c r="QZZ1" s="46" t="s">
        <v>12209</v>
      </c>
      <c r="RAA1" s="46" t="s">
        <v>12210</v>
      </c>
      <c r="RAB1" s="46" t="s">
        <v>12211</v>
      </c>
      <c r="RAC1" s="46" t="s">
        <v>12212</v>
      </c>
      <c r="RAD1" s="46" t="s">
        <v>12213</v>
      </c>
      <c r="RAE1" s="46" t="s">
        <v>12214</v>
      </c>
      <c r="RAF1" s="46" t="s">
        <v>12215</v>
      </c>
      <c r="RAG1" s="46" t="s">
        <v>12216</v>
      </c>
      <c r="RAH1" s="46" t="s">
        <v>12217</v>
      </c>
      <c r="RAI1" s="46" t="s">
        <v>12218</v>
      </c>
      <c r="RAJ1" s="46" t="s">
        <v>12219</v>
      </c>
      <c r="RAK1" s="46" t="s">
        <v>12220</v>
      </c>
      <c r="RAL1" s="46" t="s">
        <v>12221</v>
      </c>
      <c r="RAM1" s="46" t="s">
        <v>12222</v>
      </c>
      <c r="RAN1" s="46" t="s">
        <v>12223</v>
      </c>
      <c r="RAO1" s="46" t="s">
        <v>12224</v>
      </c>
      <c r="RAP1" s="46" t="s">
        <v>12225</v>
      </c>
      <c r="RAQ1" s="46" t="s">
        <v>12226</v>
      </c>
      <c r="RAR1" s="46" t="s">
        <v>12227</v>
      </c>
      <c r="RAS1" s="46" t="s">
        <v>12228</v>
      </c>
      <c r="RAT1" s="46" t="s">
        <v>12229</v>
      </c>
      <c r="RAU1" s="46" t="s">
        <v>12230</v>
      </c>
      <c r="RAV1" s="46" t="s">
        <v>12231</v>
      </c>
      <c r="RAW1" s="46" t="s">
        <v>12232</v>
      </c>
      <c r="RAX1" s="46" t="s">
        <v>12233</v>
      </c>
      <c r="RAY1" s="46" t="s">
        <v>12234</v>
      </c>
      <c r="RAZ1" s="46" t="s">
        <v>12235</v>
      </c>
      <c r="RBA1" s="46" t="s">
        <v>12236</v>
      </c>
      <c r="RBB1" s="46" t="s">
        <v>12237</v>
      </c>
      <c r="RBC1" s="46" t="s">
        <v>12238</v>
      </c>
      <c r="RBD1" s="46" t="s">
        <v>12239</v>
      </c>
      <c r="RBE1" s="46" t="s">
        <v>12240</v>
      </c>
      <c r="RBF1" s="46" t="s">
        <v>12241</v>
      </c>
      <c r="RBG1" s="46" t="s">
        <v>12242</v>
      </c>
      <c r="RBH1" s="46" t="s">
        <v>12243</v>
      </c>
      <c r="RBI1" s="46" t="s">
        <v>12244</v>
      </c>
      <c r="RBJ1" s="46" t="s">
        <v>12245</v>
      </c>
      <c r="RBK1" s="46" t="s">
        <v>12246</v>
      </c>
      <c r="RBL1" s="46" t="s">
        <v>12247</v>
      </c>
      <c r="RBM1" s="46" t="s">
        <v>12248</v>
      </c>
      <c r="RBN1" s="46" t="s">
        <v>12249</v>
      </c>
      <c r="RBO1" s="46" t="s">
        <v>12250</v>
      </c>
      <c r="RBP1" s="46" t="s">
        <v>12251</v>
      </c>
      <c r="RBQ1" s="46" t="s">
        <v>12252</v>
      </c>
      <c r="RBR1" s="46" t="s">
        <v>12253</v>
      </c>
      <c r="RBS1" s="46" t="s">
        <v>12254</v>
      </c>
      <c r="RBT1" s="46" t="s">
        <v>12255</v>
      </c>
      <c r="RBU1" s="46" t="s">
        <v>12256</v>
      </c>
      <c r="RBV1" s="46" t="s">
        <v>12257</v>
      </c>
      <c r="RBW1" s="46" t="s">
        <v>12258</v>
      </c>
      <c r="RBX1" s="46" t="s">
        <v>12259</v>
      </c>
      <c r="RBY1" s="46" t="s">
        <v>12260</v>
      </c>
      <c r="RBZ1" s="46" t="s">
        <v>12261</v>
      </c>
      <c r="RCA1" s="46" t="s">
        <v>12262</v>
      </c>
      <c r="RCB1" s="46" t="s">
        <v>12263</v>
      </c>
      <c r="RCC1" s="46" t="s">
        <v>12264</v>
      </c>
      <c r="RCD1" s="46" t="s">
        <v>12265</v>
      </c>
      <c r="RCE1" s="46" t="s">
        <v>12266</v>
      </c>
      <c r="RCF1" s="46" t="s">
        <v>12267</v>
      </c>
      <c r="RCG1" s="46" t="s">
        <v>12268</v>
      </c>
      <c r="RCH1" s="46" t="s">
        <v>12269</v>
      </c>
      <c r="RCI1" s="46" t="s">
        <v>12270</v>
      </c>
      <c r="RCJ1" s="46" t="s">
        <v>12271</v>
      </c>
      <c r="RCK1" s="46" t="s">
        <v>12272</v>
      </c>
      <c r="RCL1" s="46" t="s">
        <v>12273</v>
      </c>
      <c r="RCM1" s="46" t="s">
        <v>12274</v>
      </c>
      <c r="RCN1" s="46" t="s">
        <v>12275</v>
      </c>
      <c r="RCO1" s="46" t="s">
        <v>12276</v>
      </c>
      <c r="RCP1" s="46" t="s">
        <v>12277</v>
      </c>
      <c r="RCQ1" s="46" t="s">
        <v>12278</v>
      </c>
      <c r="RCR1" s="46" t="s">
        <v>12279</v>
      </c>
      <c r="RCS1" s="46" t="s">
        <v>12280</v>
      </c>
      <c r="RCT1" s="46" t="s">
        <v>12281</v>
      </c>
      <c r="RCU1" s="46" t="s">
        <v>12282</v>
      </c>
      <c r="RCV1" s="46" t="s">
        <v>12283</v>
      </c>
      <c r="RCW1" s="46" t="s">
        <v>12284</v>
      </c>
      <c r="RCX1" s="46" t="s">
        <v>12285</v>
      </c>
      <c r="RCY1" s="46" t="s">
        <v>12286</v>
      </c>
      <c r="RCZ1" s="46" t="s">
        <v>12287</v>
      </c>
      <c r="RDA1" s="46" t="s">
        <v>12288</v>
      </c>
      <c r="RDB1" s="46" t="s">
        <v>12289</v>
      </c>
      <c r="RDC1" s="46" t="s">
        <v>12290</v>
      </c>
      <c r="RDD1" s="46" t="s">
        <v>12291</v>
      </c>
      <c r="RDE1" s="46" t="s">
        <v>12292</v>
      </c>
      <c r="RDF1" s="46" t="s">
        <v>12293</v>
      </c>
      <c r="RDG1" s="46" t="s">
        <v>12294</v>
      </c>
      <c r="RDH1" s="46" t="s">
        <v>12295</v>
      </c>
      <c r="RDI1" s="46" t="s">
        <v>12296</v>
      </c>
      <c r="RDJ1" s="46" t="s">
        <v>12297</v>
      </c>
      <c r="RDK1" s="46" t="s">
        <v>12298</v>
      </c>
      <c r="RDL1" s="46" t="s">
        <v>12299</v>
      </c>
      <c r="RDM1" s="46" t="s">
        <v>12300</v>
      </c>
      <c r="RDN1" s="46" t="s">
        <v>12301</v>
      </c>
      <c r="RDO1" s="46" t="s">
        <v>12302</v>
      </c>
      <c r="RDP1" s="46" t="s">
        <v>12303</v>
      </c>
      <c r="RDQ1" s="46" t="s">
        <v>12304</v>
      </c>
      <c r="RDR1" s="46" t="s">
        <v>12305</v>
      </c>
      <c r="RDS1" s="46" t="s">
        <v>12306</v>
      </c>
      <c r="RDT1" s="46" t="s">
        <v>12307</v>
      </c>
      <c r="RDU1" s="46" t="s">
        <v>12308</v>
      </c>
      <c r="RDV1" s="46" t="s">
        <v>12309</v>
      </c>
      <c r="RDW1" s="46" t="s">
        <v>12310</v>
      </c>
      <c r="RDX1" s="46" t="s">
        <v>12311</v>
      </c>
      <c r="RDY1" s="46" t="s">
        <v>12312</v>
      </c>
      <c r="RDZ1" s="46" t="s">
        <v>12313</v>
      </c>
      <c r="REA1" s="46" t="s">
        <v>12314</v>
      </c>
      <c r="REB1" s="46" t="s">
        <v>12315</v>
      </c>
      <c r="REC1" s="46" t="s">
        <v>12316</v>
      </c>
      <c r="RED1" s="46" t="s">
        <v>12317</v>
      </c>
      <c r="REE1" s="46" t="s">
        <v>12318</v>
      </c>
      <c r="REF1" s="46" t="s">
        <v>12319</v>
      </c>
      <c r="REG1" s="46" t="s">
        <v>12320</v>
      </c>
      <c r="REH1" s="46" t="s">
        <v>12321</v>
      </c>
      <c r="REI1" s="46" t="s">
        <v>12322</v>
      </c>
      <c r="REJ1" s="46" t="s">
        <v>12323</v>
      </c>
      <c r="REK1" s="46" t="s">
        <v>12324</v>
      </c>
      <c r="REL1" s="46" t="s">
        <v>12325</v>
      </c>
      <c r="REM1" s="46" t="s">
        <v>12326</v>
      </c>
      <c r="REN1" s="46" t="s">
        <v>12327</v>
      </c>
      <c r="REO1" s="46" t="s">
        <v>12328</v>
      </c>
      <c r="REP1" s="46" t="s">
        <v>12329</v>
      </c>
      <c r="REQ1" s="46" t="s">
        <v>12330</v>
      </c>
      <c r="RER1" s="46" t="s">
        <v>12331</v>
      </c>
      <c r="RES1" s="46" t="s">
        <v>12332</v>
      </c>
      <c r="RET1" s="46" t="s">
        <v>12333</v>
      </c>
      <c r="REU1" s="46" t="s">
        <v>12334</v>
      </c>
      <c r="REV1" s="46" t="s">
        <v>12335</v>
      </c>
      <c r="REW1" s="46" t="s">
        <v>12336</v>
      </c>
      <c r="REX1" s="46" t="s">
        <v>12337</v>
      </c>
      <c r="REY1" s="46" t="s">
        <v>12338</v>
      </c>
      <c r="REZ1" s="46" t="s">
        <v>12339</v>
      </c>
      <c r="RFA1" s="46" t="s">
        <v>12340</v>
      </c>
      <c r="RFB1" s="46" t="s">
        <v>12341</v>
      </c>
      <c r="RFC1" s="46" t="s">
        <v>12342</v>
      </c>
      <c r="RFD1" s="46" t="s">
        <v>12343</v>
      </c>
      <c r="RFE1" s="46" t="s">
        <v>12344</v>
      </c>
      <c r="RFF1" s="46" t="s">
        <v>12345</v>
      </c>
      <c r="RFG1" s="46" t="s">
        <v>12346</v>
      </c>
      <c r="RFH1" s="46" t="s">
        <v>12347</v>
      </c>
      <c r="RFI1" s="46" t="s">
        <v>12348</v>
      </c>
      <c r="RFJ1" s="46" t="s">
        <v>12349</v>
      </c>
      <c r="RFK1" s="46" t="s">
        <v>12350</v>
      </c>
      <c r="RFL1" s="46" t="s">
        <v>12351</v>
      </c>
      <c r="RFM1" s="46" t="s">
        <v>12352</v>
      </c>
      <c r="RFN1" s="46" t="s">
        <v>12353</v>
      </c>
      <c r="RFO1" s="46" t="s">
        <v>12354</v>
      </c>
      <c r="RFP1" s="46" t="s">
        <v>12355</v>
      </c>
      <c r="RFQ1" s="46" t="s">
        <v>12356</v>
      </c>
      <c r="RFR1" s="46" t="s">
        <v>12357</v>
      </c>
      <c r="RFS1" s="46" t="s">
        <v>12358</v>
      </c>
      <c r="RFT1" s="46" t="s">
        <v>12359</v>
      </c>
      <c r="RFU1" s="46" t="s">
        <v>12360</v>
      </c>
      <c r="RFV1" s="46" t="s">
        <v>12361</v>
      </c>
      <c r="RFW1" s="46" t="s">
        <v>12362</v>
      </c>
      <c r="RFX1" s="46" t="s">
        <v>12363</v>
      </c>
      <c r="RFY1" s="46" t="s">
        <v>12364</v>
      </c>
      <c r="RFZ1" s="46" t="s">
        <v>12365</v>
      </c>
      <c r="RGA1" s="46" t="s">
        <v>12366</v>
      </c>
      <c r="RGB1" s="46" t="s">
        <v>12367</v>
      </c>
      <c r="RGC1" s="46" t="s">
        <v>12368</v>
      </c>
      <c r="RGD1" s="46" t="s">
        <v>12369</v>
      </c>
      <c r="RGE1" s="46" t="s">
        <v>12370</v>
      </c>
      <c r="RGF1" s="46" t="s">
        <v>12371</v>
      </c>
      <c r="RGG1" s="46" t="s">
        <v>12372</v>
      </c>
      <c r="RGH1" s="46" t="s">
        <v>12373</v>
      </c>
      <c r="RGI1" s="46" t="s">
        <v>12374</v>
      </c>
      <c r="RGJ1" s="46" t="s">
        <v>12375</v>
      </c>
      <c r="RGK1" s="46" t="s">
        <v>12376</v>
      </c>
      <c r="RGL1" s="46" t="s">
        <v>12377</v>
      </c>
      <c r="RGM1" s="46" t="s">
        <v>12378</v>
      </c>
      <c r="RGN1" s="46" t="s">
        <v>12379</v>
      </c>
      <c r="RGO1" s="46" t="s">
        <v>12380</v>
      </c>
      <c r="RGP1" s="46" t="s">
        <v>12381</v>
      </c>
      <c r="RGQ1" s="46" t="s">
        <v>12382</v>
      </c>
      <c r="RGR1" s="46" t="s">
        <v>12383</v>
      </c>
      <c r="RGS1" s="46" t="s">
        <v>12384</v>
      </c>
      <c r="RGT1" s="46" t="s">
        <v>12385</v>
      </c>
      <c r="RGU1" s="46" t="s">
        <v>12386</v>
      </c>
      <c r="RGV1" s="46" t="s">
        <v>12387</v>
      </c>
      <c r="RGW1" s="46" t="s">
        <v>12388</v>
      </c>
      <c r="RGX1" s="46" t="s">
        <v>12389</v>
      </c>
      <c r="RGY1" s="46" t="s">
        <v>12390</v>
      </c>
      <c r="RGZ1" s="46" t="s">
        <v>12391</v>
      </c>
      <c r="RHA1" s="46" t="s">
        <v>12392</v>
      </c>
      <c r="RHB1" s="46" t="s">
        <v>12393</v>
      </c>
      <c r="RHC1" s="46" t="s">
        <v>12394</v>
      </c>
      <c r="RHD1" s="46" t="s">
        <v>12395</v>
      </c>
      <c r="RHE1" s="46" t="s">
        <v>12396</v>
      </c>
      <c r="RHF1" s="46" t="s">
        <v>12397</v>
      </c>
      <c r="RHG1" s="46" t="s">
        <v>12398</v>
      </c>
      <c r="RHH1" s="46" t="s">
        <v>12399</v>
      </c>
      <c r="RHI1" s="46" t="s">
        <v>12400</v>
      </c>
      <c r="RHJ1" s="46" t="s">
        <v>12401</v>
      </c>
      <c r="RHK1" s="46" t="s">
        <v>12402</v>
      </c>
      <c r="RHL1" s="46" t="s">
        <v>12403</v>
      </c>
      <c r="RHM1" s="46" t="s">
        <v>12404</v>
      </c>
      <c r="RHN1" s="46" t="s">
        <v>12405</v>
      </c>
      <c r="RHO1" s="46" t="s">
        <v>12406</v>
      </c>
      <c r="RHP1" s="46" t="s">
        <v>12407</v>
      </c>
      <c r="RHQ1" s="46" t="s">
        <v>12408</v>
      </c>
      <c r="RHR1" s="46" t="s">
        <v>12409</v>
      </c>
      <c r="RHS1" s="46" t="s">
        <v>12410</v>
      </c>
      <c r="RHT1" s="46" t="s">
        <v>12411</v>
      </c>
      <c r="RHU1" s="46" t="s">
        <v>12412</v>
      </c>
      <c r="RHV1" s="46" t="s">
        <v>12413</v>
      </c>
      <c r="RHW1" s="46" t="s">
        <v>12414</v>
      </c>
      <c r="RHX1" s="46" t="s">
        <v>12415</v>
      </c>
      <c r="RHY1" s="46" t="s">
        <v>12416</v>
      </c>
      <c r="RHZ1" s="46" t="s">
        <v>12417</v>
      </c>
      <c r="RIA1" s="46" t="s">
        <v>12418</v>
      </c>
      <c r="RIB1" s="46" t="s">
        <v>12419</v>
      </c>
      <c r="RIC1" s="46" t="s">
        <v>12420</v>
      </c>
      <c r="RID1" s="46" t="s">
        <v>12421</v>
      </c>
      <c r="RIE1" s="46" t="s">
        <v>12422</v>
      </c>
      <c r="RIF1" s="46" t="s">
        <v>12423</v>
      </c>
      <c r="RIG1" s="46" t="s">
        <v>12424</v>
      </c>
      <c r="RIH1" s="46" t="s">
        <v>12425</v>
      </c>
      <c r="RII1" s="46" t="s">
        <v>12426</v>
      </c>
      <c r="RIJ1" s="46" t="s">
        <v>12427</v>
      </c>
      <c r="RIK1" s="46" t="s">
        <v>12428</v>
      </c>
      <c r="RIL1" s="46" t="s">
        <v>12429</v>
      </c>
      <c r="RIM1" s="46" t="s">
        <v>12430</v>
      </c>
      <c r="RIN1" s="46" t="s">
        <v>12431</v>
      </c>
      <c r="RIO1" s="46" t="s">
        <v>12432</v>
      </c>
      <c r="RIP1" s="46" t="s">
        <v>12433</v>
      </c>
      <c r="RIQ1" s="46" t="s">
        <v>12434</v>
      </c>
      <c r="RIR1" s="46" t="s">
        <v>12435</v>
      </c>
      <c r="RIS1" s="46" t="s">
        <v>12436</v>
      </c>
      <c r="RIT1" s="46" t="s">
        <v>12437</v>
      </c>
      <c r="RIU1" s="46" t="s">
        <v>12438</v>
      </c>
      <c r="RIV1" s="46" t="s">
        <v>12439</v>
      </c>
      <c r="RIW1" s="46" t="s">
        <v>12440</v>
      </c>
      <c r="RIX1" s="46" t="s">
        <v>12441</v>
      </c>
      <c r="RIY1" s="46" t="s">
        <v>12442</v>
      </c>
      <c r="RIZ1" s="46" t="s">
        <v>12443</v>
      </c>
      <c r="RJA1" s="46" t="s">
        <v>12444</v>
      </c>
      <c r="RJB1" s="46" t="s">
        <v>12445</v>
      </c>
      <c r="RJC1" s="46" t="s">
        <v>12446</v>
      </c>
      <c r="RJD1" s="46" t="s">
        <v>12447</v>
      </c>
      <c r="RJE1" s="46" t="s">
        <v>12448</v>
      </c>
      <c r="RJF1" s="46" t="s">
        <v>12449</v>
      </c>
      <c r="RJG1" s="46" t="s">
        <v>12450</v>
      </c>
      <c r="RJH1" s="46" t="s">
        <v>12451</v>
      </c>
      <c r="RJI1" s="46" t="s">
        <v>12452</v>
      </c>
      <c r="RJJ1" s="46" t="s">
        <v>12453</v>
      </c>
      <c r="RJK1" s="46" t="s">
        <v>12454</v>
      </c>
      <c r="RJL1" s="46" t="s">
        <v>12455</v>
      </c>
      <c r="RJM1" s="46" t="s">
        <v>12456</v>
      </c>
      <c r="RJN1" s="46" t="s">
        <v>12457</v>
      </c>
      <c r="RJO1" s="46" t="s">
        <v>12458</v>
      </c>
      <c r="RJP1" s="46" t="s">
        <v>12459</v>
      </c>
      <c r="RJQ1" s="46" t="s">
        <v>12460</v>
      </c>
      <c r="RJR1" s="46" t="s">
        <v>12461</v>
      </c>
      <c r="RJS1" s="46" t="s">
        <v>12462</v>
      </c>
      <c r="RJT1" s="46" t="s">
        <v>12463</v>
      </c>
      <c r="RJU1" s="46" t="s">
        <v>12464</v>
      </c>
      <c r="RJV1" s="46" t="s">
        <v>12465</v>
      </c>
      <c r="RJW1" s="46" t="s">
        <v>12466</v>
      </c>
      <c r="RJX1" s="46" t="s">
        <v>12467</v>
      </c>
      <c r="RJY1" s="46" t="s">
        <v>12468</v>
      </c>
      <c r="RJZ1" s="46" t="s">
        <v>12469</v>
      </c>
      <c r="RKA1" s="46" t="s">
        <v>12470</v>
      </c>
      <c r="RKB1" s="46" t="s">
        <v>12471</v>
      </c>
      <c r="RKC1" s="46" t="s">
        <v>12472</v>
      </c>
      <c r="RKD1" s="46" t="s">
        <v>12473</v>
      </c>
      <c r="RKE1" s="46" t="s">
        <v>12474</v>
      </c>
      <c r="RKF1" s="46" t="s">
        <v>12475</v>
      </c>
      <c r="RKG1" s="46" t="s">
        <v>12476</v>
      </c>
      <c r="RKH1" s="46" t="s">
        <v>12477</v>
      </c>
      <c r="RKI1" s="46" t="s">
        <v>12478</v>
      </c>
      <c r="RKJ1" s="46" t="s">
        <v>12479</v>
      </c>
      <c r="RKK1" s="46" t="s">
        <v>12480</v>
      </c>
      <c r="RKL1" s="46" t="s">
        <v>12481</v>
      </c>
      <c r="RKM1" s="46" t="s">
        <v>12482</v>
      </c>
      <c r="RKN1" s="46" t="s">
        <v>12483</v>
      </c>
      <c r="RKO1" s="46" t="s">
        <v>12484</v>
      </c>
      <c r="RKP1" s="46" t="s">
        <v>12485</v>
      </c>
      <c r="RKQ1" s="46" t="s">
        <v>12486</v>
      </c>
      <c r="RKR1" s="46" t="s">
        <v>12487</v>
      </c>
      <c r="RKS1" s="46" t="s">
        <v>12488</v>
      </c>
      <c r="RKT1" s="46" t="s">
        <v>12489</v>
      </c>
      <c r="RKU1" s="46" t="s">
        <v>12490</v>
      </c>
      <c r="RKV1" s="46" t="s">
        <v>12491</v>
      </c>
      <c r="RKW1" s="46" t="s">
        <v>12492</v>
      </c>
      <c r="RKX1" s="46" t="s">
        <v>12493</v>
      </c>
      <c r="RKY1" s="46" t="s">
        <v>12494</v>
      </c>
      <c r="RKZ1" s="46" t="s">
        <v>12495</v>
      </c>
      <c r="RLA1" s="46" t="s">
        <v>12496</v>
      </c>
      <c r="RLB1" s="46" t="s">
        <v>12497</v>
      </c>
      <c r="RLC1" s="46" t="s">
        <v>12498</v>
      </c>
      <c r="RLD1" s="46" t="s">
        <v>12499</v>
      </c>
      <c r="RLE1" s="46" t="s">
        <v>12500</v>
      </c>
      <c r="RLF1" s="46" t="s">
        <v>12501</v>
      </c>
      <c r="RLG1" s="46" t="s">
        <v>12502</v>
      </c>
      <c r="RLH1" s="46" t="s">
        <v>12503</v>
      </c>
      <c r="RLI1" s="46" t="s">
        <v>12504</v>
      </c>
      <c r="RLJ1" s="46" t="s">
        <v>12505</v>
      </c>
      <c r="RLK1" s="46" t="s">
        <v>12506</v>
      </c>
      <c r="RLL1" s="46" t="s">
        <v>12507</v>
      </c>
      <c r="RLM1" s="46" t="s">
        <v>12508</v>
      </c>
      <c r="RLN1" s="46" t="s">
        <v>12509</v>
      </c>
      <c r="RLO1" s="46" t="s">
        <v>12510</v>
      </c>
      <c r="RLP1" s="46" t="s">
        <v>12511</v>
      </c>
      <c r="RLQ1" s="46" t="s">
        <v>12512</v>
      </c>
      <c r="RLR1" s="46" t="s">
        <v>12513</v>
      </c>
      <c r="RLS1" s="46" t="s">
        <v>12514</v>
      </c>
      <c r="RLT1" s="46" t="s">
        <v>12515</v>
      </c>
      <c r="RLU1" s="46" t="s">
        <v>12516</v>
      </c>
      <c r="RLV1" s="46" t="s">
        <v>12517</v>
      </c>
      <c r="RLW1" s="46" t="s">
        <v>12518</v>
      </c>
      <c r="RLX1" s="46" t="s">
        <v>12519</v>
      </c>
      <c r="RLY1" s="46" t="s">
        <v>12520</v>
      </c>
      <c r="RLZ1" s="46" t="s">
        <v>12521</v>
      </c>
      <c r="RMA1" s="46" t="s">
        <v>12522</v>
      </c>
      <c r="RMB1" s="46" t="s">
        <v>12523</v>
      </c>
      <c r="RMC1" s="46" t="s">
        <v>12524</v>
      </c>
      <c r="RMD1" s="46" t="s">
        <v>12525</v>
      </c>
      <c r="RME1" s="46" t="s">
        <v>12526</v>
      </c>
      <c r="RMF1" s="46" t="s">
        <v>12527</v>
      </c>
      <c r="RMG1" s="46" t="s">
        <v>12528</v>
      </c>
      <c r="RMH1" s="46" t="s">
        <v>12529</v>
      </c>
      <c r="RMI1" s="46" t="s">
        <v>12530</v>
      </c>
      <c r="RMJ1" s="46" t="s">
        <v>12531</v>
      </c>
      <c r="RMK1" s="46" t="s">
        <v>12532</v>
      </c>
      <c r="RML1" s="46" t="s">
        <v>12533</v>
      </c>
      <c r="RMM1" s="46" t="s">
        <v>12534</v>
      </c>
      <c r="RMN1" s="46" t="s">
        <v>12535</v>
      </c>
      <c r="RMO1" s="46" t="s">
        <v>12536</v>
      </c>
      <c r="RMP1" s="46" t="s">
        <v>12537</v>
      </c>
      <c r="RMQ1" s="46" t="s">
        <v>12538</v>
      </c>
      <c r="RMR1" s="46" t="s">
        <v>12539</v>
      </c>
      <c r="RMS1" s="46" t="s">
        <v>12540</v>
      </c>
      <c r="RMT1" s="46" t="s">
        <v>12541</v>
      </c>
      <c r="RMU1" s="46" t="s">
        <v>12542</v>
      </c>
      <c r="RMV1" s="46" t="s">
        <v>12543</v>
      </c>
      <c r="RMW1" s="46" t="s">
        <v>12544</v>
      </c>
      <c r="RMX1" s="46" t="s">
        <v>12545</v>
      </c>
      <c r="RMY1" s="46" t="s">
        <v>12546</v>
      </c>
      <c r="RMZ1" s="46" t="s">
        <v>12547</v>
      </c>
      <c r="RNA1" s="46" t="s">
        <v>12548</v>
      </c>
      <c r="RNB1" s="46" t="s">
        <v>12549</v>
      </c>
      <c r="RNC1" s="46" t="s">
        <v>12550</v>
      </c>
      <c r="RND1" s="46" t="s">
        <v>12551</v>
      </c>
      <c r="RNE1" s="46" t="s">
        <v>12552</v>
      </c>
      <c r="RNF1" s="46" t="s">
        <v>12553</v>
      </c>
      <c r="RNG1" s="46" t="s">
        <v>12554</v>
      </c>
      <c r="RNH1" s="46" t="s">
        <v>12555</v>
      </c>
      <c r="RNI1" s="46" t="s">
        <v>12556</v>
      </c>
      <c r="RNJ1" s="46" t="s">
        <v>12557</v>
      </c>
      <c r="RNK1" s="46" t="s">
        <v>12558</v>
      </c>
      <c r="RNL1" s="46" t="s">
        <v>12559</v>
      </c>
      <c r="RNM1" s="46" t="s">
        <v>12560</v>
      </c>
      <c r="RNN1" s="46" t="s">
        <v>12561</v>
      </c>
      <c r="RNO1" s="46" t="s">
        <v>12562</v>
      </c>
      <c r="RNP1" s="46" t="s">
        <v>12563</v>
      </c>
      <c r="RNQ1" s="46" t="s">
        <v>12564</v>
      </c>
      <c r="RNR1" s="46" t="s">
        <v>12565</v>
      </c>
      <c r="RNS1" s="46" t="s">
        <v>12566</v>
      </c>
      <c r="RNT1" s="46" t="s">
        <v>12567</v>
      </c>
      <c r="RNU1" s="46" t="s">
        <v>12568</v>
      </c>
      <c r="RNV1" s="46" t="s">
        <v>12569</v>
      </c>
      <c r="RNW1" s="46" t="s">
        <v>12570</v>
      </c>
      <c r="RNX1" s="46" t="s">
        <v>12571</v>
      </c>
      <c r="RNY1" s="46" t="s">
        <v>12572</v>
      </c>
      <c r="RNZ1" s="46" t="s">
        <v>12573</v>
      </c>
      <c r="ROA1" s="46" t="s">
        <v>12574</v>
      </c>
      <c r="ROB1" s="46" t="s">
        <v>12575</v>
      </c>
      <c r="ROC1" s="46" t="s">
        <v>12576</v>
      </c>
      <c r="ROD1" s="46" t="s">
        <v>12577</v>
      </c>
      <c r="ROE1" s="46" t="s">
        <v>12578</v>
      </c>
      <c r="ROF1" s="46" t="s">
        <v>12579</v>
      </c>
      <c r="ROG1" s="46" t="s">
        <v>12580</v>
      </c>
      <c r="ROH1" s="46" t="s">
        <v>12581</v>
      </c>
      <c r="ROI1" s="46" t="s">
        <v>12582</v>
      </c>
      <c r="ROJ1" s="46" t="s">
        <v>12583</v>
      </c>
      <c r="ROK1" s="46" t="s">
        <v>12584</v>
      </c>
      <c r="ROL1" s="46" t="s">
        <v>12585</v>
      </c>
      <c r="ROM1" s="46" t="s">
        <v>12586</v>
      </c>
      <c r="RON1" s="46" t="s">
        <v>12587</v>
      </c>
      <c r="ROO1" s="46" t="s">
        <v>12588</v>
      </c>
      <c r="ROP1" s="46" t="s">
        <v>12589</v>
      </c>
      <c r="ROQ1" s="46" t="s">
        <v>12590</v>
      </c>
      <c r="ROR1" s="46" t="s">
        <v>12591</v>
      </c>
      <c r="ROS1" s="46" t="s">
        <v>12592</v>
      </c>
      <c r="ROT1" s="46" t="s">
        <v>12593</v>
      </c>
      <c r="ROU1" s="46" t="s">
        <v>12594</v>
      </c>
      <c r="ROV1" s="46" t="s">
        <v>12595</v>
      </c>
      <c r="ROW1" s="46" t="s">
        <v>12596</v>
      </c>
      <c r="ROX1" s="46" t="s">
        <v>12597</v>
      </c>
      <c r="ROY1" s="46" t="s">
        <v>12598</v>
      </c>
      <c r="ROZ1" s="46" t="s">
        <v>12599</v>
      </c>
      <c r="RPA1" s="46" t="s">
        <v>12600</v>
      </c>
      <c r="RPB1" s="46" t="s">
        <v>12601</v>
      </c>
      <c r="RPC1" s="46" t="s">
        <v>12602</v>
      </c>
      <c r="RPD1" s="46" t="s">
        <v>12603</v>
      </c>
      <c r="RPE1" s="46" t="s">
        <v>12604</v>
      </c>
      <c r="RPF1" s="46" t="s">
        <v>12605</v>
      </c>
      <c r="RPG1" s="46" t="s">
        <v>12606</v>
      </c>
      <c r="RPH1" s="46" t="s">
        <v>12607</v>
      </c>
      <c r="RPI1" s="46" t="s">
        <v>12608</v>
      </c>
      <c r="RPJ1" s="46" t="s">
        <v>12609</v>
      </c>
      <c r="RPK1" s="46" t="s">
        <v>12610</v>
      </c>
      <c r="RPL1" s="46" t="s">
        <v>12611</v>
      </c>
      <c r="RPM1" s="46" t="s">
        <v>12612</v>
      </c>
      <c r="RPN1" s="46" t="s">
        <v>12613</v>
      </c>
      <c r="RPO1" s="46" t="s">
        <v>12614</v>
      </c>
      <c r="RPP1" s="46" t="s">
        <v>12615</v>
      </c>
      <c r="RPQ1" s="46" t="s">
        <v>12616</v>
      </c>
      <c r="RPR1" s="46" t="s">
        <v>12617</v>
      </c>
      <c r="RPS1" s="46" t="s">
        <v>12618</v>
      </c>
      <c r="RPT1" s="46" t="s">
        <v>12619</v>
      </c>
      <c r="RPU1" s="46" t="s">
        <v>12620</v>
      </c>
      <c r="RPV1" s="46" t="s">
        <v>12621</v>
      </c>
      <c r="RPW1" s="46" t="s">
        <v>12622</v>
      </c>
      <c r="RPX1" s="46" t="s">
        <v>12623</v>
      </c>
      <c r="RPY1" s="46" t="s">
        <v>12624</v>
      </c>
      <c r="RPZ1" s="46" t="s">
        <v>12625</v>
      </c>
      <c r="RQA1" s="46" t="s">
        <v>12626</v>
      </c>
      <c r="RQB1" s="46" t="s">
        <v>12627</v>
      </c>
      <c r="RQC1" s="46" t="s">
        <v>12628</v>
      </c>
      <c r="RQD1" s="46" t="s">
        <v>12629</v>
      </c>
      <c r="RQE1" s="46" t="s">
        <v>12630</v>
      </c>
      <c r="RQF1" s="46" t="s">
        <v>12631</v>
      </c>
      <c r="RQG1" s="46" t="s">
        <v>12632</v>
      </c>
      <c r="RQH1" s="46" t="s">
        <v>12633</v>
      </c>
      <c r="RQI1" s="46" t="s">
        <v>12634</v>
      </c>
      <c r="RQJ1" s="46" t="s">
        <v>12635</v>
      </c>
      <c r="RQK1" s="46" t="s">
        <v>12636</v>
      </c>
      <c r="RQL1" s="46" t="s">
        <v>12637</v>
      </c>
      <c r="RQM1" s="46" t="s">
        <v>12638</v>
      </c>
      <c r="RQN1" s="46" t="s">
        <v>12639</v>
      </c>
      <c r="RQO1" s="46" t="s">
        <v>12640</v>
      </c>
      <c r="RQP1" s="46" t="s">
        <v>12641</v>
      </c>
      <c r="RQQ1" s="46" t="s">
        <v>12642</v>
      </c>
      <c r="RQR1" s="46" t="s">
        <v>12643</v>
      </c>
      <c r="RQS1" s="46" t="s">
        <v>12644</v>
      </c>
      <c r="RQT1" s="46" t="s">
        <v>12645</v>
      </c>
      <c r="RQU1" s="46" t="s">
        <v>12646</v>
      </c>
      <c r="RQV1" s="46" t="s">
        <v>12647</v>
      </c>
      <c r="RQW1" s="46" t="s">
        <v>12648</v>
      </c>
      <c r="RQX1" s="46" t="s">
        <v>12649</v>
      </c>
      <c r="RQY1" s="46" t="s">
        <v>12650</v>
      </c>
      <c r="RQZ1" s="46" t="s">
        <v>12651</v>
      </c>
      <c r="RRA1" s="46" t="s">
        <v>12652</v>
      </c>
      <c r="RRB1" s="46" t="s">
        <v>12653</v>
      </c>
      <c r="RRC1" s="46" t="s">
        <v>12654</v>
      </c>
      <c r="RRD1" s="46" t="s">
        <v>12655</v>
      </c>
      <c r="RRE1" s="46" t="s">
        <v>12656</v>
      </c>
      <c r="RRF1" s="46" t="s">
        <v>12657</v>
      </c>
      <c r="RRG1" s="46" t="s">
        <v>12658</v>
      </c>
      <c r="RRH1" s="46" t="s">
        <v>12659</v>
      </c>
      <c r="RRI1" s="46" t="s">
        <v>12660</v>
      </c>
      <c r="RRJ1" s="46" t="s">
        <v>12661</v>
      </c>
      <c r="RRK1" s="46" t="s">
        <v>12662</v>
      </c>
      <c r="RRL1" s="46" t="s">
        <v>12663</v>
      </c>
      <c r="RRM1" s="46" t="s">
        <v>12664</v>
      </c>
      <c r="RRN1" s="46" t="s">
        <v>12665</v>
      </c>
      <c r="RRO1" s="46" t="s">
        <v>12666</v>
      </c>
      <c r="RRP1" s="46" t="s">
        <v>12667</v>
      </c>
      <c r="RRQ1" s="46" t="s">
        <v>12668</v>
      </c>
      <c r="RRR1" s="46" t="s">
        <v>12669</v>
      </c>
      <c r="RRS1" s="46" t="s">
        <v>12670</v>
      </c>
      <c r="RRT1" s="46" t="s">
        <v>12671</v>
      </c>
      <c r="RRU1" s="46" t="s">
        <v>12672</v>
      </c>
      <c r="RRV1" s="46" t="s">
        <v>12673</v>
      </c>
      <c r="RRW1" s="46" t="s">
        <v>12674</v>
      </c>
      <c r="RRX1" s="46" t="s">
        <v>12675</v>
      </c>
      <c r="RRY1" s="46" t="s">
        <v>12676</v>
      </c>
      <c r="RRZ1" s="46" t="s">
        <v>12677</v>
      </c>
      <c r="RSA1" s="46" t="s">
        <v>12678</v>
      </c>
      <c r="RSB1" s="46" t="s">
        <v>12679</v>
      </c>
      <c r="RSC1" s="46" t="s">
        <v>12680</v>
      </c>
      <c r="RSD1" s="46" t="s">
        <v>12681</v>
      </c>
      <c r="RSE1" s="46" t="s">
        <v>12682</v>
      </c>
      <c r="RSF1" s="46" t="s">
        <v>12683</v>
      </c>
      <c r="RSG1" s="46" t="s">
        <v>12684</v>
      </c>
      <c r="RSH1" s="46" t="s">
        <v>12685</v>
      </c>
      <c r="RSI1" s="46" t="s">
        <v>12686</v>
      </c>
      <c r="RSJ1" s="46" t="s">
        <v>12687</v>
      </c>
      <c r="RSK1" s="46" t="s">
        <v>12688</v>
      </c>
      <c r="RSL1" s="46" t="s">
        <v>12689</v>
      </c>
      <c r="RSM1" s="46" t="s">
        <v>12690</v>
      </c>
      <c r="RSN1" s="46" t="s">
        <v>12691</v>
      </c>
      <c r="RSO1" s="46" t="s">
        <v>12692</v>
      </c>
      <c r="RSP1" s="46" t="s">
        <v>12693</v>
      </c>
      <c r="RSQ1" s="46" t="s">
        <v>12694</v>
      </c>
      <c r="RSR1" s="46" t="s">
        <v>12695</v>
      </c>
      <c r="RSS1" s="46" t="s">
        <v>12696</v>
      </c>
      <c r="RST1" s="46" t="s">
        <v>12697</v>
      </c>
      <c r="RSU1" s="46" t="s">
        <v>12698</v>
      </c>
      <c r="RSV1" s="46" t="s">
        <v>12699</v>
      </c>
      <c r="RSW1" s="46" t="s">
        <v>12700</v>
      </c>
      <c r="RSX1" s="46" t="s">
        <v>12701</v>
      </c>
      <c r="RSY1" s="46" t="s">
        <v>12702</v>
      </c>
      <c r="RSZ1" s="46" t="s">
        <v>12703</v>
      </c>
      <c r="RTA1" s="46" t="s">
        <v>12704</v>
      </c>
      <c r="RTB1" s="46" t="s">
        <v>12705</v>
      </c>
      <c r="RTC1" s="46" t="s">
        <v>12706</v>
      </c>
      <c r="RTD1" s="46" t="s">
        <v>12707</v>
      </c>
      <c r="RTE1" s="46" t="s">
        <v>12708</v>
      </c>
      <c r="RTF1" s="46" t="s">
        <v>12709</v>
      </c>
      <c r="RTG1" s="46" t="s">
        <v>12710</v>
      </c>
      <c r="RTH1" s="46" t="s">
        <v>12711</v>
      </c>
      <c r="RTI1" s="46" t="s">
        <v>12712</v>
      </c>
      <c r="RTJ1" s="46" t="s">
        <v>12713</v>
      </c>
      <c r="RTK1" s="46" t="s">
        <v>12714</v>
      </c>
      <c r="RTL1" s="46" t="s">
        <v>12715</v>
      </c>
      <c r="RTM1" s="46" t="s">
        <v>12716</v>
      </c>
      <c r="RTN1" s="46" t="s">
        <v>12717</v>
      </c>
      <c r="RTO1" s="46" t="s">
        <v>12718</v>
      </c>
      <c r="RTP1" s="46" t="s">
        <v>12719</v>
      </c>
      <c r="RTQ1" s="46" t="s">
        <v>12720</v>
      </c>
      <c r="RTR1" s="46" t="s">
        <v>12721</v>
      </c>
      <c r="RTS1" s="46" t="s">
        <v>12722</v>
      </c>
      <c r="RTT1" s="46" t="s">
        <v>12723</v>
      </c>
      <c r="RTU1" s="46" t="s">
        <v>12724</v>
      </c>
      <c r="RTV1" s="46" t="s">
        <v>12725</v>
      </c>
      <c r="RTW1" s="46" t="s">
        <v>12726</v>
      </c>
      <c r="RTX1" s="46" t="s">
        <v>12727</v>
      </c>
      <c r="RTY1" s="46" t="s">
        <v>12728</v>
      </c>
      <c r="RTZ1" s="46" t="s">
        <v>12729</v>
      </c>
      <c r="RUA1" s="46" t="s">
        <v>12730</v>
      </c>
      <c r="RUB1" s="46" t="s">
        <v>12731</v>
      </c>
      <c r="RUC1" s="46" t="s">
        <v>12732</v>
      </c>
      <c r="RUD1" s="46" t="s">
        <v>12733</v>
      </c>
      <c r="RUE1" s="46" t="s">
        <v>12734</v>
      </c>
      <c r="RUF1" s="46" t="s">
        <v>12735</v>
      </c>
      <c r="RUG1" s="46" t="s">
        <v>12736</v>
      </c>
      <c r="RUH1" s="46" t="s">
        <v>12737</v>
      </c>
      <c r="RUI1" s="46" t="s">
        <v>12738</v>
      </c>
      <c r="RUJ1" s="46" t="s">
        <v>12739</v>
      </c>
      <c r="RUK1" s="46" t="s">
        <v>12740</v>
      </c>
      <c r="RUL1" s="46" t="s">
        <v>12741</v>
      </c>
      <c r="RUM1" s="46" t="s">
        <v>12742</v>
      </c>
      <c r="RUN1" s="46" t="s">
        <v>12743</v>
      </c>
      <c r="RUO1" s="46" t="s">
        <v>12744</v>
      </c>
      <c r="RUP1" s="46" t="s">
        <v>12745</v>
      </c>
      <c r="RUQ1" s="46" t="s">
        <v>12746</v>
      </c>
      <c r="RUR1" s="46" t="s">
        <v>12747</v>
      </c>
      <c r="RUS1" s="46" t="s">
        <v>12748</v>
      </c>
      <c r="RUT1" s="46" t="s">
        <v>12749</v>
      </c>
      <c r="RUU1" s="46" t="s">
        <v>12750</v>
      </c>
      <c r="RUV1" s="46" t="s">
        <v>12751</v>
      </c>
      <c r="RUW1" s="46" t="s">
        <v>12752</v>
      </c>
      <c r="RUX1" s="46" t="s">
        <v>12753</v>
      </c>
      <c r="RUY1" s="46" t="s">
        <v>12754</v>
      </c>
      <c r="RUZ1" s="46" t="s">
        <v>12755</v>
      </c>
      <c r="RVA1" s="46" t="s">
        <v>12756</v>
      </c>
      <c r="RVB1" s="46" t="s">
        <v>12757</v>
      </c>
      <c r="RVC1" s="46" t="s">
        <v>12758</v>
      </c>
      <c r="RVD1" s="46" t="s">
        <v>12759</v>
      </c>
      <c r="RVE1" s="46" t="s">
        <v>12760</v>
      </c>
      <c r="RVF1" s="46" t="s">
        <v>12761</v>
      </c>
      <c r="RVG1" s="46" t="s">
        <v>12762</v>
      </c>
      <c r="RVH1" s="46" t="s">
        <v>12763</v>
      </c>
      <c r="RVI1" s="46" t="s">
        <v>12764</v>
      </c>
      <c r="RVJ1" s="46" t="s">
        <v>12765</v>
      </c>
      <c r="RVK1" s="46" t="s">
        <v>12766</v>
      </c>
      <c r="RVL1" s="46" t="s">
        <v>12767</v>
      </c>
      <c r="RVM1" s="46" t="s">
        <v>12768</v>
      </c>
      <c r="RVN1" s="46" t="s">
        <v>12769</v>
      </c>
      <c r="RVO1" s="46" t="s">
        <v>12770</v>
      </c>
      <c r="RVP1" s="46" t="s">
        <v>12771</v>
      </c>
      <c r="RVQ1" s="46" t="s">
        <v>12772</v>
      </c>
      <c r="RVR1" s="46" t="s">
        <v>12773</v>
      </c>
      <c r="RVS1" s="46" t="s">
        <v>12774</v>
      </c>
      <c r="RVT1" s="46" t="s">
        <v>12775</v>
      </c>
      <c r="RVU1" s="46" t="s">
        <v>12776</v>
      </c>
      <c r="RVV1" s="46" t="s">
        <v>12777</v>
      </c>
      <c r="RVW1" s="46" t="s">
        <v>12778</v>
      </c>
      <c r="RVX1" s="46" t="s">
        <v>12779</v>
      </c>
      <c r="RVY1" s="46" t="s">
        <v>12780</v>
      </c>
      <c r="RVZ1" s="46" t="s">
        <v>12781</v>
      </c>
      <c r="RWA1" s="46" t="s">
        <v>12782</v>
      </c>
      <c r="RWB1" s="46" t="s">
        <v>12783</v>
      </c>
      <c r="RWC1" s="46" t="s">
        <v>12784</v>
      </c>
      <c r="RWD1" s="46" t="s">
        <v>12785</v>
      </c>
      <c r="RWE1" s="46" t="s">
        <v>12786</v>
      </c>
      <c r="RWF1" s="46" t="s">
        <v>12787</v>
      </c>
      <c r="RWG1" s="46" t="s">
        <v>12788</v>
      </c>
      <c r="RWH1" s="46" t="s">
        <v>12789</v>
      </c>
      <c r="RWI1" s="46" t="s">
        <v>12790</v>
      </c>
      <c r="RWJ1" s="46" t="s">
        <v>12791</v>
      </c>
      <c r="RWK1" s="46" t="s">
        <v>12792</v>
      </c>
      <c r="RWL1" s="46" t="s">
        <v>12793</v>
      </c>
      <c r="RWM1" s="46" t="s">
        <v>12794</v>
      </c>
      <c r="RWN1" s="46" t="s">
        <v>12795</v>
      </c>
      <c r="RWO1" s="46" t="s">
        <v>12796</v>
      </c>
      <c r="RWP1" s="46" t="s">
        <v>12797</v>
      </c>
      <c r="RWQ1" s="46" t="s">
        <v>12798</v>
      </c>
      <c r="RWR1" s="46" t="s">
        <v>12799</v>
      </c>
      <c r="RWS1" s="46" t="s">
        <v>12800</v>
      </c>
      <c r="RWT1" s="46" t="s">
        <v>12801</v>
      </c>
      <c r="RWU1" s="46" t="s">
        <v>12802</v>
      </c>
      <c r="RWV1" s="46" t="s">
        <v>12803</v>
      </c>
      <c r="RWW1" s="46" t="s">
        <v>12804</v>
      </c>
      <c r="RWX1" s="46" t="s">
        <v>12805</v>
      </c>
      <c r="RWY1" s="46" t="s">
        <v>12806</v>
      </c>
      <c r="RWZ1" s="46" t="s">
        <v>12807</v>
      </c>
      <c r="RXA1" s="46" t="s">
        <v>12808</v>
      </c>
      <c r="RXB1" s="46" t="s">
        <v>12809</v>
      </c>
      <c r="RXC1" s="46" t="s">
        <v>12810</v>
      </c>
      <c r="RXD1" s="46" t="s">
        <v>12811</v>
      </c>
      <c r="RXE1" s="46" t="s">
        <v>12812</v>
      </c>
      <c r="RXF1" s="46" t="s">
        <v>12813</v>
      </c>
      <c r="RXG1" s="46" t="s">
        <v>12814</v>
      </c>
      <c r="RXH1" s="46" t="s">
        <v>12815</v>
      </c>
      <c r="RXI1" s="46" t="s">
        <v>12816</v>
      </c>
      <c r="RXJ1" s="46" t="s">
        <v>12817</v>
      </c>
      <c r="RXK1" s="46" t="s">
        <v>12818</v>
      </c>
      <c r="RXL1" s="46" t="s">
        <v>12819</v>
      </c>
      <c r="RXM1" s="46" t="s">
        <v>12820</v>
      </c>
      <c r="RXN1" s="46" t="s">
        <v>12821</v>
      </c>
      <c r="RXO1" s="46" t="s">
        <v>12822</v>
      </c>
      <c r="RXP1" s="46" t="s">
        <v>12823</v>
      </c>
      <c r="RXQ1" s="46" t="s">
        <v>12824</v>
      </c>
      <c r="RXR1" s="46" t="s">
        <v>12825</v>
      </c>
      <c r="RXS1" s="46" t="s">
        <v>12826</v>
      </c>
      <c r="RXT1" s="46" t="s">
        <v>12827</v>
      </c>
      <c r="RXU1" s="46" t="s">
        <v>12828</v>
      </c>
      <c r="RXV1" s="46" t="s">
        <v>12829</v>
      </c>
      <c r="RXW1" s="46" t="s">
        <v>12830</v>
      </c>
      <c r="RXX1" s="46" t="s">
        <v>12831</v>
      </c>
      <c r="RXY1" s="46" t="s">
        <v>12832</v>
      </c>
      <c r="RXZ1" s="46" t="s">
        <v>12833</v>
      </c>
      <c r="RYA1" s="46" t="s">
        <v>12834</v>
      </c>
      <c r="RYB1" s="46" t="s">
        <v>12835</v>
      </c>
      <c r="RYC1" s="46" t="s">
        <v>12836</v>
      </c>
      <c r="RYD1" s="46" t="s">
        <v>12837</v>
      </c>
      <c r="RYE1" s="46" t="s">
        <v>12838</v>
      </c>
      <c r="RYF1" s="46" t="s">
        <v>12839</v>
      </c>
      <c r="RYG1" s="46" t="s">
        <v>12840</v>
      </c>
      <c r="RYH1" s="46" t="s">
        <v>12841</v>
      </c>
      <c r="RYI1" s="46" t="s">
        <v>12842</v>
      </c>
      <c r="RYJ1" s="46" t="s">
        <v>12843</v>
      </c>
      <c r="RYK1" s="46" t="s">
        <v>12844</v>
      </c>
      <c r="RYL1" s="46" t="s">
        <v>12845</v>
      </c>
      <c r="RYM1" s="46" t="s">
        <v>12846</v>
      </c>
      <c r="RYN1" s="46" t="s">
        <v>12847</v>
      </c>
      <c r="RYO1" s="46" t="s">
        <v>12848</v>
      </c>
      <c r="RYP1" s="46" t="s">
        <v>12849</v>
      </c>
      <c r="RYQ1" s="46" t="s">
        <v>12850</v>
      </c>
      <c r="RYR1" s="46" t="s">
        <v>12851</v>
      </c>
      <c r="RYS1" s="46" t="s">
        <v>12852</v>
      </c>
      <c r="RYT1" s="46" t="s">
        <v>12853</v>
      </c>
      <c r="RYU1" s="46" t="s">
        <v>12854</v>
      </c>
      <c r="RYV1" s="46" t="s">
        <v>12855</v>
      </c>
      <c r="RYW1" s="46" t="s">
        <v>12856</v>
      </c>
      <c r="RYX1" s="46" t="s">
        <v>12857</v>
      </c>
      <c r="RYY1" s="46" t="s">
        <v>12858</v>
      </c>
      <c r="RYZ1" s="46" t="s">
        <v>12859</v>
      </c>
      <c r="RZA1" s="46" t="s">
        <v>12860</v>
      </c>
      <c r="RZB1" s="46" t="s">
        <v>12861</v>
      </c>
      <c r="RZC1" s="46" t="s">
        <v>12862</v>
      </c>
      <c r="RZD1" s="46" t="s">
        <v>12863</v>
      </c>
      <c r="RZE1" s="46" t="s">
        <v>12864</v>
      </c>
      <c r="RZF1" s="46" t="s">
        <v>12865</v>
      </c>
      <c r="RZG1" s="46" t="s">
        <v>12866</v>
      </c>
      <c r="RZH1" s="46" t="s">
        <v>12867</v>
      </c>
      <c r="RZI1" s="46" t="s">
        <v>12868</v>
      </c>
      <c r="RZJ1" s="46" t="s">
        <v>12869</v>
      </c>
      <c r="RZK1" s="46" t="s">
        <v>12870</v>
      </c>
      <c r="RZL1" s="46" t="s">
        <v>12871</v>
      </c>
      <c r="RZM1" s="46" t="s">
        <v>12872</v>
      </c>
      <c r="RZN1" s="46" t="s">
        <v>12873</v>
      </c>
      <c r="RZO1" s="46" t="s">
        <v>12874</v>
      </c>
      <c r="RZP1" s="46" t="s">
        <v>12875</v>
      </c>
      <c r="RZQ1" s="46" t="s">
        <v>12876</v>
      </c>
      <c r="RZR1" s="46" t="s">
        <v>12877</v>
      </c>
      <c r="RZS1" s="46" t="s">
        <v>12878</v>
      </c>
      <c r="RZT1" s="46" t="s">
        <v>12879</v>
      </c>
      <c r="RZU1" s="46" t="s">
        <v>12880</v>
      </c>
      <c r="RZV1" s="46" t="s">
        <v>12881</v>
      </c>
      <c r="RZW1" s="46" t="s">
        <v>12882</v>
      </c>
      <c r="RZX1" s="46" t="s">
        <v>12883</v>
      </c>
      <c r="RZY1" s="46" t="s">
        <v>12884</v>
      </c>
      <c r="RZZ1" s="46" t="s">
        <v>12885</v>
      </c>
      <c r="SAA1" s="46" t="s">
        <v>12886</v>
      </c>
      <c r="SAB1" s="46" t="s">
        <v>12887</v>
      </c>
      <c r="SAC1" s="46" t="s">
        <v>12888</v>
      </c>
      <c r="SAD1" s="46" t="s">
        <v>12889</v>
      </c>
      <c r="SAE1" s="46" t="s">
        <v>12890</v>
      </c>
      <c r="SAF1" s="46" t="s">
        <v>12891</v>
      </c>
      <c r="SAG1" s="46" t="s">
        <v>12892</v>
      </c>
      <c r="SAH1" s="46" t="s">
        <v>12893</v>
      </c>
      <c r="SAI1" s="46" t="s">
        <v>12894</v>
      </c>
      <c r="SAJ1" s="46" t="s">
        <v>12895</v>
      </c>
      <c r="SAK1" s="46" t="s">
        <v>12896</v>
      </c>
      <c r="SAL1" s="46" t="s">
        <v>12897</v>
      </c>
      <c r="SAM1" s="46" t="s">
        <v>12898</v>
      </c>
      <c r="SAN1" s="46" t="s">
        <v>12899</v>
      </c>
      <c r="SAO1" s="46" t="s">
        <v>12900</v>
      </c>
      <c r="SAP1" s="46" t="s">
        <v>12901</v>
      </c>
      <c r="SAQ1" s="46" t="s">
        <v>12902</v>
      </c>
      <c r="SAR1" s="46" t="s">
        <v>12903</v>
      </c>
      <c r="SAS1" s="46" t="s">
        <v>12904</v>
      </c>
      <c r="SAT1" s="46" t="s">
        <v>12905</v>
      </c>
      <c r="SAU1" s="46" t="s">
        <v>12906</v>
      </c>
      <c r="SAV1" s="46" t="s">
        <v>12907</v>
      </c>
      <c r="SAW1" s="46" t="s">
        <v>12908</v>
      </c>
      <c r="SAX1" s="46" t="s">
        <v>12909</v>
      </c>
      <c r="SAY1" s="46" t="s">
        <v>12910</v>
      </c>
      <c r="SAZ1" s="46" t="s">
        <v>12911</v>
      </c>
      <c r="SBA1" s="46" t="s">
        <v>12912</v>
      </c>
      <c r="SBB1" s="46" t="s">
        <v>12913</v>
      </c>
      <c r="SBC1" s="46" t="s">
        <v>12914</v>
      </c>
      <c r="SBD1" s="46" t="s">
        <v>12915</v>
      </c>
      <c r="SBE1" s="46" t="s">
        <v>12916</v>
      </c>
      <c r="SBF1" s="46" t="s">
        <v>12917</v>
      </c>
      <c r="SBG1" s="46" t="s">
        <v>12918</v>
      </c>
      <c r="SBH1" s="46" t="s">
        <v>12919</v>
      </c>
      <c r="SBI1" s="46" t="s">
        <v>12920</v>
      </c>
      <c r="SBJ1" s="46" t="s">
        <v>12921</v>
      </c>
      <c r="SBK1" s="46" t="s">
        <v>12922</v>
      </c>
      <c r="SBL1" s="46" t="s">
        <v>12923</v>
      </c>
      <c r="SBM1" s="46" t="s">
        <v>12924</v>
      </c>
      <c r="SBN1" s="46" t="s">
        <v>12925</v>
      </c>
      <c r="SBO1" s="46" t="s">
        <v>12926</v>
      </c>
      <c r="SBP1" s="46" t="s">
        <v>12927</v>
      </c>
      <c r="SBQ1" s="46" t="s">
        <v>12928</v>
      </c>
      <c r="SBR1" s="46" t="s">
        <v>12929</v>
      </c>
      <c r="SBS1" s="46" t="s">
        <v>12930</v>
      </c>
      <c r="SBT1" s="46" t="s">
        <v>12931</v>
      </c>
      <c r="SBU1" s="46" t="s">
        <v>12932</v>
      </c>
      <c r="SBV1" s="46" t="s">
        <v>12933</v>
      </c>
      <c r="SBW1" s="46" t="s">
        <v>12934</v>
      </c>
      <c r="SBX1" s="46" t="s">
        <v>12935</v>
      </c>
      <c r="SBY1" s="46" t="s">
        <v>12936</v>
      </c>
      <c r="SBZ1" s="46" t="s">
        <v>12937</v>
      </c>
      <c r="SCA1" s="46" t="s">
        <v>12938</v>
      </c>
      <c r="SCB1" s="46" t="s">
        <v>12939</v>
      </c>
      <c r="SCC1" s="46" t="s">
        <v>12940</v>
      </c>
      <c r="SCD1" s="46" t="s">
        <v>12941</v>
      </c>
      <c r="SCE1" s="46" t="s">
        <v>12942</v>
      </c>
      <c r="SCF1" s="46" t="s">
        <v>12943</v>
      </c>
      <c r="SCG1" s="46" t="s">
        <v>12944</v>
      </c>
      <c r="SCH1" s="46" t="s">
        <v>12945</v>
      </c>
      <c r="SCI1" s="46" t="s">
        <v>12946</v>
      </c>
      <c r="SCJ1" s="46" t="s">
        <v>12947</v>
      </c>
      <c r="SCK1" s="46" t="s">
        <v>12948</v>
      </c>
      <c r="SCL1" s="46" t="s">
        <v>12949</v>
      </c>
      <c r="SCM1" s="46" t="s">
        <v>12950</v>
      </c>
      <c r="SCN1" s="46" t="s">
        <v>12951</v>
      </c>
      <c r="SCO1" s="46" t="s">
        <v>12952</v>
      </c>
      <c r="SCP1" s="46" t="s">
        <v>12953</v>
      </c>
      <c r="SCQ1" s="46" t="s">
        <v>12954</v>
      </c>
      <c r="SCR1" s="46" t="s">
        <v>12955</v>
      </c>
      <c r="SCS1" s="46" t="s">
        <v>12956</v>
      </c>
      <c r="SCT1" s="46" t="s">
        <v>12957</v>
      </c>
      <c r="SCU1" s="46" t="s">
        <v>12958</v>
      </c>
      <c r="SCV1" s="46" t="s">
        <v>12959</v>
      </c>
      <c r="SCW1" s="46" t="s">
        <v>12960</v>
      </c>
      <c r="SCX1" s="46" t="s">
        <v>12961</v>
      </c>
      <c r="SCY1" s="46" t="s">
        <v>12962</v>
      </c>
      <c r="SCZ1" s="46" t="s">
        <v>12963</v>
      </c>
      <c r="SDA1" s="46" t="s">
        <v>12964</v>
      </c>
      <c r="SDB1" s="46" t="s">
        <v>12965</v>
      </c>
      <c r="SDC1" s="46" t="s">
        <v>12966</v>
      </c>
      <c r="SDD1" s="46" t="s">
        <v>12967</v>
      </c>
      <c r="SDE1" s="46" t="s">
        <v>12968</v>
      </c>
      <c r="SDF1" s="46" t="s">
        <v>12969</v>
      </c>
      <c r="SDG1" s="46" t="s">
        <v>12970</v>
      </c>
      <c r="SDH1" s="46" t="s">
        <v>12971</v>
      </c>
      <c r="SDI1" s="46" t="s">
        <v>12972</v>
      </c>
      <c r="SDJ1" s="46" t="s">
        <v>12973</v>
      </c>
      <c r="SDK1" s="46" t="s">
        <v>12974</v>
      </c>
      <c r="SDL1" s="46" t="s">
        <v>12975</v>
      </c>
      <c r="SDM1" s="46" t="s">
        <v>12976</v>
      </c>
      <c r="SDN1" s="46" t="s">
        <v>12977</v>
      </c>
      <c r="SDO1" s="46" t="s">
        <v>12978</v>
      </c>
      <c r="SDP1" s="46" t="s">
        <v>12979</v>
      </c>
      <c r="SDQ1" s="46" t="s">
        <v>12980</v>
      </c>
      <c r="SDR1" s="46" t="s">
        <v>12981</v>
      </c>
      <c r="SDS1" s="46" t="s">
        <v>12982</v>
      </c>
      <c r="SDT1" s="46" t="s">
        <v>12983</v>
      </c>
      <c r="SDU1" s="46" t="s">
        <v>12984</v>
      </c>
      <c r="SDV1" s="46" t="s">
        <v>12985</v>
      </c>
      <c r="SDW1" s="46" t="s">
        <v>12986</v>
      </c>
      <c r="SDX1" s="46" t="s">
        <v>12987</v>
      </c>
      <c r="SDY1" s="46" t="s">
        <v>12988</v>
      </c>
      <c r="SDZ1" s="46" t="s">
        <v>12989</v>
      </c>
      <c r="SEA1" s="46" t="s">
        <v>12990</v>
      </c>
      <c r="SEB1" s="46" t="s">
        <v>12991</v>
      </c>
      <c r="SEC1" s="46" t="s">
        <v>12992</v>
      </c>
      <c r="SED1" s="46" t="s">
        <v>12993</v>
      </c>
      <c r="SEE1" s="46" t="s">
        <v>12994</v>
      </c>
      <c r="SEF1" s="46" t="s">
        <v>12995</v>
      </c>
      <c r="SEG1" s="46" t="s">
        <v>12996</v>
      </c>
      <c r="SEH1" s="46" t="s">
        <v>12997</v>
      </c>
      <c r="SEI1" s="46" t="s">
        <v>12998</v>
      </c>
      <c r="SEJ1" s="46" t="s">
        <v>12999</v>
      </c>
      <c r="SEK1" s="46" t="s">
        <v>13000</v>
      </c>
      <c r="SEL1" s="46" t="s">
        <v>13001</v>
      </c>
      <c r="SEM1" s="46" t="s">
        <v>13002</v>
      </c>
      <c r="SEN1" s="46" t="s">
        <v>13003</v>
      </c>
      <c r="SEO1" s="46" t="s">
        <v>13004</v>
      </c>
      <c r="SEP1" s="46" t="s">
        <v>13005</v>
      </c>
      <c r="SEQ1" s="46" t="s">
        <v>13006</v>
      </c>
      <c r="SER1" s="46" t="s">
        <v>13007</v>
      </c>
      <c r="SES1" s="46" t="s">
        <v>13008</v>
      </c>
      <c r="SET1" s="46" t="s">
        <v>13009</v>
      </c>
      <c r="SEU1" s="46" t="s">
        <v>13010</v>
      </c>
      <c r="SEV1" s="46" t="s">
        <v>13011</v>
      </c>
      <c r="SEW1" s="46" t="s">
        <v>13012</v>
      </c>
      <c r="SEX1" s="46" t="s">
        <v>13013</v>
      </c>
      <c r="SEY1" s="46" t="s">
        <v>13014</v>
      </c>
      <c r="SEZ1" s="46" t="s">
        <v>13015</v>
      </c>
      <c r="SFA1" s="46" t="s">
        <v>13016</v>
      </c>
      <c r="SFB1" s="46" t="s">
        <v>13017</v>
      </c>
      <c r="SFC1" s="46" t="s">
        <v>13018</v>
      </c>
      <c r="SFD1" s="46" t="s">
        <v>13019</v>
      </c>
      <c r="SFE1" s="46" t="s">
        <v>13020</v>
      </c>
      <c r="SFF1" s="46" t="s">
        <v>13021</v>
      </c>
      <c r="SFG1" s="46" t="s">
        <v>13022</v>
      </c>
      <c r="SFH1" s="46" t="s">
        <v>13023</v>
      </c>
      <c r="SFI1" s="46" t="s">
        <v>13024</v>
      </c>
      <c r="SFJ1" s="46" t="s">
        <v>13025</v>
      </c>
      <c r="SFK1" s="46" t="s">
        <v>13026</v>
      </c>
      <c r="SFL1" s="46" t="s">
        <v>13027</v>
      </c>
      <c r="SFM1" s="46" t="s">
        <v>13028</v>
      </c>
      <c r="SFN1" s="46" t="s">
        <v>13029</v>
      </c>
      <c r="SFO1" s="46" t="s">
        <v>13030</v>
      </c>
      <c r="SFP1" s="46" t="s">
        <v>13031</v>
      </c>
      <c r="SFQ1" s="46" t="s">
        <v>13032</v>
      </c>
      <c r="SFR1" s="46" t="s">
        <v>13033</v>
      </c>
      <c r="SFS1" s="46" t="s">
        <v>13034</v>
      </c>
      <c r="SFT1" s="46" t="s">
        <v>13035</v>
      </c>
      <c r="SFU1" s="46" t="s">
        <v>13036</v>
      </c>
      <c r="SFV1" s="46" t="s">
        <v>13037</v>
      </c>
      <c r="SFW1" s="46" t="s">
        <v>13038</v>
      </c>
      <c r="SFX1" s="46" t="s">
        <v>13039</v>
      </c>
      <c r="SFY1" s="46" t="s">
        <v>13040</v>
      </c>
      <c r="SFZ1" s="46" t="s">
        <v>13041</v>
      </c>
      <c r="SGA1" s="46" t="s">
        <v>13042</v>
      </c>
      <c r="SGB1" s="46" t="s">
        <v>13043</v>
      </c>
      <c r="SGC1" s="46" t="s">
        <v>13044</v>
      </c>
      <c r="SGD1" s="46" t="s">
        <v>13045</v>
      </c>
      <c r="SGE1" s="46" t="s">
        <v>13046</v>
      </c>
      <c r="SGF1" s="46" t="s">
        <v>13047</v>
      </c>
      <c r="SGG1" s="46" t="s">
        <v>13048</v>
      </c>
      <c r="SGH1" s="46" t="s">
        <v>13049</v>
      </c>
      <c r="SGI1" s="46" t="s">
        <v>13050</v>
      </c>
      <c r="SGJ1" s="46" t="s">
        <v>13051</v>
      </c>
      <c r="SGK1" s="46" t="s">
        <v>13052</v>
      </c>
      <c r="SGL1" s="46" t="s">
        <v>13053</v>
      </c>
      <c r="SGM1" s="46" t="s">
        <v>13054</v>
      </c>
      <c r="SGN1" s="46" t="s">
        <v>13055</v>
      </c>
      <c r="SGO1" s="46" t="s">
        <v>13056</v>
      </c>
      <c r="SGP1" s="46" t="s">
        <v>13057</v>
      </c>
      <c r="SGQ1" s="46" t="s">
        <v>13058</v>
      </c>
      <c r="SGR1" s="46" t="s">
        <v>13059</v>
      </c>
      <c r="SGS1" s="46" t="s">
        <v>13060</v>
      </c>
      <c r="SGT1" s="46" t="s">
        <v>13061</v>
      </c>
      <c r="SGU1" s="46" t="s">
        <v>13062</v>
      </c>
      <c r="SGV1" s="46" t="s">
        <v>13063</v>
      </c>
      <c r="SGW1" s="46" t="s">
        <v>13064</v>
      </c>
      <c r="SGX1" s="46" t="s">
        <v>13065</v>
      </c>
      <c r="SGY1" s="46" t="s">
        <v>13066</v>
      </c>
      <c r="SGZ1" s="46" t="s">
        <v>13067</v>
      </c>
      <c r="SHA1" s="46" t="s">
        <v>13068</v>
      </c>
      <c r="SHB1" s="46" t="s">
        <v>13069</v>
      </c>
      <c r="SHC1" s="46" t="s">
        <v>13070</v>
      </c>
      <c r="SHD1" s="46" t="s">
        <v>13071</v>
      </c>
      <c r="SHE1" s="46" t="s">
        <v>13072</v>
      </c>
      <c r="SHF1" s="46" t="s">
        <v>13073</v>
      </c>
      <c r="SHG1" s="46" t="s">
        <v>13074</v>
      </c>
      <c r="SHH1" s="46" t="s">
        <v>13075</v>
      </c>
      <c r="SHI1" s="46" t="s">
        <v>13076</v>
      </c>
      <c r="SHJ1" s="46" t="s">
        <v>13077</v>
      </c>
      <c r="SHK1" s="46" t="s">
        <v>13078</v>
      </c>
      <c r="SHL1" s="46" t="s">
        <v>13079</v>
      </c>
      <c r="SHM1" s="46" t="s">
        <v>13080</v>
      </c>
      <c r="SHN1" s="46" t="s">
        <v>13081</v>
      </c>
      <c r="SHO1" s="46" t="s">
        <v>13082</v>
      </c>
      <c r="SHP1" s="46" t="s">
        <v>13083</v>
      </c>
      <c r="SHQ1" s="46" t="s">
        <v>13084</v>
      </c>
      <c r="SHR1" s="46" t="s">
        <v>13085</v>
      </c>
      <c r="SHS1" s="46" t="s">
        <v>13086</v>
      </c>
      <c r="SHT1" s="46" t="s">
        <v>13087</v>
      </c>
      <c r="SHU1" s="46" t="s">
        <v>13088</v>
      </c>
      <c r="SHV1" s="46" t="s">
        <v>13089</v>
      </c>
      <c r="SHW1" s="46" t="s">
        <v>13090</v>
      </c>
      <c r="SHX1" s="46" t="s">
        <v>13091</v>
      </c>
      <c r="SHY1" s="46" t="s">
        <v>13092</v>
      </c>
      <c r="SHZ1" s="46" t="s">
        <v>13093</v>
      </c>
      <c r="SIA1" s="46" t="s">
        <v>13094</v>
      </c>
      <c r="SIB1" s="46" t="s">
        <v>13095</v>
      </c>
      <c r="SIC1" s="46" t="s">
        <v>13096</v>
      </c>
      <c r="SID1" s="46" t="s">
        <v>13097</v>
      </c>
      <c r="SIE1" s="46" t="s">
        <v>13098</v>
      </c>
      <c r="SIF1" s="46" t="s">
        <v>13099</v>
      </c>
      <c r="SIG1" s="46" t="s">
        <v>13100</v>
      </c>
      <c r="SIH1" s="46" t="s">
        <v>13101</v>
      </c>
      <c r="SII1" s="46" t="s">
        <v>13102</v>
      </c>
      <c r="SIJ1" s="46" t="s">
        <v>13103</v>
      </c>
      <c r="SIK1" s="46" t="s">
        <v>13104</v>
      </c>
      <c r="SIL1" s="46" t="s">
        <v>13105</v>
      </c>
      <c r="SIM1" s="46" t="s">
        <v>13106</v>
      </c>
      <c r="SIN1" s="46" t="s">
        <v>13107</v>
      </c>
      <c r="SIO1" s="46" t="s">
        <v>13108</v>
      </c>
      <c r="SIP1" s="46" t="s">
        <v>13109</v>
      </c>
      <c r="SIQ1" s="46" t="s">
        <v>13110</v>
      </c>
      <c r="SIR1" s="46" t="s">
        <v>13111</v>
      </c>
      <c r="SIS1" s="46" t="s">
        <v>13112</v>
      </c>
      <c r="SIT1" s="46" t="s">
        <v>13113</v>
      </c>
      <c r="SIU1" s="46" t="s">
        <v>13114</v>
      </c>
      <c r="SIV1" s="46" t="s">
        <v>13115</v>
      </c>
      <c r="SIW1" s="46" t="s">
        <v>13116</v>
      </c>
      <c r="SIX1" s="46" t="s">
        <v>13117</v>
      </c>
      <c r="SIY1" s="46" t="s">
        <v>13118</v>
      </c>
      <c r="SIZ1" s="46" t="s">
        <v>13119</v>
      </c>
      <c r="SJA1" s="46" t="s">
        <v>13120</v>
      </c>
      <c r="SJB1" s="46" t="s">
        <v>13121</v>
      </c>
      <c r="SJC1" s="46" t="s">
        <v>13122</v>
      </c>
      <c r="SJD1" s="46" t="s">
        <v>13123</v>
      </c>
      <c r="SJE1" s="46" t="s">
        <v>13124</v>
      </c>
      <c r="SJF1" s="46" t="s">
        <v>13125</v>
      </c>
      <c r="SJG1" s="46" t="s">
        <v>13126</v>
      </c>
      <c r="SJH1" s="46" t="s">
        <v>13127</v>
      </c>
      <c r="SJI1" s="46" t="s">
        <v>13128</v>
      </c>
      <c r="SJJ1" s="46" t="s">
        <v>13129</v>
      </c>
      <c r="SJK1" s="46" t="s">
        <v>13130</v>
      </c>
      <c r="SJL1" s="46" t="s">
        <v>13131</v>
      </c>
      <c r="SJM1" s="46" t="s">
        <v>13132</v>
      </c>
      <c r="SJN1" s="46" t="s">
        <v>13133</v>
      </c>
      <c r="SJO1" s="46" t="s">
        <v>13134</v>
      </c>
      <c r="SJP1" s="46" t="s">
        <v>13135</v>
      </c>
      <c r="SJQ1" s="46" t="s">
        <v>13136</v>
      </c>
      <c r="SJR1" s="46" t="s">
        <v>13137</v>
      </c>
      <c r="SJS1" s="46" t="s">
        <v>13138</v>
      </c>
      <c r="SJT1" s="46" t="s">
        <v>13139</v>
      </c>
      <c r="SJU1" s="46" t="s">
        <v>13140</v>
      </c>
      <c r="SJV1" s="46" t="s">
        <v>13141</v>
      </c>
      <c r="SJW1" s="46" t="s">
        <v>13142</v>
      </c>
      <c r="SJX1" s="46" t="s">
        <v>13143</v>
      </c>
      <c r="SJY1" s="46" t="s">
        <v>13144</v>
      </c>
      <c r="SJZ1" s="46" t="s">
        <v>13145</v>
      </c>
      <c r="SKA1" s="46" t="s">
        <v>13146</v>
      </c>
      <c r="SKB1" s="46" t="s">
        <v>13147</v>
      </c>
      <c r="SKC1" s="46" t="s">
        <v>13148</v>
      </c>
      <c r="SKD1" s="46" t="s">
        <v>13149</v>
      </c>
      <c r="SKE1" s="46" t="s">
        <v>13150</v>
      </c>
      <c r="SKF1" s="46" t="s">
        <v>13151</v>
      </c>
      <c r="SKG1" s="46" t="s">
        <v>13152</v>
      </c>
      <c r="SKH1" s="46" t="s">
        <v>13153</v>
      </c>
      <c r="SKI1" s="46" t="s">
        <v>13154</v>
      </c>
      <c r="SKJ1" s="46" t="s">
        <v>13155</v>
      </c>
      <c r="SKK1" s="46" t="s">
        <v>13156</v>
      </c>
      <c r="SKL1" s="46" t="s">
        <v>13157</v>
      </c>
      <c r="SKM1" s="46" t="s">
        <v>13158</v>
      </c>
      <c r="SKN1" s="46" t="s">
        <v>13159</v>
      </c>
      <c r="SKO1" s="46" t="s">
        <v>13160</v>
      </c>
      <c r="SKP1" s="46" t="s">
        <v>13161</v>
      </c>
      <c r="SKQ1" s="46" t="s">
        <v>13162</v>
      </c>
      <c r="SKR1" s="46" t="s">
        <v>13163</v>
      </c>
      <c r="SKS1" s="46" t="s">
        <v>13164</v>
      </c>
      <c r="SKT1" s="46" t="s">
        <v>13165</v>
      </c>
      <c r="SKU1" s="46" t="s">
        <v>13166</v>
      </c>
      <c r="SKV1" s="46" t="s">
        <v>13167</v>
      </c>
      <c r="SKW1" s="46" t="s">
        <v>13168</v>
      </c>
      <c r="SKX1" s="46" t="s">
        <v>13169</v>
      </c>
      <c r="SKY1" s="46" t="s">
        <v>13170</v>
      </c>
      <c r="SKZ1" s="46" t="s">
        <v>13171</v>
      </c>
      <c r="SLA1" s="46" t="s">
        <v>13172</v>
      </c>
      <c r="SLB1" s="46" t="s">
        <v>13173</v>
      </c>
      <c r="SLC1" s="46" t="s">
        <v>13174</v>
      </c>
      <c r="SLD1" s="46" t="s">
        <v>13175</v>
      </c>
      <c r="SLE1" s="46" t="s">
        <v>13176</v>
      </c>
      <c r="SLF1" s="46" t="s">
        <v>13177</v>
      </c>
      <c r="SLG1" s="46" t="s">
        <v>13178</v>
      </c>
      <c r="SLH1" s="46" t="s">
        <v>13179</v>
      </c>
      <c r="SLI1" s="46" t="s">
        <v>13180</v>
      </c>
      <c r="SLJ1" s="46" t="s">
        <v>13181</v>
      </c>
      <c r="SLK1" s="46" t="s">
        <v>13182</v>
      </c>
      <c r="SLL1" s="46" t="s">
        <v>13183</v>
      </c>
      <c r="SLM1" s="46" t="s">
        <v>13184</v>
      </c>
      <c r="SLN1" s="46" t="s">
        <v>13185</v>
      </c>
      <c r="SLO1" s="46" t="s">
        <v>13186</v>
      </c>
      <c r="SLP1" s="46" t="s">
        <v>13187</v>
      </c>
      <c r="SLQ1" s="46" t="s">
        <v>13188</v>
      </c>
      <c r="SLR1" s="46" t="s">
        <v>13189</v>
      </c>
      <c r="SLS1" s="46" t="s">
        <v>13190</v>
      </c>
      <c r="SLT1" s="46" t="s">
        <v>13191</v>
      </c>
      <c r="SLU1" s="46" t="s">
        <v>13192</v>
      </c>
      <c r="SLV1" s="46" t="s">
        <v>13193</v>
      </c>
      <c r="SLW1" s="46" t="s">
        <v>13194</v>
      </c>
      <c r="SLX1" s="46" t="s">
        <v>13195</v>
      </c>
      <c r="SLY1" s="46" t="s">
        <v>13196</v>
      </c>
      <c r="SLZ1" s="46" t="s">
        <v>13197</v>
      </c>
      <c r="SMA1" s="46" t="s">
        <v>13198</v>
      </c>
      <c r="SMB1" s="46" t="s">
        <v>13199</v>
      </c>
      <c r="SMC1" s="46" t="s">
        <v>13200</v>
      </c>
      <c r="SMD1" s="46" t="s">
        <v>13201</v>
      </c>
      <c r="SME1" s="46" t="s">
        <v>13202</v>
      </c>
      <c r="SMF1" s="46" t="s">
        <v>13203</v>
      </c>
      <c r="SMG1" s="46" t="s">
        <v>13204</v>
      </c>
      <c r="SMH1" s="46" t="s">
        <v>13205</v>
      </c>
      <c r="SMI1" s="46" t="s">
        <v>13206</v>
      </c>
      <c r="SMJ1" s="46" t="s">
        <v>13207</v>
      </c>
      <c r="SMK1" s="46" t="s">
        <v>13208</v>
      </c>
      <c r="SML1" s="46" t="s">
        <v>13209</v>
      </c>
      <c r="SMM1" s="46" t="s">
        <v>13210</v>
      </c>
      <c r="SMN1" s="46" t="s">
        <v>13211</v>
      </c>
      <c r="SMO1" s="46" t="s">
        <v>13212</v>
      </c>
      <c r="SMP1" s="46" t="s">
        <v>13213</v>
      </c>
      <c r="SMQ1" s="46" t="s">
        <v>13214</v>
      </c>
      <c r="SMR1" s="46" t="s">
        <v>13215</v>
      </c>
      <c r="SMS1" s="46" t="s">
        <v>13216</v>
      </c>
      <c r="SMT1" s="46" t="s">
        <v>13217</v>
      </c>
      <c r="SMU1" s="46" t="s">
        <v>13218</v>
      </c>
      <c r="SMV1" s="46" t="s">
        <v>13219</v>
      </c>
      <c r="SMW1" s="46" t="s">
        <v>13220</v>
      </c>
      <c r="SMX1" s="46" t="s">
        <v>13221</v>
      </c>
      <c r="SMY1" s="46" t="s">
        <v>13222</v>
      </c>
      <c r="SMZ1" s="46" t="s">
        <v>13223</v>
      </c>
      <c r="SNA1" s="46" t="s">
        <v>13224</v>
      </c>
      <c r="SNB1" s="46" t="s">
        <v>13225</v>
      </c>
      <c r="SNC1" s="46" t="s">
        <v>13226</v>
      </c>
      <c r="SND1" s="46" t="s">
        <v>13227</v>
      </c>
      <c r="SNE1" s="46" t="s">
        <v>13228</v>
      </c>
      <c r="SNF1" s="46" t="s">
        <v>13229</v>
      </c>
      <c r="SNG1" s="46" t="s">
        <v>13230</v>
      </c>
      <c r="SNH1" s="46" t="s">
        <v>13231</v>
      </c>
      <c r="SNI1" s="46" t="s">
        <v>13232</v>
      </c>
      <c r="SNJ1" s="46" t="s">
        <v>13233</v>
      </c>
      <c r="SNK1" s="46" t="s">
        <v>13234</v>
      </c>
      <c r="SNL1" s="46" t="s">
        <v>13235</v>
      </c>
      <c r="SNM1" s="46" t="s">
        <v>13236</v>
      </c>
      <c r="SNN1" s="46" t="s">
        <v>13237</v>
      </c>
      <c r="SNO1" s="46" t="s">
        <v>13238</v>
      </c>
      <c r="SNP1" s="46" t="s">
        <v>13239</v>
      </c>
      <c r="SNQ1" s="46" t="s">
        <v>13240</v>
      </c>
      <c r="SNR1" s="46" t="s">
        <v>13241</v>
      </c>
      <c r="SNS1" s="46" t="s">
        <v>13242</v>
      </c>
      <c r="SNT1" s="46" t="s">
        <v>13243</v>
      </c>
      <c r="SNU1" s="46" t="s">
        <v>13244</v>
      </c>
      <c r="SNV1" s="46" t="s">
        <v>13245</v>
      </c>
      <c r="SNW1" s="46" t="s">
        <v>13246</v>
      </c>
      <c r="SNX1" s="46" t="s">
        <v>13247</v>
      </c>
      <c r="SNY1" s="46" t="s">
        <v>13248</v>
      </c>
      <c r="SNZ1" s="46" t="s">
        <v>13249</v>
      </c>
      <c r="SOA1" s="46" t="s">
        <v>13250</v>
      </c>
      <c r="SOB1" s="46" t="s">
        <v>13251</v>
      </c>
      <c r="SOC1" s="46" t="s">
        <v>13252</v>
      </c>
      <c r="SOD1" s="46" t="s">
        <v>13253</v>
      </c>
      <c r="SOE1" s="46" t="s">
        <v>13254</v>
      </c>
      <c r="SOF1" s="46" t="s">
        <v>13255</v>
      </c>
      <c r="SOG1" s="46" t="s">
        <v>13256</v>
      </c>
      <c r="SOH1" s="46" t="s">
        <v>13257</v>
      </c>
      <c r="SOI1" s="46" t="s">
        <v>13258</v>
      </c>
      <c r="SOJ1" s="46" t="s">
        <v>13259</v>
      </c>
      <c r="SOK1" s="46" t="s">
        <v>13260</v>
      </c>
      <c r="SOL1" s="46" t="s">
        <v>13261</v>
      </c>
      <c r="SOM1" s="46" t="s">
        <v>13262</v>
      </c>
      <c r="SON1" s="46" t="s">
        <v>13263</v>
      </c>
      <c r="SOO1" s="46" t="s">
        <v>13264</v>
      </c>
      <c r="SOP1" s="46" t="s">
        <v>13265</v>
      </c>
      <c r="SOQ1" s="46" t="s">
        <v>13266</v>
      </c>
      <c r="SOR1" s="46" t="s">
        <v>13267</v>
      </c>
      <c r="SOS1" s="46" t="s">
        <v>13268</v>
      </c>
      <c r="SOT1" s="46" t="s">
        <v>13269</v>
      </c>
      <c r="SOU1" s="46" t="s">
        <v>13270</v>
      </c>
      <c r="SOV1" s="46" t="s">
        <v>13271</v>
      </c>
      <c r="SOW1" s="46" t="s">
        <v>13272</v>
      </c>
      <c r="SOX1" s="46" t="s">
        <v>13273</v>
      </c>
      <c r="SOY1" s="46" t="s">
        <v>13274</v>
      </c>
      <c r="SOZ1" s="46" t="s">
        <v>13275</v>
      </c>
      <c r="SPA1" s="46" t="s">
        <v>13276</v>
      </c>
      <c r="SPB1" s="46" t="s">
        <v>13277</v>
      </c>
      <c r="SPC1" s="46" t="s">
        <v>13278</v>
      </c>
      <c r="SPD1" s="46" t="s">
        <v>13279</v>
      </c>
      <c r="SPE1" s="46" t="s">
        <v>13280</v>
      </c>
      <c r="SPF1" s="46" t="s">
        <v>13281</v>
      </c>
      <c r="SPG1" s="46" t="s">
        <v>13282</v>
      </c>
      <c r="SPH1" s="46" t="s">
        <v>13283</v>
      </c>
      <c r="SPI1" s="46" t="s">
        <v>13284</v>
      </c>
      <c r="SPJ1" s="46" t="s">
        <v>13285</v>
      </c>
      <c r="SPK1" s="46" t="s">
        <v>13286</v>
      </c>
      <c r="SPL1" s="46" t="s">
        <v>13287</v>
      </c>
      <c r="SPM1" s="46" t="s">
        <v>13288</v>
      </c>
      <c r="SPN1" s="46" t="s">
        <v>13289</v>
      </c>
      <c r="SPO1" s="46" t="s">
        <v>13290</v>
      </c>
      <c r="SPP1" s="46" t="s">
        <v>13291</v>
      </c>
      <c r="SPQ1" s="46" t="s">
        <v>13292</v>
      </c>
      <c r="SPR1" s="46" t="s">
        <v>13293</v>
      </c>
      <c r="SPS1" s="46" t="s">
        <v>13294</v>
      </c>
      <c r="SPT1" s="46" t="s">
        <v>13295</v>
      </c>
      <c r="SPU1" s="46" t="s">
        <v>13296</v>
      </c>
      <c r="SPV1" s="46" t="s">
        <v>13297</v>
      </c>
      <c r="SPW1" s="46" t="s">
        <v>13298</v>
      </c>
      <c r="SPX1" s="46" t="s">
        <v>13299</v>
      </c>
      <c r="SPY1" s="46" t="s">
        <v>13300</v>
      </c>
      <c r="SPZ1" s="46" t="s">
        <v>13301</v>
      </c>
      <c r="SQA1" s="46" t="s">
        <v>13302</v>
      </c>
      <c r="SQB1" s="46" t="s">
        <v>13303</v>
      </c>
      <c r="SQC1" s="46" t="s">
        <v>13304</v>
      </c>
      <c r="SQD1" s="46" t="s">
        <v>13305</v>
      </c>
      <c r="SQE1" s="46" t="s">
        <v>13306</v>
      </c>
      <c r="SQF1" s="46" t="s">
        <v>13307</v>
      </c>
      <c r="SQG1" s="46" t="s">
        <v>13308</v>
      </c>
      <c r="SQH1" s="46" t="s">
        <v>13309</v>
      </c>
      <c r="SQI1" s="46" t="s">
        <v>13310</v>
      </c>
      <c r="SQJ1" s="46" t="s">
        <v>13311</v>
      </c>
      <c r="SQK1" s="46" t="s">
        <v>13312</v>
      </c>
      <c r="SQL1" s="46" t="s">
        <v>13313</v>
      </c>
      <c r="SQM1" s="46" t="s">
        <v>13314</v>
      </c>
      <c r="SQN1" s="46" t="s">
        <v>13315</v>
      </c>
      <c r="SQO1" s="46" t="s">
        <v>13316</v>
      </c>
      <c r="SQP1" s="46" t="s">
        <v>13317</v>
      </c>
      <c r="SQQ1" s="46" t="s">
        <v>13318</v>
      </c>
      <c r="SQR1" s="46" t="s">
        <v>13319</v>
      </c>
      <c r="SQS1" s="46" t="s">
        <v>13320</v>
      </c>
      <c r="SQT1" s="46" t="s">
        <v>13321</v>
      </c>
      <c r="SQU1" s="46" t="s">
        <v>13322</v>
      </c>
      <c r="SQV1" s="46" t="s">
        <v>13323</v>
      </c>
      <c r="SQW1" s="46" t="s">
        <v>13324</v>
      </c>
      <c r="SQX1" s="46" t="s">
        <v>13325</v>
      </c>
      <c r="SQY1" s="46" t="s">
        <v>13326</v>
      </c>
      <c r="SQZ1" s="46" t="s">
        <v>13327</v>
      </c>
      <c r="SRA1" s="46" t="s">
        <v>13328</v>
      </c>
      <c r="SRB1" s="46" t="s">
        <v>13329</v>
      </c>
      <c r="SRC1" s="46" t="s">
        <v>13330</v>
      </c>
      <c r="SRD1" s="46" t="s">
        <v>13331</v>
      </c>
      <c r="SRE1" s="46" t="s">
        <v>13332</v>
      </c>
      <c r="SRF1" s="46" t="s">
        <v>13333</v>
      </c>
      <c r="SRG1" s="46" t="s">
        <v>13334</v>
      </c>
      <c r="SRH1" s="46" t="s">
        <v>13335</v>
      </c>
      <c r="SRI1" s="46" t="s">
        <v>13336</v>
      </c>
      <c r="SRJ1" s="46" t="s">
        <v>13337</v>
      </c>
      <c r="SRK1" s="46" t="s">
        <v>13338</v>
      </c>
      <c r="SRL1" s="46" t="s">
        <v>13339</v>
      </c>
      <c r="SRM1" s="46" t="s">
        <v>13340</v>
      </c>
      <c r="SRN1" s="46" t="s">
        <v>13341</v>
      </c>
      <c r="SRO1" s="46" t="s">
        <v>13342</v>
      </c>
      <c r="SRP1" s="46" t="s">
        <v>13343</v>
      </c>
      <c r="SRQ1" s="46" t="s">
        <v>13344</v>
      </c>
      <c r="SRR1" s="46" t="s">
        <v>13345</v>
      </c>
      <c r="SRS1" s="46" t="s">
        <v>13346</v>
      </c>
      <c r="SRT1" s="46" t="s">
        <v>13347</v>
      </c>
      <c r="SRU1" s="46" t="s">
        <v>13348</v>
      </c>
      <c r="SRV1" s="46" t="s">
        <v>13349</v>
      </c>
      <c r="SRW1" s="46" t="s">
        <v>13350</v>
      </c>
      <c r="SRX1" s="46" t="s">
        <v>13351</v>
      </c>
      <c r="SRY1" s="46" t="s">
        <v>13352</v>
      </c>
      <c r="SRZ1" s="46" t="s">
        <v>13353</v>
      </c>
      <c r="SSA1" s="46" t="s">
        <v>13354</v>
      </c>
      <c r="SSB1" s="46" t="s">
        <v>13355</v>
      </c>
      <c r="SSC1" s="46" t="s">
        <v>13356</v>
      </c>
      <c r="SSD1" s="46" t="s">
        <v>13357</v>
      </c>
      <c r="SSE1" s="46" t="s">
        <v>13358</v>
      </c>
      <c r="SSF1" s="46" t="s">
        <v>13359</v>
      </c>
      <c r="SSG1" s="46" t="s">
        <v>13360</v>
      </c>
      <c r="SSH1" s="46" t="s">
        <v>13361</v>
      </c>
      <c r="SSI1" s="46" t="s">
        <v>13362</v>
      </c>
      <c r="SSJ1" s="46" t="s">
        <v>13363</v>
      </c>
      <c r="SSK1" s="46" t="s">
        <v>13364</v>
      </c>
      <c r="SSL1" s="46" t="s">
        <v>13365</v>
      </c>
      <c r="SSM1" s="46" t="s">
        <v>13366</v>
      </c>
      <c r="SSN1" s="46" t="s">
        <v>13367</v>
      </c>
      <c r="SSO1" s="46" t="s">
        <v>13368</v>
      </c>
      <c r="SSP1" s="46" t="s">
        <v>13369</v>
      </c>
      <c r="SSQ1" s="46" t="s">
        <v>13370</v>
      </c>
      <c r="SSR1" s="46" t="s">
        <v>13371</v>
      </c>
      <c r="SSS1" s="46" t="s">
        <v>13372</v>
      </c>
      <c r="SST1" s="46" t="s">
        <v>13373</v>
      </c>
      <c r="SSU1" s="46" t="s">
        <v>13374</v>
      </c>
      <c r="SSV1" s="46" t="s">
        <v>13375</v>
      </c>
      <c r="SSW1" s="46" t="s">
        <v>13376</v>
      </c>
      <c r="SSX1" s="46" t="s">
        <v>13377</v>
      </c>
      <c r="SSY1" s="46" t="s">
        <v>13378</v>
      </c>
      <c r="SSZ1" s="46" t="s">
        <v>13379</v>
      </c>
      <c r="STA1" s="46" t="s">
        <v>13380</v>
      </c>
      <c r="STB1" s="46" t="s">
        <v>13381</v>
      </c>
      <c r="STC1" s="46" t="s">
        <v>13382</v>
      </c>
      <c r="STD1" s="46" t="s">
        <v>13383</v>
      </c>
      <c r="STE1" s="46" t="s">
        <v>13384</v>
      </c>
      <c r="STF1" s="46" t="s">
        <v>13385</v>
      </c>
      <c r="STG1" s="46" t="s">
        <v>13386</v>
      </c>
      <c r="STH1" s="46" t="s">
        <v>13387</v>
      </c>
      <c r="STI1" s="46" t="s">
        <v>13388</v>
      </c>
      <c r="STJ1" s="46" t="s">
        <v>13389</v>
      </c>
      <c r="STK1" s="46" t="s">
        <v>13390</v>
      </c>
      <c r="STL1" s="46" t="s">
        <v>13391</v>
      </c>
      <c r="STM1" s="46" t="s">
        <v>13392</v>
      </c>
      <c r="STN1" s="46" t="s">
        <v>13393</v>
      </c>
      <c r="STO1" s="46" t="s">
        <v>13394</v>
      </c>
      <c r="STP1" s="46" t="s">
        <v>13395</v>
      </c>
      <c r="STQ1" s="46" t="s">
        <v>13396</v>
      </c>
      <c r="STR1" s="46" t="s">
        <v>13397</v>
      </c>
      <c r="STS1" s="46" t="s">
        <v>13398</v>
      </c>
      <c r="STT1" s="46" t="s">
        <v>13399</v>
      </c>
      <c r="STU1" s="46" t="s">
        <v>13400</v>
      </c>
      <c r="STV1" s="46" t="s">
        <v>13401</v>
      </c>
      <c r="STW1" s="46" t="s">
        <v>13402</v>
      </c>
      <c r="STX1" s="46" t="s">
        <v>13403</v>
      </c>
      <c r="STY1" s="46" t="s">
        <v>13404</v>
      </c>
      <c r="STZ1" s="46" t="s">
        <v>13405</v>
      </c>
      <c r="SUA1" s="46" t="s">
        <v>13406</v>
      </c>
      <c r="SUB1" s="46" t="s">
        <v>13407</v>
      </c>
      <c r="SUC1" s="46" t="s">
        <v>13408</v>
      </c>
      <c r="SUD1" s="46" t="s">
        <v>13409</v>
      </c>
      <c r="SUE1" s="46" t="s">
        <v>13410</v>
      </c>
      <c r="SUF1" s="46" t="s">
        <v>13411</v>
      </c>
      <c r="SUG1" s="46" t="s">
        <v>13412</v>
      </c>
      <c r="SUH1" s="46" t="s">
        <v>13413</v>
      </c>
      <c r="SUI1" s="46" t="s">
        <v>13414</v>
      </c>
      <c r="SUJ1" s="46" t="s">
        <v>13415</v>
      </c>
      <c r="SUK1" s="46" t="s">
        <v>13416</v>
      </c>
      <c r="SUL1" s="46" t="s">
        <v>13417</v>
      </c>
      <c r="SUM1" s="46" t="s">
        <v>13418</v>
      </c>
      <c r="SUN1" s="46" t="s">
        <v>13419</v>
      </c>
      <c r="SUO1" s="46" t="s">
        <v>13420</v>
      </c>
      <c r="SUP1" s="46" t="s">
        <v>13421</v>
      </c>
      <c r="SUQ1" s="46" t="s">
        <v>13422</v>
      </c>
      <c r="SUR1" s="46" t="s">
        <v>13423</v>
      </c>
      <c r="SUS1" s="46" t="s">
        <v>13424</v>
      </c>
      <c r="SUT1" s="46" t="s">
        <v>13425</v>
      </c>
      <c r="SUU1" s="46" t="s">
        <v>13426</v>
      </c>
      <c r="SUV1" s="46" t="s">
        <v>13427</v>
      </c>
      <c r="SUW1" s="46" t="s">
        <v>13428</v>
      </c>
      <c r="SUX1" s="46" t="s">
        <v>13429</v>
      </c>
      <c r="SUY1" s="46" t="s">
        <v>13430</v>
      </c>
      <c r="SUZ1" s="46" t="s">
        <v>13431</v>
      </c>
      <c r="SVA1" s="46" t="s">
        <v>13432</v>
      </c>
      <c r="SVB1" s="46" t="s">
        <v>13433</v>
      </c>
      <c r="SVC1" s="46" t="s">
        <v>13434</v>
      </c>
      <c r="SVD1" s="46" t="s">
        <v>13435</v>
      </c>
      <c r="SVE1" s="46" t="s">
        <v>13436</v>
      </c>
      <c r="SVF1" s="46" t="s">
        <v>13437</v>
      </c>
      <c r="SVG1" s="46" t="s">
        <v>13438</v>
      </c>
      <c r="SVH1" s="46" t="s">
        <v>13439</v>
      </c>
      <c r="SVI1" s="46" t="s">
        <v>13440</v>
      </c>
      <c r="SVJ1" s="46" t="s">
        <v>13441</v>
      </c>
      <c r="SVK1" s="46" t="s">
        <v>13442</v>
      </c>
      <c r="SVL1" s="46" t="s">
        <v>13443</v>
      </c>
      <c r="SVM1" s="46" t="s">
        <v>13444</v>
      </c>
      <c r="SVN1" s="46" t="s">
        <v>13445</v>
      </c>
      <c r="SVO1" s="46" t="s">
        <v>13446</v>
      </c>
      <c r="SVP1" s="46" t="s">
        <v>13447</v>
      </c>
      <c r="SVQ1" s="46" t="s">
        <v>13448</v>
      </c>
      <c r="SVR1" s="46" t="s">
        <v>13449</v>
      </c>
      <c r="SVS1" s="46" t="s">
        <v>13450</v>
      </c>
      <c r="SVT1" s="46" t="s">
        <v>13451</v>
      </c>
      <c r="SVU1" s="46" t="s">
        <v>13452</v>
      </c>
      <c r="SVV1" s="46" t="s">
        <v>13453</v>
      </c>
      <c r="SVW1" s="46" t="s">
        <v>13454</v>
      </c>
      <c r="SVX1" s="46" t="s">
        <v>13455</v>
      </c>
      <c r="SVY1" s="46" t="s">
        <v>13456</v>
      </c>
      <c r="SVZ1" s="46" t="s">
        <v>13457</v>
      </c>
      <c r="SWA1" s="46" t="s">
        <v>13458</v>
      </c>
      <c r="SWB1" s="46" t="s">
        <v>13459</v>
      </c>
      <c r="SWC1" s="46" t="s">
        <v>13460</v>
      </c>
      <c r="SWD1" s="46" t="s">
        <v>13461</v>
      </c>
      <c r="SWE1" s="46" t="s">
        <v>13462</v>
      </c>
      <c r="SWF1" s="46" t="s">
        <v>13463</v>
      </c>
      <c r="SWG1" s="46" t="s">
        <v>13464</v>
      </c>
      <c r="SWH1" s="46" t="s">
        <v>13465</v>
      </c>
      <c r="SWI1" s="46" t="s">
        <v>13466</v>
      </c>
      <c r="SWJ1" s="46" t="s">
        <v>13467</v>
      </c>
      <c r="SWK1" s="46" t="s">
        <v>13468</v>
      </c>
      <c r="SWL1" s="46" t="s">
        <v>13469</v>
      </c>
      <c r="SWM1" s="46" t="s">
        <v>13470</v>
      </c>
      <c r="SWN1" s="46" t="s">
        <v>13471</v>
      </c>
      <c r="SWO1" s="46" t="s">
        <v>13472</v>
      </c>
      <c r="SWP1" s="46" t="s">
        <v>13473</v>
      </c>
      <c r="SWQ1" s="46" t="s">
        <v>13474</v>
      </c>
      <c r="SWR1" s="46" t="s">
        <v>13475</v>
      </c>
      <c r="SWS1" s="46" t="s">
        <v>13476</v>
      </c>
      <c r="SWT1" s="46" t="s">
        <v>13477</v>
      </c>
      <c r="SWU1" s="46" t="s">
        <v>13478</v>
      </c>
      <c r="SWV1" s="46" t="s">
        <v>13479</v>
      </c>
      <c r="SWW1" s="46" t="s">
        <v>13480</v>
      </c>
      <c r="SWX1" s="46" t="s">
        <v>13481</v>
      </c>
      <c r="SWY1" s="46" t="s">
        <v>13482</v>
      </c>
      <c r="SWZ1" s="46" t="s">
        <v>13483</v>
      </c>
      <c r="SXA1" s="46" t="s">
        <v>13484</v>
      </c>
      <c r="SXB1" s="46" t="s">
        <v>13485</v>
      </c>
      <c r="SXC1" s="46" t="s">
        <v>13486</v>
      </c>
      <c r="SXD1" s="46" t="s">
        <v>13487</v>
      </c>
      <c r="SXE1" s="46" t="s">
        <v>13488</v>
      </c>
      <c r="SXF1" s="46" t="s">
        <v>13489</v>
      </c>
      <c r="SXG1" s="46" t="s">
        <v>13490</v>
      </c>
      <c r="SXH1" s="46" t="s">
        <v>13491</v>
      </c>
      <c r="SXI1" s="46" t="s">
        <v>13492</v>
      </c>
      <c r="SXJ1" s="46" t="s">
        <v>13493</v>
      </c>
      <c r="SXK1" s="46" t="s">
        <v>13494</v>
      </c>
      <c r="SXL1" s="46" t="s">
        <v>13495</v>
      </c>
      <c r="SXM1" s="46" t="s">
        <v>13496</v>
      </c>
      <c r="SXN1" s="46" t="s">
        <v>13497</v>
      </c>
      <c r="SXO1" s="46" t="s">
        <v>13498</v>
      </c>
      <c r="SXP1" s="46" t="s">
        <v>13499</v>
      </c>
      <c r="SXQ1" s="46" t="s">
        <v>13500</v>
      </c>
      <c r="SXR1" s="46" t="s">
        <v>13501</v>
      </c>
      <c r="SXS1" s="46" t="s">
        <v>13502</v>
      </c>
      <c r="SXT1" s="46" t="s">
        <v>13503</v>
      </c>
      <c r="SXU1" s="46" t="s">
        <v>13504</v>
      </c>
      <c r="SXV1" s="46" t="s">
        <v>13505</v>
      </c>
      <c r="SXW1" s="46" t="s">
        <v>13506</v>
      </c>
      <c r="SXX1" s="46" t="s">
        <v>13507</v>
      </c>
      <c r="SXY1" s="46" t="s">
        <v>13508</v>
      </c>
      <c r="SXZ1" s="46" t="s">
        <v>13509</v>
      </c>
      <c r="SYA1" s="46" t="s">
        <v>13510</v>
      </c>
      <c r="SYB1" s="46" t="s">
        <v>13511</v>
      </c>
      <c r="SYC1" s="46" t="s">
        <v>13512</v>
      </c>
      <c r="SYD1" s="46" t="s">
        <v>13513</v>
      </c>
      <c r="SYE1" s="46" t="s">
        <v>13514</v>
      </c>
      <c r="SYF1" s="46" t="s">
        <v>13515</v>
      </c>
      <c r="SYG1" s="46" t="s">
        <v>13516</v>
      </c>
      <c r="SYH1" s="46" t="s">
        <v>13517</v>
      </c>
      <c r="SYI1" s="46" t="s">
        <v>13518</v>
      </c>
      <c r="SYJ1" s="46" t="s">
        <v>13519</v>
      </c>
      <c r="SYK1" s="46" t="s">
        <v>13520</v>
      </c>
      <c r="SYL1" s="46" t="s">
        <v>13521</v>
      </c>
      <c r="SYM1" s="46" t="s">
        <v>13522</v>
      </c>
      <c r="SYN1" s="46" t="s">
        <v>13523</v>
      </c>
      <c r="SYO1" s="46" t="s">
        <v>13524</v>
      </c>
      <c r="SYP1" s="46" t="s">
        <v>13525</v>
      </c>
      <c r="SYQ1" s="46" t="s">
        <v>13526</v>
      </c>
      <c r="SYR1" s="46" t="s">
        <v>13527</v>
      </c>
      <c r="SYS1" s="46" t="s">
        <v>13528</v>
      </c>
      <c r="SYT1" s="46" t="s">
        <v>13529</v>
      </c>
      <c r="SYU1" s="46" t="s">
        <v>13530</v>
      </c>
      <c r="SYV1" s="46" t="s">
        <v>13531</v>
      </c>
      <c r="SYW1" s="46" t="s">
        <v>13532</v>
      </c>
      <c r="SYX1" s="46" t="s">
        <v>13533</v>
      </c>
      <c r="SYY1" s="46" t="s">
        <v>13534</v>
      </c>
      <c r="SYZ1" s="46" t="s">
        <v>13535</v>
      </c>
      <c r="SZA1" s="46" t="s">
        <v>13536</v>
      </c>
      <c r="SZB1" s="46" t="s">
        <v>13537</v>
      </c>
      <c r="SZC1" s="46" t="s">
        <v>13538</v>
      </c>
      <c r="SZD1" s="46" t="s">
        <v>13539</v>
      </c>
      <c r="SZE1" s="46" t="s">
        <v>13540</v>
      </c>
      <c r="SZF1" s="46" t="s">
        <v>13541</v>
      </c>
      <c r="SZG1" s="46" t="s">
        <v>13542</v>
      </c>
      <c r="SZH1" s="46" t="s">
        <v>13543</v>
      </c>
      <c r="SZI1" s="46" t="s">
        <v>13544</v>
      </c>
      <c r="SZJ1" s="46" t="s">
        <v>13545</v>
      </c>
      <c r="SZK1" s="46" t="s">
        <v>13546</v>
      </c>
      <c r="SZL1" s="46" t="s">
        <v>13547</v>
      </c>
      <c r="SZM1" s="46" t="s">
        <v>13548</v>
      </c>
      <c r="SZN1" s="46" t="s">
        <v>13549</v>
      </c>
      <c r="SZO1" s="46" t="s">
        <v>13550</v>
      </c>
      <c r="SZP1" s="46" t="s">
        <v>13551</v>
      </c>
      <c r="SZQ1" s="46" t="s">
        <v>13552</v>
      </c>
      <c r="SZR1" s="46" t="s">
        <v>13553</v>
      </c>
      <c r="SZS1" s="46" t="s">
        <v>13554</v>
      </c>
      <c r="SZT1" s="46" t="s">
        <v>13555</v>
      </c>
      <c r="SZU1" s="46" t="s">
        <v>13556</v>
      </c>
      <c r="SZV1" s="46" t="s">
        <v>13557</v>
      </c>
      <c r="SZW1" s="46" t="s">
        <v>13558</v>
      </c>
      <c r="SZX1" s="46" t="s">
        <v>13559</v>
      </c>
      <c r="SZY1" s="46" t="s">
        <v>13560</v>
      </c>
      <c r="SZZ1" s="46" t="s">
        <v>13561</v>
      </c>
      <c r="TAA1" s="46" t="s">
        <v>13562</v>
      </c>
      <c r="TAB1" s="46" t="s">
        <v>13563</v>
      </c>
      <c r="TAC1" s="46" t="s">
        <v>13564</v>
      </c>
      <c r="TAD1" s="46" t="s">
        <v>13565</v>
      </c>
      <c r="TAE1" s="46" t="s">
        <v>13566</v>
      </c>
      <c r="TAF1" s="46" t="s">
        <v>13567</v>
      </c>
      <c r="TAG1" s="46" t="s">
        <v>13568</v>
      </c>
      <c r="TAH1" s="46" t="s">
        <v>13569</v>
      </c>
      <c r="TAI1" s="46" t="s">
        <v>13570</v>
      </c>
      <c r="TAJ1" s="46" t="s">
        <v>13571</v>
      </c>
      <c r="TAK1" s="46" t="s">
        <v>13572</v>
      </c>
      <c r="TAL1" s="46" t="s">
        <v>13573</v>
      </c>
      <c r="TAM1" s="46" t="s">
        <v>13574</v>
      </c>
      <c r="TAN1" s="46" t="s">
        <v>13575</v>
      </c>
      <c r="TAO1" s="46" t="s">
        <v>13576</v>
      </c>
      <c r="TAP1" s="46" t="s">
        <v>13577</v>
      </c>
      <c r="TAQ1" s="46" t="s">
        <v>13578</v>
      </c>
      <c r="TAR1" s="46" t="s">
        <v>13579</v>
      </c>
      <c r="TAS1" s="46" t="s">
        <v>13580</v>
      </c>
      <c r="TAT1" s="46" t="s">
        <v>13581</v>
      </c>
      <c r="TAU1" s="46" t="s">
        <v>13582</v>
      </c>
      <c r="TAV1" s="46" t="s">
        <v>13583</v>
      </c>
      <c r="TAW1" s="46" t="s">
        <v>13584</v>
      </c>
      <c r="TAX1" s="46" t="s">
        <v>13585</v>
      </c>
      <c r="TAY1" s="46" t="s">
        <v>13586</v>
      </c>
      <c r="TAZ1" s="46" t="s">
        <v>13587</v>
      </c>
      <c r="TBA1" s="46" t="s">
        <v>13588</v>
      </c>
      <c r="TBB1" s="46" t="s">
        <v>13589</v>
      </c>
      <c r="TBC1" s="46" t="s">
        <v>13590</v>
      </c>
      <c r="TBD1" s="46" t="s">
        <v>13591</v>
      </c>
      <c r="TBE1" s="46" t="s">
        <v>13592</v>
      </c>
      <c r="TBF1" s="46" t="s">
        <v>13593</v>
      </c>
      <c r="TBG1" s="46" t="s">
        <v>13594</v>
      </c>
      <c r="TBH1" s="46" t="s">
        <v>13595</v>
      </c>
      <c r="TBI1" s="46" t="s">
        <v>13596</v>
      </c>
      <c r="TBJ1" s="46" t="s">
        <v>13597</v>
      </c>
      <c r="TBK1" s="46" t="s">
        <v>13598</v>
      </c>
      <c r="TBL1" s="46" t="s">
        <v>13599</v>
      </c>
      <c r="TBM1" s="46" t="s">
        <v>13600</v>
      </c>
      <c r="TBN1" s="46" t="s">
        <v>13601</v>
      </c>
      <c r="TBO1" s="46" t="s">
        <v>13602</v>
      </c>
      <c r="TBP1" s="46" t="s">
        <v>13603</v>
      </c>
      <c r="TBQ1" s="46" t="s">
        <v>13604</v>
      </c>
      <c r="TBR1" s="46" t="s">
        <v>13605</v>
      </c>
      <c r="TBS1" s="46" t="s">
        <v>13606</v>
      </c>
      <c r="TBT1" s="46" t="s">
        <v>13607</v>
      </c>
      <c r="TBU1" s="46" t="s">
        <v>13608</v>
      </c>
      <c r="TBV1" s="46" t="s">
        <v>13609</v>
      </c>
      <c r="TBW1" s="46" t="s">
        <v>13610</v>
      </c>
      <c r="TBX1" s="46" t="s">
        <v>13611</v>
      </c>
      <c r="TBY1" s="46" t="s">
        <v>13612</v>
      </c>
      <c r="TBZ1" s="46" t="s">
        <v>13613</v>
      </c>
      <c r="TCA1" s="46" t="s">
        <v>13614</v>
      </c>
      <c r="TCB1" s="46" t="s">
        <v>13615</v>
      </c>
      <c r="TCC1" s="46" t="s">
        <v>13616</v>
      </c>
      <c r="TCD1" s="46" t="s">
        <v>13617</v>
      </c>
      <c r="TCE1" s="46" t="s">
        <v>13618</v>
      </c>
      <c r="TCF1" s="46" t="s">
        <v>13619</v>
      </c>
      <c r="TCG1" s="46" t="s">
        <v>13620</v>
      </c>
      <c r="TCH1" s="46" t="s">
        <v>13621</v>
      </c>
      <c r="TCI1" s="46" t="s">
        <v>13622</v>
      </c>
      <c r="TCJ1" s="46" t="s">
        <v>13623</v>
      </c>
      <c r="TCK1" s="46" t="s">
        <v>13624</v>
      </c>
      <c r="TCL1" s="46" t="s">
        <v>13625</v>
      </c>
      <c r="TCM1" s="46" t="s">
        <v>13626</v>
      </c>
      <c r="TCN1" s="46" t="s">
        <v>13627</v>
      </c>
      <c r="TCO1" s="46" t="s">
        <v>13628</v>
      </c>
      <c r="TCP1" s="46" t="s">
        <v>13629</v>
      </c>
      <c r="TCQ1" s="46" t="s">
        <v>13630</v>
      </c>
      <c r="TCR1" s="46" t="s">
        <v>13631</v>
      </c>
      <c r="TCS1" s="46" t="s">
        <v>13632</v>
      </c>
      <c r="TCT1" s="46" t="s">
        <v>13633</v>
      </c>
      <c r="TCU1" s="46" t="s">
        <v>13634</v>
      </c>
      <c r="TCV1" s="46" t="s">
        <v>13635</v>
      </c>
      <c r="TCW1" s="46" t="s">
        <v>13636</v>
      </c>
      <c r="TCX1" s="46" t="s">
        <v>13637</v>
      </c>
      <c r="TCY1" s="46" t="s">
        <v>13638</v>
      </c>
      <c r="TCZ1" s="46" t="s">
        <v>13639</v>
      </c>
      <c r="TDA1" s="46" t="s">
        <v>13640</v>
      </c>
      <c r="TDB1" s="46" t="s">
        <v>13641</v>
      </c>
      <c r="TDC1" s="46" t="s">
        <v>13642</v>
      </c>
      <c r="TDD1" s="46" t="s">
        <v>13643</v>
      </c>
      <c r="TDE1" s="46" t="s">
        <v>13644</v>
      </c>
      <c r="TDF1" s="46" t="s">
        <v>13645</v>
      </c>
      <c r="TDG1" s="46" t="s">
        <v>13646</v>
      </c>
      <c r="TDH1" s="46" t="s">
        <v>13647</v>
      </c>
      <c r="TDI1" s="46" t="s">
        <v>13648</v>
      </c>
      <c r="TDJ1" s="46" t="s">
        <v>13649</v>
      </c>
      <c r="TDK1" s="46" t="s">
        <v>13650</v>
      </c>
      <c r="TDL1" s="46" t="s">
        <v>13651</v>
      </c>
      <c r="TDM1" s="46" t="s">
        <v>13652</v>
      </c>
      <c r="TDN1" s="46" t="s">
        <v>13653</v>
      </c>
      <c r="TDO1" s="46" t="s">
        <v>13654</v>
      </c>
      <c r="TDP1" s="46" t="s">
        <v>13655</v>
      </c>
      <c r="TDQ1" s="46" t="s">
        <v>13656</v>
      </c>
      <c r="TDR1" s="46" t="s">
        <v>13657</v>
      </c>
      <c r="TDS1" s="46" t="s">
        <v>13658</v>
      </c>
      <c r="TDT1" s="46" t="s">
        <v>13659</v>
      </c>
      <c r="TDU1" s="46" t="s">
        <v>13660</v>
      </c>
      <c r="TDV1" s="46" t="s">
        <v>13661</v>
      </c>
      <c r="TDW1" s="46" t="s">
        <v>13662</v>
      </c>
      <c r="TDX1" s="46" t="s">
        <v>13663</v>
      </c>
      <c r="TDY1" s="46" t="s">
        <v>13664</v>
      </c>
      <c r="TDZ1" s="46" t="s">
        <v>13665</v>
      </c>
      <c r="TEA1" s="46" t="s">
        <v>13666</v>
      </c>
      <c r="TEB1" s="46" t="s">
        <v>13667</v>
      </c>
      <c r="TEC1" s="46" t="s">
        <v>13668</v>
      </c>
      <c r="TED1" s="46" t="s">
        <v>13669</v>
      </c>
      <c r="TEE1" s="46" t="s">
        <v>13670</v>
      </c>
      <c r="TEF1" s="46" t="s">
        <v>13671</v>
      </c>
      <c r="TEG1" s="46" t="s">
        <v>13672</v>
      </c>
      <c r="TEH1" s="46" t="s">
        <v>13673</v>
      </c>
      <c r="TEI1" s="46" t="s">
        <v>13674</v>
      </c>
      <c r="TEJ1" s="46" t="s">
        <v>13675</v>
      </c>
      <c r="TEK1" s="46" t="s">
        <v>13676</v>
      </c>
      <c r="TEL1" s="46" t="s">
        <v>13677</v>
      </c>
      <c r="TEM1" s="46" t="s">
        <v>13678</v>
      </c>
      <c r="TEN1" s="46" t="s">
        <v>13679</v>
      </c>
      <c r="TEO1" s="46" t="s">
        <v>13680</v>
      </c>
      <c r="TEP1" s="46" t="s">
        <v>13681</v>
      </c>
      <c r="TEQ1" s="46" t="s">
        <v>13682</v>
      </c>
      <c r="TER1" s="46" t="s">
        <v>13683</v>
      </c>
      <c r="TES1" s="46" t="s">
        <v>13684</v>
      </c>
      <c r="TET1" s="46" t="s">
        <v>13685</v>
      </c>
      <c r="TEU1" s="46" t="s">
        <v>13686</v>
      </c>
      <c r="TEV1" s="46" t="s">
        <v>13687</v>
      </c>
      <c r="TEW1" s="46" t="s">
        <v>13688</v>
      </c>
      <c r="TEX1" s="46" t="s">
        <v>13689</v>
      </c>
      <c r="TEY1" s="46" t="s">
        <v>13690</v>
      </c>
      <c r="TEZ1" s="46" t="s">
        <v>13691</v>
      </c>
      <c r="TFA1" s="46" t="s">
        <v>13692</v>
      </c>
      <c r="TFB1" s="46" t="s">
        <v>13693</v>
      </c>
      <c r="TFC1" s="46" t="s">
        <v>13694</v>
      </c>
      <c r="TFD1" s="46" t="s">
        <v>13695</v>
      </c>
      <c r="TFE1" s="46" t="s">
        <v>13696</v>
      </c>
      <c r="TFF1" s="46" t="s">
        <v>13697</v>
      </c>
      <c r="TFG1" s="46" t="s">
        <v>13698</v>
      </c>
      <c r="TFH1" s="46" t="s">
        <v>13699</v>
      </c>
      <c r="TFI1" s="46" t="s">
        <v>13700</v>
      </c>
      <c r="TFJ1" s="46" t="s">
        <v>13701</v>
      </c>
      <c r="TFK1" s="46" t="s">
        <v>13702</v>
      </c>
      <c r="TFL1" s="46" t="s">
        <v>13703</v>
      </c>
      <c r="TFM1" s="46" t="s">
        <v>13704</v>
      </c>
      <c r="TFN1" s="46" t="s">
        <v>13705</v>
      </c>
      <c r="TFO1" s="46" t="s">
        <v>13706</v>
      </c>
      <c r="TFP1" s="46" t="s">
        <v>13707</v>
      </c>
      <c r="TFQ1" s="46" t="s">
        <v>13708</v>
      </c>
      <c r="TFR1" s="46" t="s">
        <v>13709</v>
      </c>
      <c r="TFS1" s="46" t="s">
        <v>13710</v>
      </c>
      <c r="TFT1" s="46" t="s">
        <v>13711</v>
      </c>
      <c r="TFU1" s="46" t="s">
        <v>13712</v>
      </c>
      <c r="TFV1" s="46" t="s">
        <v>13713</v>
      </c>
      <c r="TFW1" s="46" t="s">
        <v>13714</v>
      </c>
      <c r="TFX1" s="46" t="s">
        <v>13715</v>
      </c>
      <c r="TFY1" s="46" t="s">
        <v>13716</v>
      </c>
      <c r="TFZ1" s="46" t="s">
        <v>13717</v>
      </c>
      <c r="TGA1" s="46" t="s">
        <v>13718</v>
      </c>
      <c r="TGB1" s="46" t="s">
        <v>13719</v>
      </c>
      <c r="TGC1" s="46" t="s">
        <v>13720</v>
      </c>
      <c r="TGD1" s="46" t="s">
        <v>13721</v>
      </c>
      <c r="TGE1" s="46" t="s">
        <v>13722</v>
      </c>
      <c r="TGF1" s="46" t="s">
        <v>13723</v>
      </c>
      <c r="TGG1" s="46" t="s">
        <v>13724</v>
      </c>
      <c r="TGH1" s="46" t="s">
        <v>13725</v>
      </c>
      <c r="TGI1" s="46" t="s">
        <v>13726</v>
      </c>
      <c r="TGJ1" s="46" t="s">
        <v>13727</v>
      </c>
      <c r="TGK1" s="46" t="s">
        <v>13728</v>
      </c>
      <c r="TGL1" s="46" t="s">
        <v>13729</v>
      </c>
      <c r="TGM1" s="46" t="s">
        <v>13730</v>
      </c>
      <c r="TGN1" s="46" t="s">
        <v>13731</v>
      </c>
      <c r="TGO1" s="46" t="s">
        <v>13732</v>
      </c>
      <c r="TGP1" s="46" t="s">
        <v>13733</v>
      </c>
      <c r="TGQ1" s="46" t="s">
        <v>13734</v>
      </c>
      <c r="TGR1" s="46" t="s">
        <v>13735</v>
      </c>
      <c r="TGS1" s="46" t="s">
        <v>13736</v>
      </c>
      <c r="TGT1" s="46" t="s">
        <v>13737</v>
      </c>
      <c r="TGU1" s="46" t="s">
        <v>13738</v>
      </c>
      <c r="TGV1" s="46" t="s">
        <v>13739</v>
      </c>
      <c r="TGW1" s="46" t="s">
        <v>13740</v>
      </c>
      <c r="TGX1" s="46" t="s">
        <v>13741</v>
      </c>
      <c r="TGY1" s="46" t="s">
        <v>13742</v>
      </c>
      <c r="TGZ1" s="46" t="s">
        <v>13743</v>
      </c>
      <c r="THA1" s="46" t="s">
        <v>13744</v>
      </c>
      <c r="THB1" s="46" t="s">
        <v>13745</v>
      </c>
      <c r="THC1" s="46" t="s">
        <v>13746</v>
      </c>
      <c r="THD1" s="46" t="s">
        <v>13747</v>
      </c>
      <c r="THE1" s="46" t="s">
        <v>13748</v>
      </c>
      <c r="THF1" s="46" t="s">
        <v>13749</v>
      </c>
      <c r="THG1" s="46" t="s">
        <v>13750</v>
      </c>
      <c r="THH1" s="46" t="s">
        <v>13751</v>
      </c>
      <c r="THI1" s="46" t="s">
        <v>13752</v>
      </c>
      <c r="THJ1" s="46" t="s">
        <v>13753</v>
      </c>
      <c r="THK1" s="46" t="s">
        <v>13754</v>
      </c>
      <c r="THL1" s="46" t="s">
        <v>13755</v>
      </c>
      <c r="THM1" s="46" t="s">
        <v>13756</v>
      </c>
      <c r="THN1" s="46" t="s">
        <v>13757</v>
      </c>
      <c r="THO1" s="46" t="s">
        <v>13758</v>
      </c>
      <c r="THP1" s="46" t="s">
        <v>13759</v>
      </c>
      <c r="THQ1" s="46" t="s">
        <v>13760</v>
      </c>
      <c r="THR1" s="46" t="s">
        <v>13761</v>
      </c>
      <c r="THS1" s="46" t="s">
        <v>13762</v>
      </c>
      <c r="THT1" s="46" t="s">
        <v>13763</v>
      </c>
      <c r="THU1" s="46" t="s">
        <v>13764</v>
      </c>
      <c r="THV1" s="46" t="s">
        <v>13765</v>
      </c>
      <c r="THW1" s="46" t="s">
        <v>13766</v>
      </c>
      <c r="THX1" s="46" t="s">
        <v>13767</v>
      </c>
      <c r="THY1" s="46" t="s">
        <v>13768</v>
      </c>
      <c r="THZ1" s="46" t="s">
        <v>13769</v>
      </c>
      <c r="TIA1" s="46" t="s">
        <v>13770</v>
      </c>
      <c r="TIB1" s="46" t="s">
        <v>13771</v>
      </c>
      <c r="TIC1" s="46" t="s">
        <v>13772</v>
      </c>
      <c r="TID1" s="46" t="s">
        <v>13773</v>
      </c>
      <c r="TIE1" s="46" t="s">
        <v>13774</v>
      </c>
      <c r="TIF1" s="46" t="s">
        <v>13775</v>
      </c>
      <c r="TIG1" s="46" t="s">
        <v>13776</v>
      </c>
      <c r="TIH1" s="46" t="s">
        <v>13777</v>
      </c>
      <c r="TII1" s="46" t="s">
        <v>13778</v>
      </c>
      <c r="TIJ1" s="46" t="s">
        <v>13779</v>
      </c>
      <c r="TIK1" s="46" t="s">
        <v>13780</v>
      </c>
      <c r="TIL1" s="46" t="s">
        <v>13781</v>
      </c>
      <c r="TIM1" s="46" t="s">
        <v>13782</v>
      </c>
      <c r="TIN1" s="46" t="s">
        <v>13783</v>
      </c>
      <c r="TIO1" s="46" t="s">
        <v>13784</v>
      </c>
      <c r="TIP1" s="46" t="s">
        <v>13785</v>
      </c>
      <c r="TIQ1" s="46" t="s">
        <v>13786</v>
      </c>
      <c r="TIR1" s="46" t="s">
        <v>13787</v>
      </c>
      <c r="TIS1" s="46" t="s">
        <v>13788</v>
      </c>
      <c r="TIT1" s="46" t="s">
        <v>13789</v>
      </c>
      <c r="TIU1" s="46" t="s">
        <v>13790</v>
      </c>
      <c r="TIV1" s="46" t="s">
        <v>13791</v>
      </c>
      <c r="TIW1" s="46" t="s">
        <v>13792</v>
      </c>
      <c r="TIX1" s="46" t="s">
        <v>13793</v>
      </c>
      <c r="TIY1" s="46" t="s">
        <v>13794</v>
      </c>
      <c r="TIZ1" s="46" t="s">
        <v>13795</v>
      </c>
      <c r="TJA1" s="46" t="s">
        <v>13796</v>
      </c>
      <c r="TJB1" s="46" t="s">
        <v>13797</v>
      </c>
      <c r="TJC1" s="46" t="s">
        <v>13798</v>
      </c>
      <c r="TJD1" s="46" t="s">
        <v>13799</v>
      </c>
      <c r="TJE1" s="46" t="s">
        <v>13800</v>
      </c>
      <c r="TJF1" s="46" t="s">
        <v>13801</v>
      </c>
      <c r="TJG1" s="46" t="s">
        <v>13802</v>
      </c>
      <c r="TJH1" s="46" t="s">
        <v>13803</v>
      </c>
      <c r="TJI1" s="46" t="s">
        <v>13804</v>
      </c>
      <c r="TJJ1" s="46" t="s">
        <v>13805</v>
      </c>
      <c r="TJK1" s="46" t="s">
        <v>13806</v>
      </c>
      <c r="TJL1" s="46" t="s">
        <v>13807</v>
      </c>
      <c r="TJM1" s="46" t="s">
        <v>13808</v>
      </c>
      <c r="TJN1" s="46" t="s">
        <v>13809</v>
      </c>
      <c r="TJO1" s="46" t="s">
        <v>13810</v>
      </c>
      <c r="TJP1" s="46" t="s">
        <v>13811</v>
      </c>
      <c r="TJQ1" s="46" t="s">
        <v>13812</v>
      </c>
      <c r="TJR1" s="46" t="s">
        <v>13813</v>
      </c>
      <c r="TJS1" s="46" t="s">
        <v>13814</v>
      </c>
      <c r="TJT1" s="46" t="s">
        <v>13815</v>
      </c>
      <c r="TJU1" s="46" t="s">
        <v>13816</v>
      </c>
      <c r="TJV1" s="46" t="s">
        <v>13817</v>
      </c>
      <c r="TJW1" s="46" t="s">
        <v>13818</v>
      </c>
      <c r="TJX1" s="46" t="s">
        <v>13819</v>
      </c>
      <c r="TJY1" s="46" t="s">
        <v>13820</v>
      </c>
      <c r="TJZ1" s="46" t="s">
        <v>13821</v>
      </c>
      <c r="TKA1" s="46" t="s">
        <v>13822</v>
      </c>
      <c r="TKB1" s="46" t="s">
        <v>13823</v>
      </c>
      <c r="TKC1" s="46" t="s">
        <v>13824</v>
      </c>
      <c r="TKD1" s="46" t="s">
        <v>13825</v>
      </c>
      <c r="TKE1" s="46" t="s">
        <v>13826</v>
      </c>
      <c r="TKF1" s="46" t="s">
        <v>13827</v>
      </c>
      <c r="TKG1" s="46" t="s">
        <v>13828</v>
      </c>
      <c r="TKH1" s="46" t="s">
        <v>13829</v>
      </c>
      <c r="TKI1" s="46" t="s">
        <v>13830</v>
      </c>
      <c r="TKJ1" s="46" t="s">
        <v>13831</v>
      </c>
      <c r="TKK1" s="46" t="s">
        <v>13832</v>
      </c>
      <c r="TKL1" s="46" t="s">
        <v>13833</v>
      </c>
      <c r="TKM1" s="46" t="s">
        <v>13834</v>
      </c>
      <c r="TKN1" s="46" t="s">
        <v>13835</v>
      </c>
      <c r="TKO1" s="46" t="s">
        <v>13836</v>
      </c>
      <c r="TKP1" s="46" t="s">
        <v>13837</v>
      </c>
      <c r="TKQ1" s="46" t="s">
        <v>13838</v>
      </c>
      <c r="TKR1" s="46" t="s">
        <v>13839</v>
      </c>
      <c r="TKS1" s="46" t="s">
        <v>13840</v>
      </c>
      <c r="TKT1" s="46" t="s">
        <v>13841</v>
      </c>
      <c r="TKU1" s="46" t="s">
        <v>13842</v>
      </c>
      <c r="TKV1" s="46" t="s">
        <v>13843</v>
      </c>
      <c r="TKW1" s="46" t="s">
        <v>13844</v>
      </c>
      <c r="TKX1" s="46" t="s">
        <v>13845</v>
      </c>
      <c r="TKY1" s="46" t="s">
        <v>13846</v>
      </c>
      <c r="TKZ1" s="46" t="s">
        <v>13847</v>
      </c>
      <c r="TLA1" s="46" t="s">
        <v>13848</v>
      </c>
      <c r="TLB1" s="46" t="s">
        <v>13849</v>
      </c>
      <c r="TLC1" s="46" t="s">
        <v>13850</v>
      </c>
      <c r="TLD1" s="46" t="s">
        <v>13851</v>
      </c>
      <c r="TLE1" s="46" t="s">
        <v>13852</v>
      </c>
      <c r="TLF1" s="46" t="s">
        <v>13853</v>
      </c>
      <c r="TLG1" s="46" t="s">
        <v>13854</v>
      </c>
      <c r="TLH1" s="46" t="s">
        <v>13855</v>
      </c>
      <c r="TLI1" s="46" t="s">
        <v>13856</v>
      </c>
      <c r="TLJ1" s="46" t="s">
        <v>13857</v>
      </c>
      <c r="TLK1" s="46" t="s">
        <v>13858</v>
      </c>
      <c r="TLL1" s="46" t="s">
        <v>13859</v>
      </c>
      <c r="TLM1" s="46" t="s">
        <v>13860</v>
      </c>
      <c r="TLN1" s="46" t="s">
        <v>13861</v>
      </c>
      <c r="TLO1" s="46" t="s">
        <v>13862</v>
      </c>
      <c r="TLP1" s="46" t="s">
        <v>13863</v>
      </c>
      <c r="TLQ1" s="46" t="s">
        <v>13864</v>
      </c>
      <c r="TLR1" s="46" t="s">
        <v>13865</v>
      </c>
      <c r="TLS1" s="46" t="s">
        <v>13866</v>
      </c>
      <c r="TLT1" s="46" t="s">
        <v>13867</v>
      </c>
      <c r="TLU1" s="46" t="s">
        <v>13868</v>
      </c>
      <c r="TLV1" s="46" t="s">
        <v>13869</v>
      </c>
      <c r="TLW1" s="46" t="s">
        <v>13870</v>
      </c>
      <c r="TLX1" s="46" t="s">
        <v>13871</v>
      </c>
      <c r="TLY1" s="46" t="s">
        <v>13872</v>
      </c>
      <c r="TLZ1" s="46" t="s">
        <v>13873</v>
      </c>
      <c r="TMA1" s="46" t="s">
        <v>13874</v>
      </c>
      <c r="TMB1" s="46" t="s">
        <v>13875</v>
      </c>
      <c r="TMC1" s="46" t="s">
        <v>13876</v>
      </c>
      <c r="TMD1" s="46" t="s">
        <v>13877</v>
      </c>
      <c r="TME1" s="46" t="s">
        <v>13878</v>
      </c>
      <c r="TMF1" s="46" t="s">
        <v>13879</v>
      </c>
      <c r="TMG1" s="46" t="s">
        <v>13880</v>
      </c>
      <c r="TMH1" s="46" t="s">
        <v>13881</v>
      </c>
      <c r="TMI1" s="46" t="s">
        <v>13882</v>
      </c>
      <c r="TMJ1" s="46" t="s">
        <v>13883</v>
      </c>
      <c r="TMK1" s="46" t="s">
        <v>13884</v>
      </c>
      <c r="TML1" s="46" t="s">
        <v>13885</v>
      </c>
      <c r="TMM1" s="46" t="s">
        <v>13886</v>
      </c>
      <c r="TMN1" s="46" t="s">
        <v>13887</v>
      </c>
      <c r="TMO1" s="46" t="s">
        <v>13888</v>
      </c>
      <c r="TMP1" s="46" t="s">
        <v>13889</v>
      </c>
      <c r="TMQ1" s="46" t="s">
        <v>13890</v>
      </c>
      <c r="TMR1" s="46" t="s">
        <v>13891</v>
      </c>
      <c r="TMS1" s="46" t="s">
        <v>13892</v>
      </c>
      <c r="TMT1" s="46" t="s">
        <v>13893</v>
      </c>
      <c r="TMU1" s="46" t="s">
        <v>13894</v>
      </c>
      <c r="TMV1" s="46" t="s">
        <v>13895</v>
      </c>
      <c r="TMW1" s="46" t="s">
        <v>13896</v>
      </c>
      <c r="TMX1" s="46" t="s">
        <v>13897</v>
      </c>
      <c r="TMY1" s="46" t="s">
        <v>13898</v>
      </c>
      <c r="TMZ1" s="46" t="s">
        <v>13899</v>
      </c>
      <c r="TNA1" s="46" t="s">
        <v>13900</v>
      </c>
      <c r="TNB1" s="46" t="s">
        <v>13901</v>
      </c>
      <c r="TNC1" s="46" t="s">
        <v>13902</v>
      </c>
      <c r="TND1" s="46" t="s">
        <v>13903</v>
      </c>
      <c r="TNE1" s="46" t="s">
        <v>13904</v>
      </c>
      <c r="TNF1" s="46" t="s">
        <v>13905</v>
      </c>
      <c r="TNG1" s="46" t="s">
        <v>13906</v>
      </c>
      <c r="TNH1" s="46" t="s">
        <v>13907</v>
      </c>
      <c r="TNI1" s="46" t="s">
        <v>13908</v>
      </c>
      <c r="TNJ1" s="46" t="s">
        <v>13909</v>
      </c>
      <c r="TNK1" s="46" t="s">
        <v>13910</v>
      </c>
      <c r="TNL1" s="46" t="s">
        <v>13911</v>
      </c>
      <c r="TNM1" s="46" t="s">
        <v>13912</v>
      </c>
      <c r="TNN1" s="46" t="s">
        <v>13913</v>
      </c>
      <c r="TNO1" s="46" t="s">
        <v>13914</v>
      </c>
      <c r="TNP1" s="46" t="s">
        <v>13915</v>
      </c>
      <c r="TNQ1" s="46" t="s">
        <v>13916</v>
      </c>
      <c r="TNR1" s="46" t="s">
        <v>13917</v>
      </c>
      <c r="TNS1" s="46" t="s">
        <v>13918</v>
      </c>
      <c r="TNT1" s="46" t="s">
        <v>13919</v>
      </c>
      <c r="TNU1" s="46" t="s">
        <v>13920</v>
      </c>
      <c r="TNV1" s="46" t="s">
        <v>13921</v>
      </c>
      <c r="TNW1" s="46" t="s">
        <v>13922</v>
      </c>
      <c r="TNX1" s="46" t="s">
        <v>13923</v>
      </c>
      <c r="TNY1" s="46" t="s">
        <v>13924</v>
      </c>
      <c r="TNZ1" s="46" t="s">
        <v>13925</v>
      </c>
      <c r="TOA1" s="46" t="s">
        <v>13926</v>
      </c>
      <c r="TOB1" s="46" t="s">
        <v>13927</v>
      </c>
      <c r="TOC1" s="46" t="s">
        <v>13928</v>
      </c>
      <c r="TOD1" s="46" t="s">
        <v>13929</v>
      </c>
      <c r="TOE1" s="46" t="s">
        <v>13930</v>
      </c>
      <c r="TOF1" s="46" t="s">
        <v>13931</v>
      </c>
      <c r="TOG1" s="46" t="s">
        <v>13932</v>
      </c>
      <c r="TOH1" s="46" t="s">
        <v>13933</v>
      </c>
      <c r="TOI1" s="46" t="s">
        <v>13934</v>
      </c>
      <c r="TOJ1" s="46" t="s">
        <v>13935</v>
      </c>
      <c r="TOK1" s="46" t="s">
        <v>13936</v>
      </c>
      <c r="TOL1" s="46" t="s">
        <v>13937</v>
      </c>
      <c r="TOM1" s="46" t="s">
        <v>13938</v>
      </c>
      <c r="TON1" s="46" t="s">
        <v>13939</v>
      </c>
      <c r="TOO1" s="46" t="s">
        <v>13940</v>
      </c>
      <c r="TOP1" s="46" t="s">
        <v>13941</v>
      </c>
      <c r="TOQ1" s="46" t="s">
        <v>13942</v>
      </c>
      <c r="TOR1" s="46" t="s">
        <v>13943</v>
      </c>
      <c r="TOS1" s="46" t="s">
        <v>13944</v>
      </c>
      <c r="TOT1" s="46" t="s">
        <v>13945</v>
      </c>
      <c r="TOU1" s="46" t="s">
        <v>13946</v>
      </c>
      <c r="TOV1" s="46" t="s">
        <v>13947</v>
      </c>
      <c r="TOW1" s="46" t="s">
        <v>13948</v>
      </c>
      <c r="TOX1" s="46" t="s">
        <v>13949</v>
      </c>
      <c r="TOY1" s="46" t="s">
        <v>13950</v>
      </c>
      <c r="TOZ1" s="46" t="s">
        <v>13951</v>
      </c>
      <c r="TPA1" s="46" t="s">
        <v>13952</v>
      </c>
      <c r="TPB1" s="46" t="s">
        <v>13953</v>
      </c>
      <c r="TPC1" s="46" t="s">
        <v>13954</v>
      </c>
      <c r="TPD1" s="46" t="s">
        <v>13955</v>
      </c>
      <c r="TPE1" s="46" t="s">
        <v>13956</v>
      </c>
      <c r="TPF1" s="46" t="s">
        <v>13957</v>
      </c>
      <c r="TPG1" s="46" t="s">
        <v>13958</v>
      </c>
      <c r="TPH1" s="46" t="s">
        <v>13959</v>
      </c>
      <c r="TPI1" s="46" t="s">
        <v>13960</v>
      </c>
      <c r="TPJ1" s="46" t="s">
        <v>13961</v>
      </c>
      <c r="TPK1" s="46" t="s">
        <v>13962</v>
      </c>
      <c r="TPL1" s="46" t="s">
        <v>13963</v>
      </c>
      <c r="TPM1" s="46" t="s">
        <v>13964</v>
      </c>
      <c r="TPN1" s="46" t="s">
        <v>13965</v>
      </c>
      <c r="TPO1" s="46" t="s">
        <v>13966</v>
      </c>
      <c r="TPP1" s="46" t="s">
        <v>13967</v>
      </c>
      <c r="TPQ1" s="46" t="s">
        <v>13968</v>
      </c>
      <c r="TPR1" s="46" t="s">
        <v>13969</v>
      </c>
      <c r="TPS1" s="46" t="s">
        <v>13970</v>
      </c>
      <c r="TPT1" s="46" t="s">
        <v>13971</v>
      </c>
      <c r="TPU1" s="46" t="s">
        <v>13972</v>
      </c>
      <c r="TPV1" s="46" t="s">
        <v>13973</v>
      </c>
      <c r="TPW1" s="46" t="s">
        <v>13974</v>
      </c>
      <c r="TPX1" s="46" t="s">
        <v>13975</v>
      </c>
      <c r="TPY1" s="46" t="s">
        <v>13976</v>
      </c>
      <c r="TPZ1" s="46" t="s">
        <v>13977</v>
      </c>
      <c r="TQA1" s="46" t="s">
        <v>13978</v>
      </c>
      <c r="TQB1" s="46" t="s">
        <v>13979</v>
      </c>
      <c r="TQC1" s="46" t="s">
        <v>13980</v>
      </c>
      <c r="TQD1" s="46" t="s">
        <v>13981</v>
      </c>
      <c r="TQE1" s="46" t="s">
        <v>13982</v>
      </c>
      <c r="TQF1" s="46" t="s">
        <v>13983</v>
      </c>
      <c r="TQG1" s="46" t="s">
        <v>13984</v>
      </c>
      <c r="TQH1" s="46" t="s">
        <v>13985</v>
      </c>
      <c r="TQI1" s="46" t="s">
        <v>13986</v>
      </c>
      <c r="TQJ1" s="46" t="s">
        <v>13987</v>
      </c>
      <c r="TQK1" s="46" t="s">
        <v>13988</v>
      </c>
      <c r="TQL1" s="46" t="s">
        <v>13989</v>
      </c>
      <c r="TQM1" s="46" t="s">
        <v>13990</v>
      </c>
      <c r="TQN1" s="46" t="s">
        <v>13991</v>
      </c>
      <c r="TQO1" s="46" t="s">
        <v>13992</v>
      </c>
      <c r="TQP1" s="46" t="s">
        <v>13993</v>
      </c>
      <c r="TQQ1" s="46" t="s">
        <v>13994</v>
      </c>
      <c r="TQR1" s="46" t="s">
        <v>13995</v>
      </c>
      <c r="TQS1" s="46" t="s">
        <v>13996</v>
      </c>
      <c r="TQT1" s="46" t="s">
        <v>13997</v>
      </c>
      <c r="TQU1" s="46" t="s">
        <v>13998</v>
      </c>
      <c r="TQV1" s="46" t="s">
        <v>13999</v>
      </c>
      <c r="TQW1" s="46" t="s">
        <v>14000</v>
      </c>
      <c r="TQX1" s="46" t="s">
        <v>14001</v>
      </c>
      <c r="TQY1" s="46" t="s">
        <v>14002</v>
      </c>
      <c r="TQZ1" s="46" t="s">
        <v>14003</v>
      </c>
      <c r="TRA1" s="46" t="s">
        <v>14004</v>
      </c>
      <c r="TRB1" s="46" t="s">
        <v>14005</v>
      </c>
      <c r="TRC1" s="46" t="s">
        <v>14006</v>
      </c>
      <c r="TRD1" s="46" t="s">
        <v>14007</v>
      </c>
      <c r="TRE1" s="46" t="s">
        <v>14008</v>
      </c>
      <c r="TRF1" s="46" t="s">
        <v>14009</v>
      </c>
      <c r="TRG1" s="46" t="s">
        <v>14010</v>
      </c>
      <c r="TRH1" s="46" t="s">
        <v>14011</v>
      </c>
      <c r="TRI1" s="46" t="s">
        <v>14012</v>
      </c>
      <c r="TRJ1" s="46" t="s">
        <v>14013</v>
      </c>
      <c r="TRK1" s="46" t="s">
        <v>14014</v>
      </c>
      <c r="TRL1" s="46" t="s">
        <v>14015</v>
      </c>
      <c r="TRM1" s="46" t="s">
        <v>14016</v>
      </c>
      <c r="TRN1" s="46" t="s">
        <v>14017</v>
      </c>
      <c r="TRO1" s="46" t="s">
        <v>14018</v>
      </c>
      <c r="TRP1" s="46" t="s">
        <v>14019</v>
      </c>
      <c r="TRQ1" s="46" t="s">
        <v>14020</v>
      </c>
      <c r="TRR1" s="46" t="s">
        <v>14021</v>
      </c>
      <c r="TRS1" s="46" t="s">
        <v>14022</v>
      </c>
      <c r="TRT1" s="46" t="s">
        <v>14023</v>
      </c>
      <c r="TRU1" s="46" t="s">
        <v>14024</v>
      </c>
      <c r="TRV1" s="46" t="s">
        <v>14025</v>
      </c>
      <c r="TRW1" s="46" t="s">
        <v>14026</v>
      </c>
      <c r="TRX1" s="46" t="s">
        <v>14027</v>
      </c>
      <c r="TRY1" s="46" t="s">
        <v>14028</v>
      </c>
      <c r="TRZ1" s="46" t="s">
        <v>14029</v>
      </c>
      <c r="TSA1" s="46" t="s">
        <v>14030</v>
      </c>
      <c r="TSB1" s="46" t="s">
        <v>14031</v>
      </c>
      <c r="TSC1" s="46" t="s">
        <v>14032</v>
      </c>
      <c r="TSD1" s="46" t="s">
        <v>14033</v>
      </c>
      <c r="TSE1" s="46" t="s">
        <v>14034</v>
      </c>
      <c r="TSF1" s="46" t="s">
        <v>14035</v>
      </c>
      <c r="TSG1" s="46" t="s">
        <v>14036</v>
      </c>
      <c r="TSH1" s="46" t="s">
        <v>14037</v>
      </c>
      <c r="TSI1" s="46" t="s">
        <v>14038</v>
      </c>
      <c r="TSJ1" s="46" t="s">
        <v>14039</v>
      </c>
      <c r="TSK1" s="46" t="s">
        <v>14040</v>
      </c>
      <c r="TSL1" s="46" t="s">
        <v>14041</v>
      </c>
      <c r="TSM1" s="46" t="s">
        <v>14042</v>
      </c>
      <c r="TSN1" s="46" t="s">
        <v>14043</v>
      </c>
      <c r="TSO1" s="46" t="s">
        <v>14044</v>
      </c>
      <c r="TSP1" s="46" t="s">
        <v>14045</v>
      </c>
      <c r="TSQ1" s="46" t="s">
        <v>14046</v>
      </c>
      <c r="TSR1" s="46" t="s">
        <v>14047</v>
      </c>
      <c r="TSS1" s="46" t="s">
        <v>14048</v>
      </c>
      <c r="TST1" s="46" t="s">
        <v>14049</v>
      </c>
      <c r="TSU1" s="46" t="s">
        <v>14050</v>
      </c>
      <c r="TSV1" s="46" t="s">
        <v>14051</v>
      </c>
      <c r="TSW1" s="46" t="s">
        <v>14052</v>
      </c>
      <c r="TSX1" s="46" t="s">
        <v>14053</v>
      </c>
      <c r="TSY1" s="46" t="s">
        <v>14054</v>
      </c>
      <c r="TSZ1" s="46" t="s">
        <v>14055</v>
      </c>
      <c r="TTA1" s="46" t="s">
        <v>14056</v>
      </c>
      <c r="TTB1" s="46" t="s">
        <v>14057</v>
      </c>
      <c r="TTC1" s="46" t="s">
        <v>14058</v>
      </c>
      <c r="TTD1" s="46" t="s">
        <v>14059</v>
      </c>
      <c r="TTE1" s="46" t="s">
        <v>14060</v>
      </c>
      <c r="TTF1" s="46" t="s">
        <v>14061</v>
      </c>
      <c r="TTG1" s="46" t="s">
        <v>14062</v>
      </c>
      <c r="TTH1" s="46" t="s">
        <v>14063</v>
      </c>
      <c r="TTI1" s="46" t="s">
        <v>14064</v>
      </c>
      <c r="TTJ1" s="46" t="s">
        <v>14065</v>
      </c>
      <c r="TTK1" s="46" t="s">
        <v>14066</v>
      </c>
      <c r="TTL1" s="46" t="s">
        <v>14067</v>
      </c>
      <c r="TTM1" s="46" t="s">
        <v>14068</v>
      </c>
      <c r="TTN1" s="46" t="s">
        <v>14069</v>
      </c>
      <c r="TTO1" s="46" t="s">
        <v>14070</v>
      </c>
      <c r="TTP1" s="46" t="s">
        <v>14071</v>
      </c>
      <c r="TTQ1" s="46" t="s">
        <v>14072</v>
      </c>
      <c r="TTR1" s="46" t="s">
        <v>14073</v>
      </c>
      <c r="TTS1" s="46" t="s">
        <v>14074</v>
      </c>
      <c r="TTT1" s="46" t="s">
        <v>14075</v>
      </c>
      <c r="TTU1" s="46" t="s">
        <v>14076</v>
      </c>
      <c r="TTV1" s="46" t="s">
        <v>14077</v>
      </c>
      <c r="TTW1" s="46" t="s">
        <v>14078</v>
      </c>
      <c r="TTX1" s="46" t="s">
        <v>14079</v>
      </c>
      <c r="TTY1" s="46" t="s">
        <v>14080</v>
      </c>
      <c r="TTZ1" s="46" t="s">
        <v>14081</v>
      </c>
      <c r="TUA1" s="46" t="s">
        <v>14082</v>
      </c>
      <c r="TUB1" s="46" t="s">
        <v>14083</v>
      </c>
      <c r="TUC1" s="46" t="s">
        <v>14084</v>
      </c>
      <c r="TUD1" s="46" t="s">
        <v>14085</v>
      </c>
      <c r="TUE1" s="46" t="s">
        <v>14086</v>
      </c>
      <c r="TUF1" s="46" t="s">
        <v>14087</v>
      </c>
      <c r="TUG1" s="46" t="s">
        <v>14088</v>
      </c>
      <c r="TUH1" s="46" t="s">
        <v>14089</v>
      </c>
      <c r="TUI1" s="46" t="s">
        <v>14090</v>
      </c>
      <c r="TUJ1" s="46" t="s">
        <v>14091</v>
      </c>
      <c r="TUK1" s="46" t="s">
        <v>14092</v>
      </c>
      <c r="TUL1" s="46" t="s">
        <v>14093</v>
      </c>
      <c r="TUM1" s="46" t="s">
        <v>14094</v>
      </c>
      <c r="TUN1" s="46" t="s">
        <v>14095</v>
      </c>
      <c r="TUO1" s="46" t="s">
        <v>14096</v>
      </c>
      <c r="TUP1" s="46" t="s">
        <v>14097</v>
      </c>
      <c r="TUQ1" s="46" t="s">
        <v>14098</v>
      </c>
      <c r="TUR1" s="46" t="s">
        <v>14099</v>
      </c>
      <c r="TUS1" s="46" t="s">
        <v>14100</v>
      </c>
      <c r="TUT1" s="46" t="s">
        <v>14101</v>
      </c>
      <c r="TUU1" s="46" t="s">
        <v>14102</v>
      </c>
      <c r="TUV1" s="46" t="s">
        <v>14103</v>
      </c>
      <c r="TUW1" s="46" t="s">
        <v>14104</v>
      </c>
      <c r="TUX1" s="46" t="s">
        <v>14105</v>
      </c>
      <c r="TUY1" s="46" t="s">
        <v>14106</v>
      </c>
      <c r="TUZ1" s="46" t="s">
        <v>14107</v>
      </c>
      <c r="TVA1" s="46" t="s">
        <v>14108</v>
      </c>
      <c r="TVB1" s="46" t="s">
        <v>14109</v>
      </c>
      <c r="TVC1" s="46" t="s">
        <v>14110</v>
      </c>
      <c r="TVD1" s="46" t="s">
        <v>14111</v>
      </c>
      <c r="TVE1" s="46" t="s">
        <v>14112</v>
      </c>
      <c r="TVF1" s="46" t="s">
        <v>14113</v>
      </c>
      <c r="TVG1" s="46" t="s">
        <v>14114</v>
      </c>
      <c r="TVH1" s="46" t="s">
        <v>14115</v>
      </c>
      <c r="TVI1" s="46" t="s">
        <v>14116</v>
      </c>
      <c r="TVJ1" s="46" t="s">
        <v>14117</v>
      </c>
      <c r="TVK1" s="46" t="s">
        <v>14118</v>
      </c>
      <c r="TVL1" s="46" t="s">
        <v>14119</v>
      </c>
      <c r="TVM1" s="46" t="s">
        <v>14120</v>
      </c>
      <c r="TVN1" s="46" t="s">
        <v>14121</v>
      </c>
      <c r="TVO1" s="46" t="s">
        <v>14122</v>
      </c>
      <c r="TVP1" s="46" t="s">
        <v>14123</v>
      </c>
      <c r="TVQ1" s="46" t="s">
        <v>14124</v>
      </c>
      <c r="TVR1" s="46" t="s">
        <v>14125</v>
      </c>
      <c r="TVS1" s="46" t="s">
        <v>14126</v>
      </c>
      <c r="TVT1" s="46" t="s">
        <v>14127</v>
      </c>
      <c r="TVU1" s="46" t="s">
        <v>14128</v>
      </c>
      <c r="TVV1" s="46" t="s">
        <v>14129</v>
      </c>
      <c r="TVW1" s="46" t="s">
        <v>14130</v>
      </c>
      <c r="TVX1" s="46" t="s">
        <v>14131</v>
      </c>
      <c r="TVY1" s="46" t="s">
        <v>14132</v>
      </c>
      <c r="TVZ1" s="46" t="s">
        <v>14133</v>
      </c>
      <c r="TWA1" s="46" t="s">
        <v>14134</v>
      </c>
      <c r="TWB1" s="46" t="s">
        <v>14135</v>
      </c>
      <c r="TWC1" s="46" t="s">
        <v>14136</v>
      </c>
      <c r="TWD1" s="46" t="s">
        <v>14137</v>
      </c>
      <c r="TWE1" s="46" t="s">
        <v>14138</v>
      </c>
      <c r="TWF1" s="46" t="s">
        <v>14139</v>
      </c>
      <c r="TWG1" s="46" t="s">
        <v>14140</v>
      </c>
      <c r="TWH1" s="46" t="s">
        <v>14141</v>
      </c>
      <c r="TWI1" s="46" t="s">
        <v>14142</v>
      </c>
      <c r="TWJ1" s="46" t="s">
        <v>14143</v>
      </c>
      <c r="TWK1" s="46" t="s">
        <v>14144</v>
      </c>
      <c r="TWL1" s="46" t="s">
        <v>14145</v>
      </c>
      <c r="TWM1" s="46" t="s">
        <v>14146</v>
      </c>
      <c r="TWN1" s="46" t="s">
        <v>14147</v>
      </c>
      <c r="TWO1" s="46" t="s">
        <v>14148</v>
      </c>
      <c r="TWP1" s="46" t="s">
        <v>14149</v>
      </c>
      <c r="TWQ1" s="46" t="s">
        <v>14150</v>
      </c>
      <c r="TWR1" s="46" t="s">
        <v>14151</v>
      </c>
      <c r="TWS1" s="46" t="s">
        <v>14152</v>
      </c>
      <c r="TWT1" s="46" t="s">
        <v>14153</v>
      </c>
      <c r="TWU1" s="46" t="s">
        <v>14154</v>
      </c>
      <c r="TWV1" s="46" t="s">
        <v>14155</v>
      </c>
      <c r="TWW1" s="46" t="s">
        <v>14156</v>
      </c>
      <c r="TWX1" s="46" t="s">
        <v>14157</v>
      </c>
      <c r="TWY1" s="46" t="s">
        <v>14158</v>
      </c>
      <c r="TWZ1" s="46" t="s">
        <v>14159</v>
      </c>
      <c r="TXA1" s="46" t="s">
        <v>14160</v>
      </c>
      <c r="TXB1" s="46" t="s">
        <v>14161</v>
      </c>
      <c r="TXC1" s="46" t="s">
        <v>14162</v>
      </c>
      <c r="TXD1" s="46" t="s">
        <v>14163</v>
      </c>
      <c r="TXE1" s="46" t="s">
        <v>14164</v>
      </c>
      <c r="TXF1" s="46" t="s">
        <v>14165</v>
      </c>
      <c r="TXG1" s="46" t="s">
        <v>14166</v>
      </c>
      <c r="TXH1" s="46" t="s">
        <v>14167</v>
      </c>
      <c r="TXI1" s="46" t="s">
        <v>14168</v>
      </c>
      <c r="TXJ1" s="46" t="s">
        <v>14169</v>
      </c>
      <c r="TXK1" s="46" t="s">
        <v>14170</v>
      </c>
      <c r="TXL1" s="46" t="s">
        <v>14171</v>
      </c>
      <c r="TXM1" s="46" t="s">
        <v>14172</v>
      </c>
      <c r="TXN1" s="46" t="s">
        <v>14173</v>
      </c>
      <c r="TXO1" s="46" t="s">
        <v>14174</v>
      </c>
      <c r="TXP1" s="46" t="s">
        <v>14175</v>
      </c>
      <c r="TXQ1" s="46" t="s">
        <v>14176</v>
      </c>
      <c r="TXR1" s="46" t="s">
        <v>14177</v>
      </c>
      <c r="TXS1" s="46" t="s">
        <v>14178</v>
      </c>
      <c r="TXT1" s="46" t="s">
        <v>14179</v>
      </c>
      <c r="TXU1" s="46" t="s">
        <v>14180</v>
      </c>
      <c r="TXV1" s="46" t="s">
        <v>14181</v>
      </c>
      <c r="TXW1" s="46" t="s">
        <v>14182</v>
      </c>
      <c r="TXX1" s="46" t="s">
        <v>14183</v>
      </c>
      <c r="TXY1" s="46" t="s">
        <v>14184</v>
      </c>
      <c r="TXZ1" s="46" t="s">
        <v>14185</v>
      </c>
      <c r="TYA1" s="46" t="s">
        <v>14186</v>
      </c>
      <c r="TYB1" s="46" t="s">
        <v>14187</v>
      </c>
      <c r="TYC1" s="46" t="s">
        <v>14188</v>
      </c>
      <c r="TYD1" s="46" t="s">
        <v>14189</v>
      </c>
      <c r="TYE1" s="46" t="s">
        <v>14190</v>
      </c>
      <c r="TYF1" s="46" t="s">
        <v>14191</v>
      </c>
      <c r="TYG1" s="46" t="s">
        <v>14192</v>
      </c>
      <c r="TYH1" s="46" t="s">
        <v>14193</v>
      </c>
      <c r="TYI1" s="46" t="s">
        <v>14194</v>
      </c>
      <c r="TYJ1" s="46" t="s">
        <v>14195</v>
      </c>
      <c r="TYK1" s="46" t="s">
        <v>14196</v>
      </c>
      <c r="TYL1" s="46" t="s">
        <v>14197</v>
      </c>
      <c r="TYM1" s="46" t="s">
        <v>14198</v>
      </c>
      <c r="TYN1" s="46" t="s">
        <v>14199</v>
      </c>
      <c r="TYO1" s="46" t="s">
        <v>14200</v>
      </c>
      <c r="TYP1" s="46" t="s">
        <v>14201</v>
      </c>
      <c r="TYQ1" s="46" t="s">
        <v>14202</v>
      </c>
      <c r="TYR1" s="46" t="s">
        <v>14203</v>
      </c>
      <c r="TYS1" s="46" t="s">
        <v>14204</v>
      </c>
      <c r="TYT1" s="46" t="s">
        <v>14205</v>
      </c>
      <c r="TYU1" s="46" t="s">
        <v>14206</v>
      </c>
      <c r="TYV1" s="46" t="s">
        <v>14207</v>
      </c>
      <c r="TYW1" s="46" t="s">
        <v>14208</v>
      </c>
      <c r="TYX1" s="46" t="s">
        <v>14209</v>
      </c>
      <c r="TYY1" s="46" t="s">
        <v>14210</v>
      </c>
      <c r="TYZ1" s="46" t="s">
        <v>14211</v>
      </c>
      <c r="TZA1" s="46" t="s">
        <v>14212</v>
      </c>
      <c r="TZB1" s="46" t="s">
        <v>14213</v>
      </c>
      <c r="TZC1" s="46" t="s">
        <v>14214</v>
      </c>
      <c r="TZD1" s="46" t="s">
        <v>14215</v>
      </c>
      <c r="TZE1" s="46" t="s">
        <v>14216</v>
      </c>
      <c r="TZF1" s="46" t="s">
        <v>14217</v>
      </c>
      <c r="TZG1" s="46" t="s">
        <v>14218</v>
      </c>
      <c r="TZH1" s="46" t="s">
        <v>14219</v>
      </c>
      <c r="TZI1" s="46" t="s">
        <v>14220</v>
      </c>
      <c r="TZJ1" s="46" t="s">
        <v>14221</v>
      </c>
      <c r="TZK1" s="46" t="s">
        <v>14222</v>
      </c>
      <c r="TZL1" s="46" t="s">
        <v>14223</v>
      </c>
      <c r="TZM1" s="46" t="s">
        <v>14224</v>
      </c>
      <c r="TZN1" s="46" t="s">
        <v>14225</v>
      </c>
      <c r="TZO1" s="46" t="s">
        <v>14226</v>
      </c>
      <c r="TZP1" s="46" t="s">
        <v>14227</v>
      </c>
      <c r="TZQ1" s="46" t="s">
        <v>14228</v>
      </c>
      <c r="TZR1" s="46" t="s">
        <v>14229</v>
      </c>
      <c r="TZS1" s="46" t="s">
        <v>14230</v>
      </c>
      <c r="TZT1" s="46" t="s">
        <v>14231</v>
      </c>
      <c r="TZU1" s="46" t="s">
        <v>14232</v>
      </c>
      <c r="TZV1" s="46" t="s">
        <v>14233</v>
      </c>
      <c r="TZW1" s="46" t="s">
        <v>14234</v>
      </c>
      <c r="TZX1" s="46" t="s">
        <v>14235</v>
      </c>
      <c r="TZY1" s="46" t="s">
        <v>14236</v>
      </c>
      <c r="TZZ1" s="46" t="s">
        <v>14237</v>
      </c>
      <c r="UAA1" s="46" t="s">
        <v>14238</v>
      </c>
      <c r="UAB1" s="46" t="s">
        <v>14239</v>
      </c>
      <c r="UAC1" s="46" t="s">
        <v>14240</v>
      </c>
      <c r="UAD1" s="46" t="s">
        <v>14241</v>
      </c>
      <c r="UAE1" s="46" t="s">
        <v>14242</v>
      </c>
      <c r="UAF1" s="46" t="s">
        <v>14243</v>
      </c>
      <c r="UAG1" s="46" t="s">
        <v>14244</v>
      </c>
      <c r="UAH1" s="46" t="s">
        <v>14245</v>
      </c>
      <c r="UAI1" s="46" t="s">
        <v>14246</v>
      </c>
      <c r="UAJ1" s="46" t="s">
        <v>14247</v>
      </c>
      <c r="UAK1" s="46" t="s">
        <v>14248</v>
      </c>
      <c r="UAL1" s="46" t="s">
        <v>14249</v>
      </c>
      <c r="UAM1" s="46" t="s">
        <v>14250</v>
      </c>
      <c r="UAN1" s="46" t="s">
        <v>14251</v>
      </c>
      <c r="UAO1" s="46" t="s">
        <v>14252</v>
      </c>
      <c r="UAP1" s="46" t="s">
        <v>14253</v>
      </c>
      <c r="UAQ1" s="46" t="s">
        <v>14254</v>
      </c>
      <c r="UAR1" s="46" t="s">
        <v>14255</v>
      </c>
      <c r="UAS1" s="46" t="s">
        <v>14256</v>
      </c>
      <c r="UAT1" s="46" t="s">
        <v>14257</v>
      </c>
      <c r="UAU1" s="46" t="s">
        <v>14258</v>
      </c>
      <c r="UAV1" s="46" t="s">
        <v>14259</v>
      </c>
      <c r="UAW1" s="46" t="s">
        <v>14260</v>
      </c>
      <c r="UAX1" s="46" t="s">
        <v>14261</v>
      </c>
      <c r="UAY1" s="46" t="s">
        <v>14262</v>
      </c>
      <c r="UAZ1" s="46" t="s">
        <v>14263</v>
      </c>
      <c r="UBA1" s="46" t="s">
        <v>14264</v>
      </c>
      <c r="UBB1" s="46" t="s">
        <v>14265</v>
      </c>
      <c r="UBC1" s="46" t="s">
        <v>14266</v>
      </c>
      <c r="UBD1" s="46" t="s">
        <v>14267</v>
      </c>
      <c r="UBE1" s="46" t="s">
        <v>14268</v>
      </c>
      <c r="UBF1" s="46" t="s">
        <v>14269</v>
      </c>
      <c r="UBG1" s="46" t="s">
        <v>14270</v>
      </c>
      <c r="UBH1" s="46" t="s">
        <v>14271</v>
      </c>
      <c r="UBI1" s="46" t="s">
        <v>14272</v>
      </c>
      <c r="UBJ1" s="46" t="s">
        <v>14273</v>
      </c>
      <c r="UBK1" s="46" t="s">
        <v>14274</v>
      </c>
      <c r="UBL1" s="46" t="s">
        <v>14275</v>
      </c>
      <c r="UBM1" s="46" t="s">
        <v>14276</v>
      </c>
      <c r="UBN1" s="46" t="s">
        <v>14277</v>
      </c>
      <c r="UBO1" s="46" t="s">
        <v>14278</v>
      </c>
      <c r="UBP1" s="46" t="s">
        <v>14279</v>
      </c>
      <c r="UBQ1" s="46" t="s">
        <v>14280</v>
      </c>
      <c r="UBR1" s="46" t="s">
        <v>14281</v>
      </c>
      <c r="UBS1" s="46" t="s">
        <v>14282</v>
      </c>
      <c r="UBT1" s="46" t="s">
        <v>14283</v>
      </c>
      <c r="UBU1" s="46" t="s">
        <v>14284</v>
      </c>
      <c r="UBV1" s="46" t="s">
        <v>14285</v>
      </c>
      <c r="UBW1" s="46" t="s">
        <v>14286</v>
      </c>
      <c r="UBX1" s="46" t="s">
        <v>14287</v>
      </c>
      <c r="UBY1" s="46" t="s">
        <v>14288</v>
      </c>
      <c r="UBZ1" s="46" t="s">
        <v>14289</v>
      </c>
      <c r="UCA1" s="46" t="s">
        <v>14290</v>
      </c>
      <c r="UCB1" s="46" t="s">
        <v>14291</v>
      </c>
      <c r="UCC1" s="46" t="s">
        <v>14292</v>
      </c>
      <c r="UCD1" s="46" t="s">
        <v>14293</v>
      </c>
      <c r="UCE1" s="46" t="s">
        <v>14294</v>
      </c>
      <c r="UCF1" s="46" t="s">
        <v>14295</v>
      </c>
      <c r="UCG1" s="46" t="s">
        <v>14296</v>
      </c>
      <c r="UCH1" s="46" t="s">
        <v>14297</v>
      </c>
      <c r="UCI1" s="46" t="s">
        <v>14298</v>
      </c>
      <c r="UCJ1" s="46" t="s">
        <v>14299</v>
      </c>
      <c r="UCK1" s="46" t="s">
        <v>14300</v>
      </c>
      <c r="UCL1" s="46" t="s">
        <v>14301</v>
      </c>
      <c r="UCM1" s="46" t="s">
        <v>14302</v>
      </c>
      <c r="UCN1" s="46" t="s">
        <v>14303</v>
      </c>
      <c r="UCO1" s="46" t="s">
        <v>14304</v>
      </c>
      <c r="UCP1" s="46" t="s">
        <v>14305</v>
      </c>
      <c r="UCQ1" s="46" t="s">
        <v>14306</v>
      </c>
      <c r="UCR1" s="46" t="s">
        <v>14307</v>
      </c>
      <c r="UCS1" s="46" t="s">
        <v>14308</v>
      </c>
      <c r="UCT1" s="46" t="s">
        <v>14309</v>
      </c>
      <c r="UCU1" s="46" t="s">
        <v>14310</v>
      </c>
      <c r="UCV1" s="46" t="s">
        <v>14311</v>
      </c>
      <c r="UCW1" s="46" t="s">
        <v>14312</v>
      </c>
      <c r="UCX1" s="46" t="s">
        <v>14313</v>
      </c>
      <c r="UCY1" s="46" t="s">
        <v>14314</v>
      </c>
      <c r="UCZ1" s="46" t="s">
        <v>14315</v>
      </c>
      <c r="UDA1" s="46" t="s">
        <v>14316</v>
      </c>
      <c r="UDB1" s="46" t="s">
        <v>14317</v>
      </c>
      <c r="UDC1" s="46" t="s">
        <v>14318</v>
      </c>
      <c r="UDD1" s="46" t="s">
        <v>14319</v>
      </c>
      <c r="UDE1" s="46" t="s">
        <v>14320</v>
      </c>
      <c r="UDF1" s="46" t="s">
        <v>14321</v>
      </c>
      <c r="UDG1" s="46" t="s">
        <v>14322</v>
      </c>
      <c r="UDH1" s="46" t="s">
        <v>14323</v>
      </c>
      <c r="UDI1" s="46" t="s">
        <v>14324</v>
      </c>
      <c r="UDJ1" s="46" t="s">
        <v>14325</v>
      </c>
      <c r="UDK1" s="46" t="s">
        <v>14326</v>
      </c>
      <c r="UDL1" s="46" t="s">
        <v>14327</v>
      </c>
      <c r="UDM1" s="46" t="s">
        <v>14328</v>
      </c>
      <c r="UDN1" s="46" t="s">
        <v>14329</v>
      </c>
      <c r="UDO1" s="46" t="s">
        <v>14330</v>
      </c>
      <c r="UDP1" s="46" t="s">
        <v>14331</v>
      </c>
      <c r="UDQ1" s="46" t="s">
        <v>14332</v>
      </c>
      <c r="UDR1" s="46" t="s">
        <v>14333</v>
      </c>
      <c r="UDS1" s="46" t="s">
        <v>14334</v>
      </c>
      <c r="UDT1" s="46" t="s">
        <v>14335</v>
      </c>
      <c r="UDU1" s="46" t="s">
        <v>14336</v>
      </c>
      <c r="UDV1" s="46" t="s">
        <v>14337</v>
      </c>
      <c r="UDW1" s="46" t="s">
        <v>14338</v>
      </c>
      <c r="UDX1" s="46" t="s">
        <v>14339</v>
      </c>
      <c r="UDY1" s="46" t="s">
        <v>14340</v>
      </c>
      <c r="UDZ1" s="46" t="s">
        <v>14341</v>
      </c>
      <c r="UEA1" s="46" t="s">
        <v>14342</v>
      </c>
      <c r="UEB1" s="46" t="s">
        <v>14343</v>
      </c>
      <c r="UEC1" s="46" t="s">
        <v>14344</v>
      </c>
      <c r="UED1" s="46" t="s">
        <v>14345</v>
      </c>
      <c r="UEE1" s="46" t="s">
        <v>14346</v>
      </c>
      <c r="UEF1" s="46" t="s">
        <v>14347</v>
      </c>
      <c r="UEG1" s="46" t="s">
        <v>14348</v>
      </c>
      <c r="UEH1" s="46" t="s">
        <v>14349</v>
      </c>
      <c r="UEI1" s="46" t="s">
        <v>14350</v>
      </c>
      <c r="UEJ1" s="46" t="s">
        <v>14351</v>
      </c>
      <c r="UEK1" s="46" t="s">
        <v>14352</v>
      </c>
      <c r="UEL1" s="46" t="s">
        <v>14353</v>
      </c>
      <c r="UEM1" s="46" t="s">
        <v>14354</v>
      </c>
      <c r="UEN1" s="46" t="s">
        <v>14355</v>
      </c>
      <c r="UEO1" s="46" t="s">
        <v>14356</v>
      </c>
      <c r="UEP1" s="46" t="s">
        <v>14357</v>
      </c>
      <c r="UEQ1" s="46" t="s">
        <v>14358</v>
      </c>
      <c r="UER1" s="46" t="s">
        <v>14359</v>
      </c>
      <c r="UES1" s="46" t="s">
        <v>14360</v>
      </c>
      <c r="UET1" s="46" t="s">
        <v>14361</v>
      </c>
      <c r="UEU1" s="46" t="s">
        <v>14362</v>
      </c>
      <c r="UEV1" s="46" t="s">
        <v>14363</v>
      </c>
      <c r="UEW1" s="46" t="s">
        <v>14364</v>
      </c>
      <c r="UEX1" s="46" t="s">
        <v>14365</v>
      </c>
      <c r="UEY1" s="46" t="s">
        <v>14366</v>
      </c>
      <c r="UEZ1" s="46" t="s">
        <v>14367</v>
      </c>
      <c r="UFA1" s="46" t="s">
        <v>14368</v>
      </c>
      <c r="UFB1" s="46" t="s">
        <v>14369</v>
      </c>
      <c r="UFC1" s="46" t="s">
        <v>14370</v>
      </c>
      <c r="UFD1" s="46" t="s">
        <v>14371</v>
      </c>
      <c r="UFE1" s="46" t="s">
        <v>14372</v>
      </c>
      <c r="UFF1" s="46" t="s">
        <v>14373</v>
      </c>
      <c r="UFG1" s="46" t="s">
        <v>14374</v>
      </c>
      <c r="UFH1" s="46" t="s">
        <v>14375</v>
      </c>
      <c r="UFI1" s="46" t="s">
        <v>14376</v>
      </c>
      <c r="UFJ1" s="46" t="s">
        <v>14377</v>
      </c>
      <c r="UFK1" s="46" t="s">
        <v>14378</v>
      </c>
      <c r="UFL1" s="46" t="s">
        <v>14379</v>
      </c>
      <c r="UFM1" s="46" t="s">
        <v>14380</v>
      </c>
      <c r="UFN1" s="46" t="s">
        <v>14381</v>
      </c>
      <c r="UFO1" s="46" t="s">
        <v>14382</v>
      </c>
      <c r="UFP1" s="46" t="s">
        <v>14383</v>
      </c>
      <c r="UFQ1" s="46" t="s">
        <v>14384</v>
      </c>
      <c r="UFR1" s="46" t="s">
        <v>14385</v>
      </c>
      <c r="UFS1" s="46" t="s">
        <v>14386</v>
      </c>
      <c r="UFT1" s="46" t="s">
        <v>14387</v>
      </c>
      <c r="UFU1" s="46" t="s">
        <v>14388</v>
      </c>
      <c r="UFV1" s="46" t="s">
        <v>14389</v>
      </c>
      <c r="UFW1" s="46" t="s">
        <v>14390</v>
      </c>
      <c r="UFX1" s="46" t="s">
        <v>14391</v>
      </c>
      <c r="UFY1" s="46" t="s">
        <v>14392</v>
      </c>
      <c r="UFZ1" s="46" t="s">
        <v>14393</v>
      </c>
      <c r="UGA1" s="46" t="s">
        <v>14394</v>
      </c>
      <c r="UGB1" s="46" t="s">
        <v>14395</v>
      </c>
      <c r="UGC1" s="46" t="s">
        <v>14396</v>
      </c>
      <c r="UGD1" s="46" t="s">
        <v>14397</v>
      </c>
      <c r="UGE1" s="46" t="s">
        <v>14398</v>
      </c>
      <c r="UGF1" s="46" t="s">
        <v>14399</v>
      </c>
      <c r="UGG1" s="46" t="s">
        <v>14400</v>
      </c>
      <c r="UGH1" s="46" t="s">
        <v>14401</v>
      </c>
      <c r="UGI1" s="46" t="s">
        <v>14402</v>
      </c>
      <c r="UGJ1" s="46" t="s">
        <v>14403</v>
      </c>
      <c r="UGK1" s="46" t="s">
        <v>14404</v>
      </c>
      <c r="UGL1" s="46" t="s">
        <v>14405</v>
      </c>
      <c r="UGM1" s="46" t="s">
        <v>14406</v>
      </c>
      <c r="UGN1" s="46" t="s">
        <v>14407</v>
      </c>
      <c r="UGO1" s="46" t="s">
        <v>14408</v>
      </c>
      <c r="UGP1" s="46" t="s">
        <v>14409</v>
      </c>
      <c r="UGQ1" s="46" t="s">
        <v>14410</v>
      </c>
      <c r="UGR1" s="46" t="s">
        <v>14411</v>
      </c>
      <c r="UGS1" s="46" t="s">
        <v>14412</v>
      </c>
      <c r="UGT1" s="46" t="s">
        <v>14413</v>
      </c>
      <c r="UGU1" s="46" t="s">
        <v>14414</v>
      </c>
      <c r="UGV1" s="46" t="s">
        <v>14415</v>
      </c>
      <c r="UGW1" s="46" t="s">
        <v>14416</v>
      </c>
      <c r="UGX1" s="46" t="s">
        <v>14417</v>
      </c>
      <c r="UGY1" s="46" t="s">
        <v>14418</v>
      </c>
      <c r="UGZ1" s="46" t="s">
        <v>14419</v>
      </c>
      <c r="UHA1" s="46" t="s">
        <v>14420</v>
      </c>
      <c r="UHB1" s="46" t="s">
        <v>14421</v>
      </c>
      <c r="UHC1" s="46" t="s">
        <v>14422</v>
      </c>
      <c r="UHD1" s="46" t="s">
        <v>14423</v>
      </c>
      <c r="UHE1" s="46" t="s">
        <v>14424</v>
      </c>
      <c r="UHF1" s="46" t="s">
        <v>14425</v>
      </c>
      <c r="UHG1" s="46" t="s">
        <v>14426</v>
      </c>
      <c r="UHH1" s="46" t="s">
        <v>14427</v>
      </c>
      <c r="UHI1" s="46" t="s">
        <v>14428</v>
      </c>
      <c r="UHJ1" s="46" t="s">
        <v>14429</v>
      </c>
      <c r="UHK1" s="46" t="s">
        <v>14430</v>
      </c>
      <c r="UHL1" s="46" t="s">
        <v>14431</v>
      </c>
      <c r="UHM1" s="46" t="s">
        <v>14432</v>
      </c>
      <c r="UHN1" s="46" t="s">
        <v>14433</v>
      </c>
      <c r="UHO1" s="46" t="s">
        <v>14434</v>
      </c>
      <c r="UHP1" s="46" t="s">
        <v>14435</v>
      </c>
      <c r="UHQ1" s="46" t="s">
        <v>14436</v>
      </c>
      <c r="UHR1" s="46" t="s">
        <v>14437</v>
      </c>
      <c r="UHS1" s="46" t="s">
        <v>14438</v>
      </c>
      <c r="UHT1" s="46" t="s">
        <v>14439</v>
      </c>
      <c r="UHU1" s="46" t="s">
        <v>14440</v>
      </c>
      <c r="UHV1" s="46" t="s">
        <v>14441</v>
      </c>
      <c r="UHW1" s="46" t="s">
        <v>14442</v>
      </c>
      <c r="UHX1" s="46" t="s">
        <v>14443</v>
      </c>
      <c r="UHY1" s="46" t="s">
        <v>14444</v>
      </c>
      <c r="UHZ1" s="46" t="s">
        <v>14445</v>
      </c>
      <c r="UIA1" s="46" t="s">
        <v>14446</v>
      </c>
      <c r="UIB1" s="46" t="s">
        <v>14447</v>
      </c>
      <c r="UIC1" s="46" t="s">
        <v>14448</v>
      </c>
      <c r="UID1" s="46" t="s">
        <v>14449</v>
      </c>
      <c r="UIE1" s="46" t="s">
        <v>14450</v>
      </c>
      <c r="UIF1" s="46" t="s">
        <v>14451</v>
      </c>
      <c r="UIG1" s="46" t="s">
        <v>14452</v>
      </c>
      <c r="UIH1" s="46" t="s">
        <v>14453</v>
      </c>
      <c r="UII1" s="46" t="s">
        <v>14454</v>
      </c>
      <c r="UIJ1" s="46" t="s">
        <v>14455</v>
      </c>
      <c r="UIK1" s="46" t="s">
        <v>14456</v>
      </c>
      <c r="UIL1" s="46" t="s">
        <v>14457</v>
      </c>
      <c r="UIM1" s="46" t="s">
        <v>14458</v>
      </c>
      <c r="UIN1" s="46" t="s">
        <v>14459</v>
      </c>
      <c r="UIO1" s="46" t="s">
        <v>14460</v>
      </c>
      <c r="UIP1" s="46" t="s">
        <v>14461</v>
      </c>
      <c r="UIQ1" s="46" t="s">
        <v>14462</v>
      </c>
      <c r="UIR1" s="46" t="s">
        <v>14463</v>
      </c>
      <c r="UIS1" s="46" t="s">
        <v>14464</v>
      </c>
      <c r="UIT1" s="46" t="s">
        <v>14465</v>
      </c>
      <c r="UIU1" s="46" t="s">
        <v>14466</v>
      </c>
      <c r="UIV1" s="46" t="s">
        <v>14467</v>
      </c>
      <c r="UIW1" s="46" t="s">
        <v>14468</v>
      </c>
      <c r="UIX1" s="46" t="s">
        <v>14469</v>
      </c>
      <c r="UIY1" s="46" t="s">
        <v>14470</v>
      </c>
      <c r="UIZ1" s="46" t="s">
        <v>14471</v>
      </c>
      <c r="UJA1" s="46" t="s">
        <v>14472</v>
      </c>
      <c r="UJB1" s="46" t="s">
        <v>14473</v>
      </c>
      <c r="UJC1" s="46" t="s">
        <v>14474</v>
      </c>
      <c r="UJD1" s="46" t="s">
        <v>14475</v>
      </c>
      <c r="UJE1" s="46" t="s">
        <v>14476</v>
      </c>
      <c r="UJF1" s="46" t="s">
        <v>14477</v>
      </c>
      <c r="UJG1" s="46" t="s">
        <v>14478</v>
      </c>
      <c r="UJH1" s="46" t="s">
        <v>14479</v>
      </c>
      <c r="UJI1" s="46" t="s">
        <v>14480</v>
      </c>
      <c r="UJJ1" s="46" t="s">
        <v>14481</v>
      </c>
      <c r="UJK1" s="46" t="s">
        <v>14482</v>
      </c>
      <c r="UJL1" s="46" t="s">
        <v>14483</v>
      </c>
      <c r="UJM1" s="46" t="s">
        <v>14484</v>
      </c>
      <c r="UJN1" s="46" t="s">
        <v>14485</v>
      </c>
      <c r="UJO1" s="46" t="s">
        <v>14486</v>
      </c>
      <c r="UJP1" s="46" t="s">
        <v>14487</v>
      </c>
      <c r="UJQ1" s="46" t="s">
        <v>14488</v>
      </c>
      <c r="UJR1" s="46" t="s">
        <v>14489</v>
      </c>
      <c r="UJS1" s="46" t="s">
        <v>14490</v>
      </c>
      <c r="UJT1" s="46" t="s">
        <v>14491</v>
      </c>
      <c r="UJU1" s="46" t="s">
        <v>14492</v>
      </c>
      <c r="UJV1" s="46" t="s">
        <v>14493</v>
      </c>
      <c r="UJW1" s="46" t="s">
        <v>14494</v>
      </c>
      <c r="UJX1" s="46" t="s">
        <v>14495</v>
      </c>
      <c r="UJY1" s="46" t="s">
        <v>14496</v>
      </c>
      <c r="UJZ1" s="46" t="s">
        <v>14497</v>
      </c>
      <c r="UKA1" s="46" t="s">
        <v>14498</v>
      </c>
      <c r="UKB1" s="46" t="s">
        <v>14499</v>
      </c>
      <c r="UKC1" s="46" t="s">
        <v>14500</v>
      </c>
      <c r="UKD1" s="46" t="s">
        <v>14501</v>
      </c>
      <c r="UKE1" s="46" t="s">
        <v>14502</v>
      </c>
      <c r="UKF1" s="46" t="s">
        <v>14503</v>
      </c>
      <c r="UKG1" s="46" t="s">
        <v>14504</v>
      </c>
      <c r="UKH1" s="46" t="s">
        <v>14505</v>
      </c>
      <c r="UKI1" s="46" t="s">
        <v>14506</v>
      </c>
      <c r="UKJ1" s="46" t="s">
        <v>14507</v>
      </c>
      <c r="UKK1" s="46" t="s">
        <v>14508</v>
      </c>
      <c r="UKL1" s="46" t="s">
        <v>14509</v>
      </c>
      <c r="UKM1" s="46" t="s">
        <v>14510</v>
      </c>
      <c r="UKN1" s="46" t="s">
        <v>14511</v>
      </c>
      <c r="UKO1" s="46" t="s">
        <v>14512</v>
      </c>
      <c r="UKP1" s="46" t="s">
        <v>14513</v>
      </c>
      <c r="UKQ1" s="46" t="s">
        <v>14514</v>
      </c>
      <c r="UKR1" s="46" t="s">
        <v>14515</v>
      </c>
      <c r="UKS1" s="46" t="s">
        <v>14516</v>
      </c>
      <c r="UKT1" s="46" t="s">
        <v>14517</v>
      </c>
      <c r="UKU1" s="46" t="s">
        <v>14518</v>
      </c>
      <c r="UKV1" s="46" t="s">
        <v>14519</v>
      </c>
      <c r="UKW1" s="46" t="s">
        <v>14520</v>
      </c>
      <c r="UKX1" s="46" t="s">
        <v>14521</v>
      </c>
      <c r="UKY1" s="46" t="s">
        <v>14522</v>
      </c>
      <c r="UKZ1" s="46" t="s">
        <v>14523</v>
      </c>
      <c r="ULA1" s="46" t="s">
        <v>14524</v>
      </c>
      <c r="ULB1" s="46" t="s">
        <v>14525</v>
      </c>
      <c r="ULC1" s="46" t="s">
        <v>14526</v>
      </c>
      <c r="ULD1" s="46" t="s">
        <v>14527</v>
      </c>
      <c r="ULE1" s="46" t="s">
        <v>14528</v>
      </c>
      <c r="ULF1" s="46" t="s">
        <v>14529</v>
      </c>
      <c r="ULG1" s="46" t="s">
        <v>14530</v>
      </c>
      <c r="ULH1" s="46" t="s">
        <v>14531</v>
      </c>
      <c r="ULI1" s="46" t="s">
        <v>14532</v>
      </c>
      <c r="ULJ1" s="46" t="s">
        <v>14533</v>
      </c>
      <c r="ULK1" s="46" t="s">
        <v>14534</v>
      </c>
      <c r="ULL1" s="46" t="s">
        <v>14535</v>
      </c>
      <c r="ULM1" s="46" t="s">
        <v>14536</v>
      </c>
      <c r="ULN1" s="46" t="s">
        <v>14537</v>
      </c>
      <c r="ULO1" s="46" t="s">
        <v>14538</v>
      </c>
      <c r="ULP1" s="46" t="s">
        <v>14539</v>
      </c>
      <c r="ULQ1" s="46" t="s">
        <v>14540</v>
      </c>
      <c r="ULR1" s="46" t="s">
        <v>14541</v>
      </c>
      <c r="ULS1" s="46" t="s">
        <v>14542</v>
      </c>
      <c r="ULT1" s="46" t="s">
        <v>14543</v>
      </c>
      <c r="ULU1" s="46" t="s">
        <v>14544</v>
      </c>
      <c r="ULV1" s="46" t="s">
        <v>14545</v>
      </c>
      <c r="ULW1" s="46" t="s">
        <v>14546</v>
      </c>
      <c r="ULX1" s="46" t="s">
        <v>14547</v>
      </c>
      <c r="ULY1" s="46" t="s">
        <v>14548</v>
      </c>
      <c r="ULZ1" s="46" t="s">
        <v>14549</v>
      </c>
      <c r="UMA1" s="46" t="s">
        <v>14550</v>
      </c>
      <c r="UMB1" s="46" t="s">
        <v>14551</v>
      </c>
      <c r="UMC1" s="46" t="s">
        <v>14552</v>
      </c>
      <c r="UMD1" s="46" t="s">
        <v>14553</v>
      </c>
      <c r="UME1" s="46" t="s">
        <v>14554</v>
      </c>
      <c r="UMF1" s="46" t="s">
        <v>14555</v>
      </c>
      <c r="UMG1" s="46" t="s">
        <v>14556</v>
      </c>
      <c r="UMH1" s="46" t="s">
        <v>14557</v>
      </c>
      <c r="UMI1" s="46" t="s">
        <v>14558</v>
      </c>
      <c r="UMJ1" s="46" t="s">
        <v>14559</v>
      </c>
      <c r="UMK1" s="46" t="s">
        <v>14560</v>
      </c>
      <c r="UML1" s="46" t="s">
        <v>14561</v>
      </c>
      <c r="UMM1" s="46" t="s">
        <v>14562</v>
      </c>
      <c r="UMN1" s="46" t="s">
        <v>14563</v>
      </c>
      <c r="UMO1" s="46" t="s">
        <v>14564</v>
      </c>
      <c r="UMP1" s="46" t="s">
        <v>14565</v>
      </c>
      <c r="UMQ1" s="46" t="s">
        <v>14566</v>
      </c>
      <c r="UMR1" s="46" t="s">
        <v>14567</v>
      </c>
      <c r="UMS1" s="46" t="s">
        <v>14568</v>
      </c>
      <c r="UMT1" s="46" t="s">
        <v>14569</v>
      </c>
      <c r="UMU1" s="46" t="s">
        <v>14570</v>
      </c>
      <c r="UMV1" s="46" t="s">
        <v>14571</v>
      </c>
      <c r="UMW1" s="46" t="s">
        <v>14572</v>
      </c>
      <c r="UMX1" s="46" t="s">
        <v>14573</v>
      </c>
      <c r="UMY1" s="46" t="s">
        <v>14574</v>
      </c>
      <c r="UMZ1" s="46" t="s">
        <v>14575</v>
      </c>
      <c r="UNA1" s="46" t="s">
        <v>14576</v>
      </c>
      <c r="UNB1" s="46" t="s">
        <v>14577</v>
      </c>
      <c r="UNC1" s="46" t="s">
        <v>14578</v>
      </c>
      <c r="UND1" s="46" t="s">
        <v>14579</v>
      </c>
      <c r="UNE1" s="46" t="s">
        <v>14580</v>
      </c>
      <c r="UNF1" s="46" t="s">
        <v>14581</v>
      </c>
      <c r="UNG1" s="46" t="s">
        <v>14582</v>
      </c>
      <c r="UNH1" s="46" t="s">
        <v>14583</v>
      </c>
      <c r="UNI1" s="46" t="s">
        <v>14584</v>
      </c>
      <c r="UNJ1" s="46" t="s">
        <v>14585</v>
      </c>
      <c r="UNK1" s="46" t="s">
        <v>14586</v>
      </c>
      <c r="UNL1" s="46" t="s">
        <v>14587</v>
      </c>
      <c r="UNM1" s="46" t="s">
        <v>14588</v>
      </c>
      <c r="UNN1" s="46" t="s">
        <v>14589</v>
      </c>
      <c r="UNO1" s="46" t="s">
        <v>14590</v>
      </c>
      <c r="UNP1" s="46" t="s">
        <v>14591</v>
      </c>
      <c r="UNQ1" s="46" t="s">
        <v>14592</v>
      </c>
      <c r="UNR1" s="46" t="s">
        <v>14593</v>
      </c>
      <c r="UNS1" s="46" t="s">
        <v>14594</v>
      </c>
      <c r="UNT1" s="46" t="s">
        <v>14595</v>
      </c>
      <c r="UNU1" s="46" t="s">
        <v>14596</v>
      </c>
      <c r="UNV1" s="46" t="s">
        <v>14597</v>
      </c>
      <c r="UNW1" s="46" t="s">
        <v>14598</v>
      </c>
      <c r="UNX1" s="46" t="s">
        <v>14599</v>
      </c>
      <c r="UNY1" s="46" t="s">
        <v>14600</v>
      </c>
      <c r="UNZ1" s="46" t="s">
        <v>14601</v>
      </c>
      <c r="UOA1" s="46" t="s">
        <v>14602</v>
      </c>
      <c r="UOB1" s="46" t="s">
        <v>14603</v>
      </c>
      <c r="UOC1" s="46" t="s">
        <v>14604</v>
      </c>
      <c r="UOD1" s="46" t="s">
        <v>14605</v>
      </c>
      <c r="UOE1" s="46" t="s">
        <v>14606</v>
      </c>
      <c r="UOF1" s="46" t="s">
        <v>14607</v>
      </c>
      <c r="UOG1" s="46" t="s">
        <v>14608</v>
      </c>
      <c r="UOH1" s="46" t="s">
        <v>14609</v>
      </c>
      <c r="UOI1" s="46" t="s">
        <v>14610</v>
      </c>
      <c r="UOJ1" s="46" t="s">
        <v>14611</v>
      </c>
      <c r="UOK1" s="46" t="s">
        <v>14612</v>
      </c>
      <c r="UOL1" s="46" t="s">
        <v>14613</v>
      </c>
      <c r="UOM1" s="46" t="s">
        <v>14614</v>
      </c>
      <c r="UON1" s="46" t="s">
        <v>14615</v>
      </c>
      <c r="UOO1" s="46" t="s">
        <v>14616</v>
      </c>
      <c r="UOP1" s="46" t="s">
        <v>14617</v>
      </c>
      <c r="UOQ1" s="46" t="s">
        <v>14618</v>
      </c>
      <c r="UOR1" s="46" t="s">
        <v>14619</v>
      </c>
      <c r="UOS1" s="46" t="s">
        <v>14620</v>
      </c>
      <c r="UOT1" s="46" t="s">
        <v>14621</v>
      </c>
      <c r="UOU1" s="46" t="s">
        <v>14622</v>
      </c>
      <c r="UOV1" s="46" t="s">
        <v>14623</v>
      </c>
      <c r="UOW1" s="46" t="s">
        <v>14624</v>
      </c>
      <c r="UOX1" s="46" t="s">
        <v>14625</v>
      </c>
      <c r="UOY1" s="46" t="s">
        <v>14626</v>
      </c>
      <c r="UOZ1" s="46" t="s">
        <v>14627</v>
      </c>
      <c r="UPA1" s="46" t="s">
        <v>14628</v>
      </c>
      <c r="UPB1" s="46" t="s">
        <v>14629</v>
      </c>
      <c r="UPC1" s="46" t="s">
        <v>14630</v>
      </c>
      <c r="UPD1" s="46" t="s">
        <v>14631</v>
      </c>
      <c r="UPE1" s="46" t="s">
        <v>14632</v>
      </c>
      <c r="UPF1" s="46" t="s">
        <v>14633</v>
      </c>
      <c r="UPG1" s="46" t="s">
        <v>14634</v>
      </c>
      <c r="UPH1" s="46" t="s">
        <v>14635</v>
      </c>
      <c r="UPI1" s="46" t="s">
        <v>14636</v>
      </c>
      <c r="UPJ1" s="46" t="s">
        <v>14637</v>
      </c>
      <c r="UPK1" s="46" t="s">
        <v>14638</v>
      </c>
      <c r="UPL1" s="46" t="s">
        <v>14639</v>
      </c>
      <c r="UPM1" s="46" t="s">
        <v>14640</v>
      </c>
      <c r="UPN1" s="46" t="s">
        <v>14641</v>
      </c>
      <c r="UPO1" s="46" t="s">
        <v>14642</v>
      </c>
      <c r="UPP1" s="46" t="s">
        <v>14643</v>
      </c>
      <c r="UPQ1" s="46" t="s">
        <v>14644</v>
      </c>
      <c r="UPR1" s="46" t="s">
        <v>14645</v>
      </c>
      <c r="UPS1" s="46" t="s">
        <v>14646</v>
      </c>
      <c r="UPT1" s="46" t="s">
        <v>14647</v>
      </c>
      <c r="UPU1" s="46" t="s">
        <v>14648</v>
      </c>
      <c r="UPV1" s="46" t="s">
        <v>14649</v>
      </c>
      <c r="UPW1" s="46" t="s">
        <v>14650</v>
      </c>
      <c r="UPX1" s="46" t="s">
        <v>14651</v>
      </c>
      <c r="UPY1" s="46" t="s">
        <v>14652</v>
      </c>
      <c r="UPZ1" s="46" t="s">
        <v>14653</v>
      </c>
      <c r="UQA1" s="46" t="s">
        <v>14654</v>
      </c>
      <c r="UQB1" s="46" t="s">
        <v>14655</v>
      </c>
      <c r="UQC1" s="46" t="s">
        <v>14656</v>
      </c>
      <c r="UQD1" s="46" t="s">
        <v>14657</v>
      </c>
      <c r="UQE1" s="46" t="s">
        <v>14658</v>
      </c>
      <c r="UQF1" s="46" t="s">
        <v>14659</v>
      </c>
      <c r="UQG1" s="46" t="s">
        <v>14660</v>
      </c>
      <c r="UQH1" s="46" t="s">
        <v>14661</v>
      </c>
      <c r="UQI1" s="46" t="s">
        <v>14662</v>
      </c>
      <c r="UQJ1" s="46" t="s">
        <v>14663</v>
      </c>
      <c r="UQK1" s="46" t="s">
        <v>14664</v>
      </c>
      <c r="UQL1" s="46" t="s">
        <v>14665</v>
      </c>
      <c r="UQM1" s="46" t="s">
        <v>14666</v>
      </c>
      <c r="UQN1" s="46" t="s">
        <v>14667</v>
      </c>
      <c r="UQO1" s="46" t="s">
        <v>14668</v>
      </c>
      <c r="UQP1" s="46" t="s">
        <v>14669</v>
      </c>
      <c r="UQQ1" s="46" t="s">
        <v>14670</v>
      </c>
      <c r="UQR1" s="46" t="s">
        <v>14671</v>
      </c>
      <c r="UQS1" s="46" t="s">
        <v>14672</v>
      </c>
      <c r="UQT1" s="46" t="s">
        <v>14673</v>
      </c>
      <c r="UQU1" s="46" t="s">
        <v>14674</v>
      </c>
      <c r="UQV1" s="46" t="s">
        <v>14675</v>
      </c>
      <c r="UQW1" s="46" t="s">
        <v>14676</v>
      </c>
      <c r="UQX1" s="46" t="s">
        <v>14677</v>
      </c>
      <c r="UQY1" s="46" t="s">
        <v>14678</v>
      </c>
      <c r="UQZ1" s="46" t="s">
        <v>14679</v>
      </c>
      <c r="URA1" s="46" t="s">
        <v>14680</v>
      </c>
      <c r="URB1" s="46" t="s">
        <v>14681</v>
      </c>
      <c r="URC1" s="46" t="s">
        <v>14682</v>
      </c>
      <c r="URD1" s="46" t="s">
        <v>14683</v>
      </c>
      <c r="URE1" s="46" t="s">
        <v>14684</v>
      </c>
      <c r="URF1" s="46" t="s">
        <v>14685</v>
      </c>
      <c r="URG1" s="46" t="s">
        <v>14686</v>
      </c>
      <c r="URH1" s="46" t="s">
        <v>14687</v>
      </c>
      <c r="URI1" s="46" t="s">
        <v>14688</v>
      </c>
      <c r="URJ1" s="46" t="s">
        <v>14689</v>
      </c>
      <c r="URK1" s="46" t="s">
        <v>14690</v>
      </c>
      <c r="URL1" s="46" t="s">
        <v>14691</v>
      </c>
      <c r="URM1" s="46" t="s">
        <v>14692</v>
      </c>
      <c r="URN1" s="46" t="s">
        <v>14693</v>
      </c>
      <c r="URO1" s="46" t="s">
        <v>14694</v>
      </c>
      <c r="URP1" s="46" t="s">
        <v>14695</v>
      </c>
      <c r="URQ1" s="46" t="s">
        <v>14696</v>
      </c>
      <c r="URR1" s="46" t="s">
        <v>14697</v>
      </c>
      <c r="URS1" s="46" t="s">
        <v>14698</v>
      </c>
      <c r="URT1" s="46" t="s">
        <v>14699</v>
      </c>
      <c r="URU1" s="46" t="s">
        <v>14700</v>
      </c>
      <c r="URV1" s="46" t="s">
        <v>14701</v>
      </c>
      <c r="URW1" s="46" t="s">
        <v>14702</v>
      </c>
      <c r="URX1" s="46" t="s">
        <v>14703</v>
      </c>
      <c r="URY1" s="46" t="s">
        <v>14704</v>
      </c>
      <c r="URZ1" s="46" t="s">
        <v>14705</v>
      </c>
      <c r="USA1" s="46" t="s">
        <v>14706</v>
      </c>
      <c r="USB1" s="46" t="s">
        <v>14707</v>
      </c>
      <c r="USC1" s="46" t="s">
        <v>14708</v>
      </c>
      <c r="USD1" s="46" t="s">
        <v>14709</v>
      </c>
      <c r="USE1" s="46" t="s">
        <v>14710</v>
      </c>
      <c r="USF1" s="46" t="s">
        <v>14711</v>
      </c>
      <c r="USG1" s="46" t="s">
        <v>14712</v>
      </c>
      <c r="USH1" s="46" t="s">
        <v>14713</v>
      </c>
      <c r="USI1" s="46" t="s">
        <v>14714</v>
      </c>
      <c r="USJ1" s="46" t="s">
        <v>14715</v>
      </c>
      <c r="USK1" s="46" t="s">
        <v>14716</v>
      </c>
      <c r="USL1" s="46" t="s">
        <v>14717</v>
      </c>
      <c r="USM1" s="46" t="s">
        <v>14718</v>
      </c>
      <c r="USN1" s="46" t="s">
        <v>14719</v>
      </c>
      <c r="USO1" s="46" t="s">
        <v>14720</v>
      </c>
      <c r="USP1" s="46" t="s">
        <v>14721</v>
      </c>
      <c r="USQ1" s="46" t="s">
        <v>14722</v>
      </c>
      <c r="USR1" s="46" t="s">
        <v>14723</v>
      </c>
      <c r="USS1" s="46" t="s">
        <v>14724</v>
      </c>
      <c r="UST1" s="46" t="s">
        <v>14725</v>
      </c>
      <c r="USU1" s="46" t="s">
        <v>14726</v>
      </c>
      <c r="USV1" s="46" t="s">
        <v>14727</v>
      </c>
      <c r="USW1" s="46" t="s">
        <v>14728</v>
      </c>
      <c r="USX1" s="46" t="s">
        <v>14729</v>
      </c>
      <c r="USY1" s="46" t="s">
        <v>14730</v>
      </c>
      <c r="USZ1" s="46" t="s">
        <v>14731</v>
      </c>
      <c r="UTA1" s="46" t="s">
        <v>14732</v>
      </c>
      <c r="UTB1" s="46" t="s">
        <v>14733</v>
      </c>
      <c r="UTC1" s="46" t="s">
        <v>14734</v>
      </c>
      <c r="UTD1" s="46" t="s">
        <v>14735</v>
      </c>
      <c r="UTE1" s="46" t="s">
        <v>14736</v>
      </c>
      <c r="UTF1" s="46" t="s">
        <v>14737</v>
      </c>
      <c r="UTG1" s="46" t="s">
        <v>14738</v>
      </c>
      <c r="UTH1" s="46" t="s">
        <v>14739</v>
      </c>
      <c r="UTI1" s="46" t="s">
        <v>14740</v>
      </c>
      <c r="UTJ1" s="46" t="s">
        <v>14741</v>
      </c>
      <c r="UTK1" s="46" t="s">
        <v>14742</v>
      </c>
      <c r="UTL1" s="46" t="s">
        <v>14743</v>
      </c>
      <c r="UTM1" s="46" t="s">
        <v>14744</v>
      </c>
      <c r="UTN1" s="46" t="s">
        <v>14745</v>
      </c>
      <c r="UTO1" s="46" t="s">
        <v>14746</v>
      </c>
      <c r="UTP1" s="46" t="s">
        <v>14747</v>
      </c>
      <c r="UTQ1" s="46" t="s">
        <v>14748</v>
      </c>
      <c r="UTR1" s="46" t="s">
        <v>14749</v>
      </c>
      <c r="UTS1" s="46" t="s">
        <v>14750</v>
      </c>
      <c r="UTT1" s="46" t="s">
        <v>14751</v>
      </c>
      <c r="UTU1" s="46" t="s">
        <v>14752</v>
      </c>
      <c r="UTV1" s="46" t="s">
        <v>14753</v>
      </c>
      <c r="UTW1" s="46" t="s">
        <v>14754</v>
      </c>
      <c r="UTX1" s="46" t="s">
        <v>14755</v>
      </c>
      <c r="UTY1" s="46" t="s">
        <v>14756</v>
      </c>
      <c r="UTZ1" s="46" t="s">
        <v>14757</v>
      </c>
      <c r="UUA1" s="46" t="s">
        <v>14758</v>
      </c>
      <c r="UUB1" s="46" t="s">
        <v>14759</v>
      </c>
      <c r="UUC1" s="46" t="s">
        <v>14760</v>
      </c>
      <c r="UUD1" s="46" t="s">
        <v>14761</v>
      </c>
      <c r="UUE1" s="46" t="s">
        <v>14762</v>
      </c>
      <c r="UUF1" s="46" t="s">
        <v>14763</v>
      </c>
      <c r="UUG1" s="46" t="s">
        <v>14764</v>
      </c>
      <c r="UUH1" s="46" t="s">
        <v>14765</v>
      </c>
      <c r="UUI1" s="46" t="s">
        <v>14766</v>
      </c>
      <c r="UUJ1" s="46" t="s">
        <v>14767</v>
      </c>
      <c r="UUK1" s="46" t="s">
        <v>14768</v>
      </c>
      <c r="UUL1" s="46" t="s">
        <v>14769</v>
      </c>
      <c r="UUM1" s="46" t="s">
        <v>14770</v>
      </c>
      <c r="UUN1" s="46" t="s">
        <v>14771</v>
      </c>
      <c r="UUO1" s="46" t="s">
        <v>14772</v>
      </c>
      <c r="UUP1" s="46" t="s">
        <v>14773</v>
      </c>
      <c r="UUQ1" s="46" t="s">
        <v>14774</v>
      </c>
      <c r="UUR1" s="46" t="s">
        <v>14775</v>
      </c>
      <c r="UUS1" s="46" t="s">
        <v>14776</v>
      </c>
      <c r="UUT1" s="46" t="s">
        <v>14777</v>
      </c>
      <c r="UUU1" s="46" t="s">
        <v>14778</v>
      </c>
      <c r="UUV1" s="46" t="s">
        <v>14779</v>
      </c>
      <c r="UUW1" s="46" t="s">
        <v>14780</v>
      </c>
      <c r="UUX1" s="46" t="s">
        <v>14781</v>
      </c>
      <c r="UUY1" s="46" t="s">
        <v>14782</v>
      </c>
      <c r="UUZ1" s="46" t="s">
        <v>14783</v>
      </c>
      <c r="UVA1" s="46" t="s">
        <v>14784</v>
      </c>
      <c r="UVB1" s="46" t="s">
        <v>14785</v>
      </c>
      <c r="UVC1" s="46" t="s">
        <v>14786</v>
      </c>
      <c r="UVD1" s="46" t="s">
        <v>14787</v>
      </c>
      <c r="UVE1" s="46" t="s">
        <v>14788</v>
      </c>
      <c r="UVF1" s="46" t="s">
        <v>14789</v>
      </c>
      <c r="UVG1" s="46" t="s">
        <v>14790</v>
      </c>
      <c r="UVH1" s="46" t="s">
        <v>14791</v>
      </c>
      <c r="UVI1" s="46" t="s">
        <v>14792</v>
      </c>
      <c r="UVJ1" s="46" t="s">
        <v>14793</v>
      </c>
      <c r="UVK1" s="46" t="s">
        <v>14794</v>
      </c>
      <c r="UVL1" s="46" t="s">
        <v>14795</v>
      </c>
      <c r="UVM1" s="46" t="s">
        <v>14796</v>
      </c>
      <c r="UVN1" s="46" t="s">
        <v>14797</v>
      </c>
      <c r="UVO1" s="46" t="s">
        <v>14798</v>
      </c>
      <c r="UVP1" s="46" t="s">
        <v>14799</v>
      </c>
      <c r="UVQ1" s="46" t="s">
        <v>14800</v>
      </c>
      <c r="UVR1" s="46" t="s">
        <v>14801</v>
      </c>
      <c r="UVS1" s="46" t="s">
        <v>14802</v>
      </c>
      <c r="UVT1" s="46" t="s">
        <v>14803</v>
      </c>
      <c r="UVU1" s="46" t="s">
        <v>14804</v>
      </c>
      <c r="UVV1" s="46" t="s">
        <v>14805</v>
      </c>
      <c r="UVW1" s="46" t="s">
        <v>14806</v>
      </c>
      <c r="UVX1" s="46" t="s">
        <v>14807</v>
      </c>
      <c r="UVY1" s="46" t="s">
        <v>14808</v>
      </c>
      <c r="UVZ1" s="46" t="s">
        <v>14809</v>
      </c>
      <c r="UWA1" s="46" t="s">
        <v>14810</v>
      </c>
      <c r="UWB1" s="46" t="s">
        <v>14811</v>
      </c>
      <c r="UWC1" s="46" t="s">
        <v>14812</v>
      </c>
      <c r="UWD1" s="46" t="s">
        <v>14813</v>
      </c>
      <c r="UWE1" s="46" t="s">
        <v>14814</v>
      </c>
      <c r="UWF1" s="46" t="s">
        <v>14815</v>
      </c>
      <c r="UWG1" s="46" t="s">
        <v>14816</v>
      </c>
      <c r="UWH1" s="46" t="s">
        <v>14817</v>
      </c>
      <c r="UWI1" s="46" t="s">
        <v>14818</v>
      </c>
      <c r="UWJ1" s="46" t="s">
        <v>14819</v>
      </c>
      <c r="UWK1" s="46" t="s">
        <v>14820</v>
      </c>
      <c r="UWL1" s="46" t="s">
        <v>14821</v>
      </c>
      <c r="UWM1" s="46" t="s">
        <v>14822</v>
      </c>
      <c r="UWN1" s="46" t="s">
        <v>14823</v>
      </c>
      <c r="UWO1" s="46" t="s">
        <v>14824</v>
      </c>
      <c r="UWP1" s="46" t="s">
        <v>14825</v>
      </c>
      <c r="UWQ1" s="46" t="s">
        <v>14826</v>
      </c>
      <c r="UWR1" s="46" t="s">
        <v>14827</v>
      </c>
      <c r="UWS1" s="46" t="s">
        <v>14828</v>
      </c>
      <c r="UWT1" s="46" t="s">
        <v>14829</v>
      </c>
      <c r="UWU1" s="46" t="s">
        <v>14830</v>
      </c>
      <c r="UWV1" s="46" t="s">
        <v>14831</v>
      </c>
      <c r="UWW1" s="46" t="s">
        <v>14832</v>
      </c>
      <c r="UWX1" s="46" t="s">
        <v>14833</v>
      </c>
      <c r="UWY1" s="46" t="s">
        <v>14834</v>
      </c>
      <c r="UWZ1" s="46" t="s">
        <v>14835</v>
      </c>
      <c r="UXA1" s="46" t="s">
        <v>14836</v>
      </c>
      <c r="UXB1" s="46" t="s">
        <v>14837</v>
      </c>
      <c r="UXC1" s="46" t="s">
        <v>14838</v>
      </c>
      <c r="UXD1" s="46" t="s">
        <v>14839</v>
      </c>
      <c r="UXE1" s="46" t="s">
        <v>14840</v>
      </c>
      <c r="UXF1" s="46" t="s">
        <v>14841</v>
      </c>
      <c r="UXG1" s="46" t="s">
        <v>14842</v>
      </c>
      <c r="UXH1" s="46" t="s">
        <v>14843</v>
      </c>
      <c r="UXI1" s="46" t="s">
        <v>14844</v>
      </c>
      <c r="UXJ1" s="46" t="s">
        <v>14845</v>
      </c>
      <c r="UXK1" s="46" t="s">
        <v>14846</v>
      </c>
      <c r="UXL1" s="46" t="s">
        <v>14847</v>
      </c>
      <c r="UXM1" s="46" t="s">
        <v>14848</v>
      </c>
      <c r="UXN1" s="46" t="s">
        <v>14849</v>
      </c>
      <c r="UXO1" s="46" t="s">
        <v>14850</v>
      </c>
      <c r="UXP1" s="46" t="s">
        <v>14851</v>
      </c>
      <c r="UXQ1" s="46" t="s">
        <v>14852</v>
      </c>
      <c r="UXR1" s="46" t="s">
        <v>14853</v>
      </c>
      <c r="UXS1" s="46" t="s">
        <v>14854</v>
      </c>
      <c r="UXT1" s="46" t="s">
        <v>14855</v>
      </c>
      <c r="UXU1" s="46" t="s">
        <v>14856</v>
      </c>
      <c r="UXV1" s="46" t="s">
        <v>14857</v>
      </c>
      <c r="UXW1" s="46" t="s">
        <v>14858</v>
      </c>
      <c r="UXX1" s="46" t="s">
        <v>14859</v>
      </c>
      <c r="UXY1" s="46" t="s">
        <v>14860</v>
      </c>
      <c r="UXZ1" s="46" t="s">
        <v>14861</v>
      </c>
      <c r="UYA1" s="46" t="s">
        <v>14862</v>
      </c>
      <c r="UYB1" s="46" t="s">
        <v>14863</v>
      </c>
      <c r="UYC1" s="46" t="s">
        <v>14864</v>
      </c>
      <c r="UYD1" s="46" t="s">
        <v>14865</v>
      </c>
      <c r="UYE1" s="46" t="s">
        <v>14866</v>
      </c>
      <c r="UYF1" s="46" t="s">
        <v>14867</v>
      </c>
      <c r="UYG1" s="46" t="s">
        <v>14868</v>
      </c>
      <c r="UYH1" s="46" t="s">
        <v>14869</v>
      </c>
      <c r="UYI1" s="46" t="s">
        <v>14870</v>
      </c>
      <c r="UYJ1" s="46" t="s">
        <v>14871</v>
      </c>
      <c r="UYK1" s="46" t="s">
        <v>14872</v>
      </c>
      <c r="UYL1" s="46" t="s">
        <v>14873</v>
      </c>
      <c r="UYM1" s="46" t="s">
        <v>14874</v>
      </c>
      <c r="UYN1" s="46" t="s">
        <v>14875</v>
      </c>
      <c r="UYO1" s="46" t="s">
        <v>14876</v>
      </c>
      <c r="UYP1" s="46" t="s">
        <v>14877</v>
      </c>
      <c r="UYQ1" s="46" t="s">
        <v>14878</v>
      </c>
      <c r="UYR1" s="46" t="s">
        <v>14879</v>
      </c>
      <c r="UYS1" s="46" t="s">
        <v>14880</v>
      </c>
      <c r="UYT1" s="46" t="s">
        <v>14881</v>
      </c>
      <c r="UYU1" s="46" t="s">
        <v>14882</v>
      </c>
      <c r="UYV1" s="46" t="s">
        <v>14883</v>
      </c>
      <c r="UYW1" s="46" t="s">
        <v>14884</v>
      </c>
      <c r="UYX1" s="46" t="s">
        <v>14885</v>
      </c>
      <c r="UYY1" s="46" t="s">
        <v>14886</v>
      </c>
      <c r="UYZ1" s="46" t="s">
        <v>14887</v>
      </c>
      <c r="UZA1" s="46" t="s">
        <v>14888</v>
      </c>
      <c r="UZB1" s="46" t="s">
        <v>14889</v>
      </c>
      <c r="UZC1" s="46" t="s">
        <v>14890</v>
      </c>
      <c r="UZD1" s="46" t="s">
        <v>14891</v>
      </c>
      <c r="UZE1" s="46" t="s">
        <v>14892</v>
      </c>
      <c r="UZF1" s="46" t="s">
        <v>14893</v>
      </c>
      <c r="UZG1" s="46" t="s">
        <v>14894</v>
      </c>
      <c r="UZH1" s="46" t="s">
        <v>14895</v>
      </c>
      <c r="UZI1" s="46" t="s">
        <v>14896</v>
      </c>
      <c r="UZJ1" s="46" t="s">
        <v>14897</v>
      </c>
      <c r="UZK1" s="46" t="s">
        <v>14898</v>
      </c>
      <c r="UZL1" s="46" t="s">
        <v>14899</v>
      </c>
      <c r="UZM1" s="46" t="s">
        <v>14900</v>
      </c>
      <c r="UZN1" s="46" t="s">
        <v>14901</v>
      </c>
      <c r="UZO1" s="46" t="s">
        <v>14902</v>
      </c>
      <c r="UZP1" s="46" t="s">
        <v>14903</v>
      </c>
      <c r="UZQ1" s="46" t="s">
        <v>14904</v>
      </c>
      <c r="UZR1" s="46" t="s">
        <v>14905</v>
      </c>
      <c r="UZS1" s="46" t="s">
        <v>14906</v>
      </c>
      <c r="UZT1" s="46" t="s">
        <v>14907</v>
      </c>
      <c r="UZU1" s="46" t="s">
        <v>14908</v>
      </c>
      <c r="UZV1" s="46" t="s">
        <v>14909</v>
      </c>
      <c r="UZW1" s="46" t="s">
        <v>14910</v>
      </c>
      <c r="UZX1" s="46" t="s">
        <v>14911</v>
      </c>
      <c r="UZY1" s="46" t="s">
        <v>14912</v>
      </c>
      <c r="UZZ1" s="46" t="s">
        <v>14913</v>
      </c>
      <c r="VAA1" s="46" t="s">
        <v>14914</v>
      </c>
      <c r="VAB1" s="46" t="s">
        <v>14915</v>
      </c>
      <c r="VAC1" s="46" t="s">
        <v>14916</v>
      </c>
      <c r="VAD1" s="46" t="s">
        <v>14917</v>
      </c>
      <c r="VAE1" s="46" t="s">
        <v>14918</v>
      </c>
      <c r="VAF1" s="46" t="s">
        <v>14919</v>
      </c>
      <c r="VAG1" s="46" t="s">
        <v>14920</v>
      </c>
      <c r="VAH1" s="46" t="s">
        <v>14921</v>
      </c>
      <c r="VAI1" s="46" t="s">
        <v>14922</v>
      </c>
      <c r="VAJ1" s="46" t="s">
        <v>14923</v>
      </c>
      <c r="VAK1" s="46" t="s">
        <v>14924</v>
      </c>
      <c r="VAL1" s="46" t="s">
        <v>14925</v>
      </c>
      <c r="VAM1" s="46" t="s">
        <v>14926</v>
      </c>
      <c r="VAN1" s="46" t="s">
        <v>14927</v>
      </c>
      <c r="VAO1" s="46" t="s">
        <v>14928</v>
      </c>
      <c r="VAP1" s="46" t="s">
        <v>14929</v>
      </c>
      <c r="VAQ1" s="46" t="s">
        <v>14930</v>
      </c>
      <c r="VAR1" s="46" t="s">
        <v>14931</v>
      </c>
      <c r="VAS1" s="46" t="s">
        <v>14932</v>
      </c>
      <c r="VAT1" s="46" t="s">
        <v>14933</v>
      </c>
      <c r="VAU1" s="46" t="s">
        <v>14934</v>
      </c>
      <c r="VAV1" s="46" t="s">
        <v>14935</v>
      </c>
      <c r="VAW1" s="46" t="s">
        <v>14936</v>
      </c>
      <c r="VAX1" s="46" t="s">
        <v>14937</v>
      </c>
      <c r="VAY1" s="46" t="s">
        <v>14938</v>
      </c>
      <c r="VAZ1" s="46" t="s">
        <v>14939</v>
      </c>
      <c r="VBA1" s="46" t="s">
        <v>14940</v>
      </c>
      <c r="VBB1" s="46" t="s">
        <v>14941</v>
      </c>
      <c r="VBC1" s="46" t="s">
        <v>14942</v>
      </c>
      <c r="VBD1" s="46" t="s">
        <v>14943</v>
      </c>
      <c r="VBE1" s="46" t="s">
        <v>14944</v>
      </c>
      <c r="VBF1" s="46" t="s">
        <v>14945</v>
      </c>
      <c r="VBG1" s="46" t="s">
        <v>14946</v>
      </c>
      <c r="VBH1" s="46" t="s">
        <v>14947</v>
      </c>
      <c r="VBI1" s="46" t="s">
        <v>14948</v>
      </c>
      <c r="VBJ1" s="46" t="s">
        <v>14949</v>
      </c>
      <c r="VBK1" s="46" t="s">
        <v>14950</v>
      </c>
      <c r="VBL1" s="46" t="s">
        <v>14951</v>
      </c>
      <c r="VBM1" s="46" t="s">
        <v>14952</v>
      </c>
      <c r="VBN1" s="46" t="s">
        <v>14953</v>
      </c>
      <c r="VBO1" s="46" t="s">
        <v>14954</v>
      </c>
      <c r="VBP1" s="46" t="s">
        <v>14955</v>
      </c>
      <c r="VBQ1" s="46" t="s">
        <v>14956</v>
      </c>
      <c r="VBR1" s="46" t="s">
        <v>14957</v>
      </c>
      <c r="VBS1" s="46" t="s">
        <v>14958</v>
      </c>
      <c r="VBT1" s="46" t="s">
        <v>14959</v>
      </c>
      <c r="VBU1" s="46" t="s">
        <v>14960</v>
      </c>
      <c r="VBV1" s="46" t="s">
        <v>14961</v>
      </c>
      <c r="VBW1" s="46" t="s">
        <v>14962</v>
      </c>
      <c r="VBX1" s="46" t="s">
        <v>14963</v>
      </c>
      <c r="VBY1" s="46" t="s">
        <v>14964</v>
      </c>
      <c r="VBZ1" s="46" t="s">
        <v>14965</v>
      </c>
      <c r="VCA1" s="46" t="s">
        <v>14966</v>
      </c>
      <c r="VCB1" s="46" t="s">
        <v>14967</v>
      </c>
      <c r="VCC1" s="46" t="s">
        <v>14968</v>
      </c>
      <c r="VCD1" s="46" t="s">
        <v>14969</v>
      </c>
      <c r="VCE1" s="46" t="s">
        <v>14970</v>
      </c>
      <c r="VCF1" s="46" t="s">
        <v>14971</v>
      </c>
      <c r="VCG1" s="46" t="s">
        <v>14972</v>
      </c>
      <c r="VCH1" s="46" t="s">
        <v>14973</v>
      </c>
      <c r="VCI1" s="46" t="s">
        <v>14974</v>
      </c>
      <c r="VCJ1" s="46" t="s">
        <v>14975</v>
      </c>
      <c r="VCK1" s="46" t="s">
        <v>14976</v>
      </c>
      <c r="VCL1" s="46" t="s">
        <v>14977</v>
      </c>
      <c r="VCM1" s="46" t="s">
        <v>14978</v>
      </c>
      <c r="VCN1" s="46" t="s">
        <v>14979</v>
      </c>
      <c r="VCO1" s="46" t="s">
        <v>14980</v>
      </c>
      <c r="VCP1" s="46" t="s">
        <v>14981</v>
      </c>
      <c r="VCQ1" s="46" t="s">
        <v>14982</v>
      </c>
      <c r="VCR1" s="46" t="s">
        <v>14983</v>
      </c>
      <c r="VCS1" s="46" t="s">
        <v>14984</v>
      </c>
      <c r="VCT1" s="46" t="s">
        <v>14985</v>
      </c>
      <c r="VCU1" s="46" t="s">
        <v>14986</v>
      </c>
      <c r="VCV1" s="46" t="s">
        <v>14987</v>
      </c>
      <c r="VCW1" s="46" t="s">
        <v>14988</v>
      </c>
      <c r="VCX1" s="46" t="s">
        <v>14989</v>
      </c>
      <c r="VCY1" s="46" t="s">
        <v>14990</v>
      </c>
      <c r="VCZ1" s="46" t="s">
        <v>14991</v>
      </c>
      <c r="VDA1" s="46" t="s">
        <v>14992</v>
      </c>
      <c r="VDB1" s="46" t="s">
        <v>14993</v>
      </c>
      <c r="VDC1" s="46" t="s">
        <v>14994</v>
      </c>
      <c r="VDD1" s="46" t="s">
        <v>14995</v>
      </c>
      <c r="VDE1" s="46" t="s">
        <v>14996</v>
      </c>
      <c r="VDF1" s="46" t="s">
        <v>14997</v>
      </c>
      <c r="VDG1" s="46" t="s">
        <v>14998</v>
      </c>
      <c r="VDH1" s="46" t="s">
        <v>14999</v>
      </c>
      <c r="VDI1" s="46" t="s">
        <v>15000</v>
      </c>
      <c r="VDJ1" s="46" t="s">
        <v>15001</v>
      </c>
      <c r="VDK1" s="46" t="s">
        <v>15002</v>
      </c>
      <c r="VDL1" s="46" t="s">
        <v>15003</v>
      </c>
      <c r="VDM1" s="46" t="s">
        <v>15004</v>
      </c>
      <c r="VDN1" s="46" t="s">
        <v>15005</v>
      </c>
      <c r="VDO1" s="46" t="s">
        <v>15006</v>
      </c>
      <c r="VDP1" s="46" t="s">
        <v>15007</v>
      </c>
      <c r="VDQ1" s="46" t="s">
        <v>15008</v>
      </c>
      <c r="VDR1" s="46" t="s">
        <v>15009</v>
      </c>
      <c r="VDS1" s="46" t="s">
        <v>15010</v>
      </c>
      <c r="VDT1" s="46" t="s">
        <v>15011</v>
      </c>
      <c r="VDU1" s="46" t="s">
        <v>15012</v>
      </c>
      <c r="VDV1" s="46" t="s">
        <v>15013</v>
      </c>
      <c r="VDW1" s="46" t="s">
        <v>15014</v>
      </c>
      <c r="VDX1" s="46" t="s">
        <v>15015</v>
      </c>
      <c r="VDY1" s="46" t="s">
        <v>15016</v>
      </c>
      <c r="VDZ1" s="46" t="s">
        <v>15017</v>
      </c>
      <c r="VEA1" s="46" t="s">
        <v>15018</v>
      </c>
      <c r="VEB1" s="46" t="s">
        <v>15019</v>
      </c>
      <c r="VEC1" s="46" t="s">
        <v>15020</v>
      </c>
      <c r="VED1" s="46" t="s">
        <v>15021</v>
      </c>
      <c r="VEE1" s="46" t="s">
        <v>15022</v>
      </c>
      <c r="VEF1" s="46" t="s">
        <v>15023</v>
      </c>
      <c r="VEG1" s="46" t="s">
        <v>15024</v>
      </c>
      <c r="VEH1" s="46" t="s">
        <v>15025</v>
      </c>
      <c r="VEI1" s="46" t="s">
        <v>15026</v>
      </c>
      <c r="VEJ1" s="46" t="s">
        <v>15027</v>
      </c>
      <c r="VEK1" s="46" t="s">
        <v>15028</v>
      </c>
      <c r="VEL1" s="46" t="s">
        <v>15029</v>
      </c>
      <c r="VEM1" s="46" t="s">
        <v>15030</v>
      </c>
      <c r="VEN1" s="46" t="s">
        <v>15031</v>
      </c>
      <c r="VEO1" s="46" t="s">
        <v>15032</v>
      </c>
      <c r="VEP1" s="46" t="s">
        <v>15033</v>
      </c>
      <c r="VEQ1" s="46" t="s">
        <v>15034</v>
      </c>
      <c r="VER1" s="46" t="s">
        <v>15035</v>
      </c>
      <c r="VES1" s="46" t="s">
        <v>15036</v>
      </c>
      <c r="VET1" s="46" t="s">
        <v>15037</v>
      </c>
      <c r="VEU1" s="46" t="s">
        <v>15038</v>
      </c>
      <c r="VEV1" s="46" t="s">
        <v>15039</v>
      </c>
      <c r="VEW1" s="46" t="s">
        <v>15040</v>
      </c>
      <c r="VEX1" s="46" t="s">
        <v>15041</v>
      </c>
      <c r="VEY1" s="46" t="s">
        <v>15042</v>
      </c>
      <c r="VEZ1" s="46" t="s">
        <v>15043</v>
      </c>
      <c r="VFA1" s="46" t="s">
        <v>15044</v>
      </c>
      <c r="VFB1" s="46" t="s">
        <v>15045</v>
      </c>
      <c r="VFC1" s="46" t="s">
        <v>15046</v>
      </c>
      <c r="VFD1" s="46" t="s">
        <v>15047</v>
      </c>
      <c r="VFE1" s="46" t="s">
        <v>15048</v>
      </c>
      <c r="VFF1" s="46" t="s">
        <v>15049</v>
      </c>
      <c r="VFG1" s="46" t="s">
        <v>15050</v>
      </c>
      <c r="VFH1" s="46" t="s">
        <v>15051</v>
      </c>
      <c r="VFI1" s="46" t="s">
        <v>15052</v>
      </c>
      <c r="VFJ1" s="46" t="s">
        <v>15053</v>
      </c>
      <c r="VFK1" s="46" t="s">
        <v>15054</v>
      </c>
      <c r="VFL1" s="46" t="s">
        <v>15055</v>
      </c>
      <c r="VFM1" s="46" t="s">
        <v>15056</v>
      </c>
      <c r="VFN1" s="46" t="s">
        <v>15057</v>
      </c>
      <c r="VFO1" s="46" t="s">
        <v>15058</v>
      </c>
      <c r="VFP1" s="46" t="s">
        <v>15059</v>
      </c>
      <c r="VFQ1" s="46" t="s">
        <v>15060</v>
      </c>
      <c r="VFR1" s="46" t="s">
        <v>15061</v>
      </c>
      <c r="VFS1" s="46" t="s">
        <v>15062</v>
      </c>
      <c r="VFT1" s="46" t="s">
        <v>15063</v>
      </c>
      <c r="VFU1" s="46" t="s">
        <v>15064</v>
      </c>
      <c r="VFV1" s="46" t="s">
        <v>15065</v>
      </c>
      <c r="VFW1" s="46" t="s">
        <v>15066</v>
      </c>
      <c r="VFX1" s="46" t="s">
        <v>15067</v>
      </c>
      <c r="VFY1" s="46" t="s">
        <v>15068</v>
      </c>
      <c r="VFZ1" s="46" t="s">
        <v>15069</v>
      </c>
      <c r="VGA1" s="46" t="s">
        <v>15070</v>
      </c>
      <c r="VGB1" s="46" t="s">
        <v>15071</v>
      </c>
      <c r="VGC1" s="46" t="s">
        <v>15072</v>
      </c>
      <c r="VGD1" s="46" t="s">
        <v>15073</v>
      </c>
      <c r="VGE1" s="46" t="s">
        <v>15074</v>
      </c>
      <c r="VGF1" s="46" t="s">
        <v>15075</v>
      </c>
      <c r="VGG1" s="46" t="s">
        <v>15076</v>
      </c>
      <c r="VGH1" s="46" t="s">
        <v>15077</v>
      </c>
      <c r="VGI1" s="46" t="s">
        <v>15078</v>
      </c>
      <c r="VGJ1" s="46" t="s">
        <v>15079</v>
      </c>
      <c r="VGK1" s="46" t="s">
        <v>15080</v>
      </c>
      <c r="VGL1" s="46" t="s">
        <v>15081</v>
      </c>
      <c r="VGM1" s="46" t="s">
        <v>15082</v>
      </c>
      <c r="VGN1" s="46" t="s">
        <v>15083</v>
      </c>
      <c r="VGO1" s="46" t="s">
        <v>15084</v>
      </c>
      <c r="VGP1" s="46" t="s">
        <v>15085</v>
      </c>
      <c r="VGQ1" s="46" t="s">
        <v>15086</v>
      </c>
      <c r="VGR1" s="46" t="s">
        <v>15087</v>
      </c>
      <c r="VGS1" s="46" t="s">
        <v>15088</v>
      </c>
      <c r="VGT1" s="46" t="s">
        <v>15089</v>
      </c>
      <c r="VGU1" s="46" t="s">
        <v>15090</v>
      </c>
      <c r="VGV1" s="46" t="s">
        <v>15091</v>
      </c>
      <c r="VGW1" s="46" t="s">
        <v>15092</v>
      </c>
      <c r="VGX1" s="46" t="s">
        <v>15093</v>
      </c>
      <c r="VGY1" s="46" t="s">
        <v>15094</v>
      </c>
      <c r="VGZ1" s="46" t="s">
        <v>15095</v>
      </c>
      <c r="VHA1" s="46" t="s">
        <v>15096</v>
      </c>
      <c r="VHB1" s="46" t="s">
        <v>15097</v>
      </c>
      <c r="VHC1" s="46" t="s">
        <v>15098</v>
      </c>
      <c r="VHD1" s="46" t="s">
        <v>15099</v>
      </c>
      <c r="VHE1" s="46" t="s">
        <v>15100</v>
      </c>
      <c r="VHF1" s="46" t="s">
        <v>15101</v>
      </c>
      <c r="VHG1" s="46" t="s">
        <v>15102</v>
      </c>
      <c r="VHH1" s="46" t="s">
        <v>15103</v>
      </c>
      <c r="VHI1" s="46" t="s">
        <v>15104</v>
      </c>
      <c r="VHJ1" s="46" t="s">
        <v>15105</v>
      </c>
      <c r="VHK1" s="46" t="s">
        <v>15106</v>
      </c>
      <c r="VHL1" s="46" t="s">
        <v>15107</v>
      </c>
      <c r="VHM1" s="46" t="s">
        <v>15108</v>
      </c>
      <c r="VHN1" s="46" t="s">
        <v>15109</v>
      </c>
      <c r="VHO1" s="46" t="s">
        <v>15110</v>
      </c>
      <c r="VHP1" s="46" t="s">
        <v>15111</v>
      </c>
      <c r="VHQ1" s="46" t="s">
        <v>15112</v>
      </c>
      <c r="VHR1" s="46" t="s">
        <v>15113</v>
      </c>
      <c r="VHS1" s="46" t="s">
        <v>15114</v>
      </c>
      <c r="VHT1" s="46" t="s">
        <v>15115</v>
      </c>
      <c r="VHU1" s="46" t="s">
        <v>15116</v>
      </c>
      <c r="VHV1" s="46" t="s">
        <v>15117</v>
      </c>
      <c r="VHW1" s="46" t="s">
        <v>15118</v>
      </c>
      <c r="VHX1" s="46" t="s">
        <v>15119</v>
      </c>
      <c r="VHY1" s="46" t="s">
        <v>15120</v>
      </c>
      <c r="VHZ1" s="46" t="s">
        <v>15121</v>
      </c>
      <c r="VIA1" s="46" t="s">
        <v>15122</v>
      </c>
      <c r="VIB1" s="46" t="s">
        <v>15123</v>
      </c>
      <c r="VIC1" s="46" t="s">
        <v>15124</v>
      </c>
      <c r="VID1" s="46" t="s">
        <v>15125</v>
      </c>
      <c r="VIE1" s="46" t="s">
        <v>15126</v>
      </c>
      <c r="VIF1" s="46" t="s">
        <v>15127</v>
      </c>
      <c r="VIG1" s="46" t="s">
        <v>15128</v>
      </c>
      <c r="VIH1" s="46" t="s">
        <v>15129</v>
      </c>
      <c r="VII1" s="46" t="s">
        <v>15130</v>
      </c>
      <c r="VIJ1" s="46" t="s">
        <v>15131</v>
      </c>
      <c r="VIK1" s="46" t="s">
        <v>15132</v>
      </c>
      <c r="VIL1" s="46" t="s">
        <v>15133</v>
      </c>
      <c r="VIM1" s="46" t="s">
        <v>15134</v>
      </c>
      <c r="VIN1" s="46" t="s">
        <v>15135</v>
      </c>
      <c r="VIO1" s="46" t="s">
        <v>15136</v>
      </c>
      <c r="VIP1" s="46" t="s">
        <v>15137</v>
      </c>
      <c r="VIQ1" s="46" t="s">
        <v>15138</v>
      </c>
      <c r="VIR1" s="46" t="s">
        <v>15139</v>
      </c>
      <c r="VIS1" s="46" t="s">
        <v>15140</v>
      </c>
      <c r="VIT1" s="46" t="s">
        <v>15141</v>
      </c>
      <c r="VIU1" s="46" t="s">
        <v>15142</v>
      </c>
      <c r="VIV1" s="46" t="s">
        <v>15143</v>
      </c>
      <c r="VIW1" s="46" t="s">
        <v>15144</v>
      </c>
      <c r="VIX1" s="46" t="s">
        <v>15145</v>
      </c>
      <c r="VIY1" s="46" t="s">
        <v>15146</v>
      </c>
      <c r="VIZ1" s="46" t="s">
        <v>15147</v>
      </c>
      <c r="VJA1" s="46" t="s">
        <v>15148</v>
      </c>
      <c r="VJB1" s="46" t="s">
        <v>15149</v>
      </c>
      <c r="VJC1" s="46" t="s">
        <v>15150</v>
      </c>
      <c r="VJD1" s="46" t="s">
        <v>15151</v>
      </c>
      <c r="VJE1" s="46" t="s">
        <v>15152</v>
      </c>
      <c r="VJF1" s="46" t="s">
        <v>15153</v>
      </c>
      <c r="VJG1" s="46" t="s">
        <v>15154</v>
      </c>
      <c r="VJH1" s="46" t="s">
        <v>15155</v>
      </c>
      <c r="VJI1" s="46" t="s">
        <v>15156</v>
      </c>
      <c r="VJJ1" s="46" t="s">
        <v>15157</v>
      </c>
      <c r="VJK1" s="46" t="s">
        <v>15158</v>
      </c>
      <c r="VJL1" s="46" t="s">
        <v>15159</v>
      </c>
      <c r="VJM1" s="46" t="s">
        <v>15160</v>
      </c>
      <c r="VJN1" s="46" t="s">
        <v>15161</v>
      </c>
      <c r="VJO1" s="46" t="s">
        <v>15162</v>
      </c>
      <c r="VJP1" s="46" t="s">
        <v>15163</v>
      </c>
      <c r="VJQ1" s="46" t="s">
        <v>15164</v>
      </c>
      <c r="VJR1" s="46" t="s">
        <v>15165</v>
      </c>
      <c r="VJS1" s="46" t="s">
        <v>15166</v>
      </c>
      <c r="VJT1" s="46" t="s">
        <v>15167</v>
      </c>
      <c r="VJU1" s="46" t="s">
        <v>15168</v>
      </c>
      <c r="VJV1" s="46" t="s">
        <v>15169</v>
      </c>
      <c r="VJW1" s="46" t="s">
        <v>15170</v>
      </c>
      <c r="VJX1" s="46" t="s">
        <v>15171</v>
      </c>
      <c r="VJY1" s="46" t="s">
        <v>15172</v>
      </c>
      <c r="VJZ1" s="46" t="s">
        <v>15173</v>
      </c>
      <c r="VKA1" s="46" t="s">
        <v>15174</v>
      </c>
      <c r="VKB1" s="46" t="s">
        <v>15175</v>
      </c>
      <c r="VKC1" s="46" t="s">
        <v>15176</v>
      </c>
      <c r="VKD1" s="46" t="s">
        <v>15177</v>
      </c>
      <c r="VKE1" s="46" t="s">
        <v>15178</v>
      </c>
      <c r="VKF1" s="46" t="s">
        <v>15179</v>
      </c>
      <c r="VKG1" s="46" t="s">
        <v>15180</v>
      </c>
      <c r="VKH1" s="46" t="s">
        <v>15181</v>
      </c>
      <c r="VKI1" s="46" t="s">
        <v>15182</v>
      </c>
      <c r="VKJ1" s="46" t="s">
        <v>15183</v>
      </c>
      <c r="VKK1" s="46" t="s">
        <v>15184</v>
      </c>
      <c r="VKL1" s="46" t="s">
        <v>15185</v>
      </c>
      <c r="VKM1" s="46" t="s">
        <v>15186</v>
      </c>
      <c r="VKN1" s="46" t="s">
        <v>15187</v>
      </c>
      <c r="VKO1" s="46" t="s">
        <v>15188</v>
      </c>
      <c r="VKP1" s="46" t="s">
        <v>15189</v>
      </c>
      <c r="VKQ1" s="46" t="s">
        <v>15190</v>
      </c>
      <c r="VKR1" s="46" t="s">
        <v>15191</v>
      </c>
      <c r="VKS1" s="46" t="s">
        <v>15192</v>
      </c>
      <c r="VKT1" s="46" t="s">
        <v>15193</v>
      </c>
      <c r="VKU1" s="46" t="s">
        <v>15194</v>
      </c>
      <c r="VKV1" s="46" t="s">
        <v>15195</v>
      </c>
      <c r="VKW1" s="46" t="s">
        <v>15196</v>
      </c>
      <c r="VKX1" s="46" t="s">
        <v>15197</v>
      </c>
      <c r="VKY1" s="46" t="s">
        <v>15198</v>
      </c>
      <c r="VKZ1" s="46" t="s">
        <v>15199</v>
      </c>
      <c r="VLA1" s="46" t="s">
        <v>15200</v>
      </c>
      <c r="VLB1" s="46" t="s">
        <v>15201</v>
      </c>
      <c r="VLC1" s="46" t="s">
        <v>15202</v>
      </c>
      <c r="VLD1" s="46" t="s">
        <v>15203</v>
      </c>
      <c r="VLE1" s="46" t="s">
        <v>15204</v>
      </c>
      <c r="VLF1" s="46" t="s">
        <v>15205</v>
      </c>
      <c r="VLG1" s="46" t="s">
        <v>15206</v>
      </c>
      <c r="VLH1" s="46" t="s">
        <v>15207</v>
      </c>
      <c r="VLI1" s="46" t="s">
        <v>15208</v>
      </c>
      <c r="VLJ1" s="46" t="s">
        <v>15209</v>
      </c>
      <c r="VLK1" s="46" t="s">
        <v>15210</v>
      </c>
      <c r="VLL1" s="46" t="s">
        <v>15211</v>
      </c>
      <c r="VLM1" s="46" t="s">
        <v>15212</v>
      </c>
      <c r="VLN1" s="46" t="s">
        <v>15213</v>
      </c>
      <c r="VLO1" s="46" t="s">
        <v>15214</v>
      </c>
      <c r="VLP1" s="46" t="s">
        <v>15215</v>
      </c>
      <c r="VLQ1" s="46" t="s">
        <v>15216</v>
      </c>
      <c r="VLR1" s="46" t="s">
        <v>15217</v>
      </c>
      <c r="VLS1" s="46" t="s">
        <v>15218</v>
      </c>
      <c r="VLT1" s="46" t="s">
        <v>15219</v>
      </c>
      <c r="VLU1" s="46" t="s">
        <v>15220</v>
      </c>
      <c r="VLV1" s="46" t="s">
        <v>15221</v>
      </c>
      <c r="VLW1" s="46" t="s">
        <v>15222</v>
      </c>
      <c r="VLX1" s="46" t="s">
        <v>15223</v>
      </c>
      <c r="VLY1" s="46" t="s">
        <v>15224</v>
      </c>
      <c r="VLZ1" s="46" t="s">
        <v>15225</v>
      </c>
      <c r="VMA1" s="46" t="s">
        <v>15226</v>
      </c>
      <c r="VMB1" s="46" t="s">
        <v>15227</v>
      </c>
      <c r="VMC1" s="46" t="s">
        <v>15228</v>
      </c>
      <c r="VMD1" s="46" t="s">
        <v>15229</v>
      </c>
      <c r="VME1" s="46" t="s">
        <v>15230</v>
      </c>
      <c r="VMF1" s="46" t="s">
        <v>15231</v>
      </c>
      <c r="VMG1" s="46" t="s">
        <v>15232</v>
      </c>
      <c r="VMH1" s="46" t="s">
        <v>15233</v>
      </c>
      <c r="VMI1" s="46" t="s">
        <v>15234</v>
      </c>
      <c r="VMJ1" s="46" t="s">
        <v>15235</v>
      </c>
      <c r="VMK1" s="46" t="s">
        <v>15236</v>
      </c>
      <c r="VML1" s="46" t="s">
        <v>15237</v>
      </c>
      <c r="VMM1" s="46" t="s">
        <v>15238</v>
      </c>
      <c r="VMN1" s="46" t="s">
        <v>15239</v>
      </c>
      <c r="VMO1" s="46" t="s">
        <v>15240</v>
      </c>
      <c r="VMP1" s="46" t="s">
        <v>15241</v>
      </c>
      <c r="VMQ1" s="46" t="s">
        <v>15242</v>
      </c>
      <c r="VMR1" s="46" t="s">
        <v>15243</v>
      </c>
      <c r="VMS1" s="46" t="s">
        <v>15244</v>
      </c>
      <c r="VMT1" s="46" t="s">
        <v>15245</v>
      </c>
      <c r="VMU1" s="46" t="s">
        <v>15246</v>
      </c>
      <c r="VMV1" s="46" t="s">
        <v>15247</v>
      </c>
      <c r="VMW1" s="46" t="s">
        <v>15248</v>
      </c>
      <c r="VMX1" s="46" t="s">
        <v>15249</v>
      </c>
      <c r="VMY1" s="46" t="s">
        <v>15250</v>
      </c>
      <c r="VMZ1" s="46" t="s">
        <v>15251</v>
      </c>
      <c r="VNA1" s="46" t="s">
        <v>15252</v>
      </c>
      <c r="VNB1" s="46" t="s">
        <v>15253</v>
      </c>
      <c r="VNC1" s="46" t="s">
        <v>15254</v>
      </c>
      <c r="VND1" s="46" t="s">
        <v>15255</v>
      </c>
      <c r="VNE1" s="46" t="s">
        <v>15256</v>
      </c>
      <c r="VNF1" s="46" t="s">
        <v>15257</v>
      </c>
      <c r="VNG1" s="46" t="s">
        <v>15258</v>
      </c>
      <c r="VNH1" s="46" t="s">
        <v>15259</v>
      </c>
      <c r="VNI1" s="46" t="s">
        <v>15260</v>
      </c>
      <c r="VNJ1" s="46" t="s">
        <v>15261</v>
      </c>
      <c r="VNK1" s="46" t="s">
        <v>15262</v>
      </c>
      <c r="VNL1" s="46" t="s">
        <v>15263</v>
      </c>
      <c r="VNM1" s="46" t="s">
        <v>15264</v>
      </c>
      <c r="VNN1" s="46" t="s">
        <v>15265</v>
      </c>
      <c r="VNO1" s="46" t="s">
        <v>15266</v>
      </c>
      <c r="VNP1" s="46" t="s">
        <v>15267</v>
      </c>
      <c r="VNQ1" s="46" t="s">
        <v>15268</v>
      </c>
      <c r="VNR1" s="46" t="s">
        <v>15269</v>
      </c>
      <c r="VNS1" s="46" t="s">
        <v>15270</v>
      </c>
      <c r="VNT1" s="46" t="s">
        <v>15271</v>
      </c>
      <c r="VNU1" s="46" t="s">
        <v>15272</v>
      </c>
      <c r="VNV1" s="46" t="s">
        <v>15273</v>
      </c>
      <c r="VNW1" s="46" t="s">
        <v>15274</v>
      </c>
      <c r="VNX1" s="46" t="s">
        <v>15275</v>
      </c>
      <c r="VNY1" s="46" t="s">
        <v>15276</v>
      </c>
      <c r="VNZ1" s="46" t="s">
        <v>15277</v>
      </c>
      <c r="VOA1" s="46" t="s">
        <v>15278</v>
      </c>
      <c r="VOB1" s="46" t="s">
        <v>15279</v>
      </c>
      <c r="VOC1" s="46" t="s">
        <v>15280</v>
      </c>
      <c r="VOD1" s="46" t="s">
        <v>15281</v>
      </c>
      <c r="VOE1" s="46" t="s">
        <v>15282</v>
      </c>
      <c r="VOF1" s="46" t="s">
        <v>15283</v>
      </c>
      <c r="VOG1" s="46" t="s">
        <v>15284</v>
      </c>
      <c r="VOH1" s="46" t="s">
        <v>15285</v>
      </c>
      <c r="VOI1" s="46" t="s">
        <v>15286</v>
      </c>
      <c r="VOJ1" s="46" t="s">
        <v>15287</v>
      </c>
      <c r="VOK1" s="46" t="s">
        <v>15288</v>
      </c>
      <c r="VOL1" s="46" t="s">
        <v>15289</v>
      </c>
      <c r="VOM1" s="46" t="s">
        <v>15290</v>
      </c>
      <c r="VON1" s="46" t="s">
        <v>15291</v>
      </c>
      <c r="VOO1" s="46" t="s">
        <v>15292</v>
      </c>
      <c r="VOP1" s="46" t="s">
        <v>15293</v>
      </c>
      <c r="VOQ1" s="46" t="s">
        <v>15294</v>
      </c>
      <c r="VOR1" s="46" t="s">
        <v>15295</v>
      </c>
      <c r="VOS1" s="46" t="s">
        <v>15296</v>
      </c>
      <c r="VOT1" s="46" t="s">
        <v>15297</v>
      </c>
      <c r="VOU1" s="46" t="s">
        <v>15298</v>
      </c>
      <c r="VOV1" s="46" t="s">
        <v>15299</v>
      </c>
      <c r="VOW1" s="46" t="s">
        <v>15300</v>
      </c>
      <c r="VOX1" s="46" t="s">
        <v>15301</v>
      </c>
      <c r="VOY1" s="46" t="s">
        <v>15302</v>
      </c>
      <c r="VOZ1" s="46" t="s">
        <v>15303</v>
      </c>
      <c r="VPA1" s="46" t="s">
        <v>15304</v>
      </c>
      <c r="VPB1" s="46" t="s">
        <v>15305</v>
      </c>
      <c r="VPC1" s="46" t="s">
        <v>15306</v>
      </c>
      <c r="VPD1" s="46" t="s">
        <v>15307</v>
      </c>
      <c r="VPE1" s="46" t="s">
        <v>15308</v>
      </c>
      <c r="VPF1" s="46" t="s">
        <v>15309</v>
      </c>
      <c r="VPG1" s="46" t="s">
        <v>15310</v>
      </c>
      <c r="VPH1" s="46" t="s">
        <v>15311</v>
      </c>
      <c r="VPI1" s="46" t="s">
        <v>15312</v>
      </c>
      <c r="VPJ1" s="46" t="s">
        <v>15313</v>
      </c>
      <c r="VPK1" s="46" t="s">
        <v>15314</v>
      </c>
      <c r="VPL1" s="46" t="s">
        <v>15315</v>
      </c>
      <c r="VPM1" s="46" t="s">
        <v>15316</v>
      </c>
      <c r="VPN1" s="46" t="s">
        <v>15317</v>
      </c>
      <c r="VPO1" s="46" t="s">
        <v>15318</v>
      </c>
      <c r="VPP1" s="46" t="s">
        <v>15319</v>
      </c>
      <c r="VPQ1" s="46" t="s">
        <v>15320</v>
      </c>
      <c r="VPR1" s="46" t="s">
        <v>15321</v>
      </c>
      <c r="VPS1" s="46" t="s">
        <v>15322</v>
      </c>
      <c r="VPT1" s="46" t="s">
        <v>15323</v>
      </c>
      <c r="VPU1" s="46" t="s">
        <v>15324</v>
      </c>
      <c r="VPV1" s="46" t="s">
        <v>15325</v>
      </c>
      <c r="VPW1" s="46" t="s">
        <v>15326</v>
      </c>
      <c r="VPX1" s="46" t="s">
        <v>15327</v>
      </c>
      <c r="VPY1" s="46" t="s">
        <v>15328</v>
      </c>
      <c r="VPZ1" s="46" t="s">
        <v>15329</v>
      </c>
      <c r="VQA1" s="46" t="s">
        <v>15330</v>
      </c>
      <c r="VQB1" s="46" t="s">
        <v>15331</v>
      </c>
      <c r="VQC1" s="46" t="s">
        <v>15332</v>
      </c>
      <c r="VQD1" s="46" t="s">
        <v>15333</v>
      </c>
      <c r="VQE1" s="46" t="s">
        <v>15334</v>
      </c>
      <c r="VQF1" s="46" t="s">
        <v>15335</v>
      </c>
      <c r="VQG1" s="46" t="s">
        <v>15336</v>
      </c>
      <c r="VQH1" s="46" t="s">
        <v>15337</v>
      </c>
      <c r="VQI1" s="46" t="s">
        <v>15338</v>
      </c>
      <c r="VQJ1" s="46" t="s">
        <v>15339</v>
      </c>
      <c r="VQK1" s="46" t="s">
        <v>15340</v>
      </c>
      <c r="VQL1" s="46" t="s">
        <v>15341</v>
      </c>
      <c r="VQM1" s="46" t="s">
        <v>15342</v>
      </c>
      <c r="VQN1" s="46" t="s">
        <v>15343</v>
      </c>
      <c r="VQO1" s="46" t="s">
        <v>15344</v>
      </c>
      <c r="VQP1" s="46" t="s">
        <v>15345</v>
      </c>
      <c r="VQQ1" s="46" t="s">
        <v>15346</v>
      </c>
      <c r="VQR1" s="46" t="s">
        <v>15347</v>
      </c>
      <c r="VQS1" s="46" t="s">
        <v>15348</v>
      </c>
      <c r="VQT1" s="46" t="s">
        <v>15349</v>
      </c>
      <c r="VQU1" s="46" t="s">
        <v>15350</v>
      </c>
      <c r="VQV1" s="46" t="s">
        <v>15351</v>
      </c>
      <c r="VQW1" s="46" t="s">
        <v>15352</v>
      </c>
      <c r="VQX1" s="46" t="s">
        <v>15353</v>
      </c>
      <c r="VQY1" s="46" t="s">
        <v>15354</v>
      </c>
      <c r="VQZ1" s="46" t="s">
        <v>15355</v>
      </c>
      <c r="VRA1" s="46" t="s">
        <v>15356</v>
      </c>
      <c r="VRB1" s="46" t="s">
        <v>15357</v>
      </c>
      <c r="VRC1" s="46" t="s">
        <v>15358</v>
      </c>
      <c r="VRD1" s="46" t="s">
        <v>15359</v>
      </c>
      <c r="VRE1" s="46" t="s">
        <v>15360</v>
      </c>
      <c r="VRF1" s="46" t="s">
        <v>15361</v>
      </c>
      <c r="VRG1" s="46" t="s">
        <v>15362</v>
      </c>
      <c r="VRH1" s="46" t="s">
        <v>15363</v>
      </c>
      <c r="VRI1" s="46" t="s">
        <v>15364</v>
      </c>
      <c r="VRJ1" s="46" t="s">
        <v>15365</v>
      </c>
      <c r="VRK1" s="46" t="s">
        <v>15366</v>
      </c>
      <c r="VRL1" s="46" t="s">
        <v>15367</v>
      </c>
      <c r="VRM1" s="46" t="s">
        <v>15368</v>
      </c>
      <c r="VRN1" s="46" t="s">
        <v>15369</v>
      </c>
      <c r="VRO1" s="46" t="s">
        <v>15370</v>
      </c>
      <c r="VRP1" s="46" t="s">
        <v>15371</v>
      </c>
      <c r="VRQ1" s="46" t="s">
        <v>15372</v>
      </c>
      <c r="VRR1" s="46" t="s">
        <v>15373</v>
      </c>
      <c r="VRS1" s="46" t="s">
        <v>15374</v>
      </c>
      <c r="VRT1" s="46" t="s">
        <v>15375</v>
      </c>
      <c r="VRU1" s="46" t="s">
        <v>15376</v>
      </c>
      <c r="VRV1" s="46" t="s">
        <v>15377</v>
      </c>
      <c r="VRW1" s="46" t="s">
        <v>15378</v>
      </c>
      <c r="VRX1" s="46" t="s">
        <v>15379</v>
      </c>
      <c r="VRY1" s="46" t="s">
        <v>15380</v>
      </c>
      <c r="VRZ1" s="46" t="s">
        <v>15381</v>
      </c>
      <c r="VSA1" s="46" t="s">
        <v>15382</v>
      </c>
      <c r="VSB1" s="46" t="s">
        <v>15383</v>
      </c>
      <c r="VSC1" s="46" t="s">
        <v>15384</v>
      </c>
      <c r="VSD1" s="46" t="s">
        <v>15385</v>
      </c>
      <c r="VSE1" s="46" t="s">
        <v>15386</v>
      </c>
      <c r="VSF1" s="46" t="s">
        <v>15387</v>
      </c>
      <c r="VSG1" s="46" t="s">
        <v>15388</v>
      </c>
      <c r="VSH1" s="46" t="s">
        <v>15389</v>
      </c>
      <c r="VSI1" s="46" t="s">
        <v>15390</v>
      </c>
      <c r="VSJ1" s="46" t="s">
        <v>15391</v>
      </c>
      <c r="VSK1" s="46" t="s">
        <v>15392</v>
      </c>
      <c r="VSL1" s="46" t="s">
        <v>15393</v>
      </c>
      <c r="VSM1" s="46" t="s">
        <v>15394</v>
      </c>
      <c r="VSN1" s="46" t="s">
        <v>15395</v>
      </c>
      <c r="VSO1" s="46" t="s">
        <v>15396</v>
      </c>
      <c r="VSP1" s="46" t="s">
        <v>15397</v>
      </c>
      <c r="VSQ1" s="46" t="s">
        <v>15398</v>
      </c>
      <c r="VSR1" s="46" t="s">
        <v>15399</v>
      </c>
      <c r="VSS1" s="46" t="s">
        <v>15400</v>
      </c>
      <c r="VST1" s="46" t="s">
        <v>15401</v>
      </c>
      <c r="VSU1" s="46" t="s">
        <v>15402</v>
      </c>
      <c r="VSV1" s="46" t="s">
        <v>15403</v>
      </c>
      <c r="VSW1" s="46" t="s">
        <v>15404</v>
      </c>
      <c r="VSX1" s="46" t="s">
        <v>15405</v>
      </c>
      <c r="VSY1" s="46" t="s">
        <v>15406</v>
      </c>
      <c r="VSZ1" s="46" t="s">
        <v>15407</v>
      </c>
      <c r="VTA1" s="46" t="s">
        <v>15408</v>
      </c>
      <c r="VTB1" s="46" t="s">
        <v>15409</v>
      </c>
      <c r="VTC1" s="46" t="s">
        <v>15410</v>
      </c>
      <c r="VTD1" s="46" t="s">
        <v>15411</v>
      </c>
      <c r="VTE1" s="46" t="s">
        <v>15412</v>
      </c>
      <c r="VTF1" s="46" t="s">
        <v>15413</v>
      </c>
      <c r="VTG1" s="46" t="s">
        <v>15414</v>
      </c>
      <c r="VTH1" s="46" t="s">
        <v>15415</v>
      </c>
      <c r="VTI1" s="46" t="s">
        <v>15416</v>
      </c>
      <c r="VTJ1" s="46" t="s">
        <v>15417</v>
      </c>
      <c r="VTK1" s="46" t="s">
        <v>15418</v>
      </c>
      <c r="VTL1" s="46" t="s">
        <v>15419</v>
      </c>
      <c r="VTM1" s="46" t="s">
        <v>15420</v>
      </c>
      <c r="VTN1" s="46" t="s">
        <v>15421</v>
      </c>
      <c r="VTO1" s="46" t="s">
        <v>15422</v>
      </c>
      <c r="VTP1" s="46" t="s">
        <v>15423</v>
      </c>
      <c r="VTQ1" s="46" t="s">
        <v>15424</v>
      </c>
      <c r="VTR1" s="46" t="s">
        <v>15425</v>
      </c>
      <c r="VTS1" s="46" t="s">
        <v>15426</v>
      </c>
      <c r="VTT1" s="46" t="s">
        <v>15427</v>
      </c>
      <c r="VTU1" s="46" t="s">
        <v>15428</v>
      </c>
      <c r="VTV1" s="46" t="s">
        <v>15429</v>
      </c>
      <c r="VTW1" s="46" t="s">
        <v>15430</v>
      </c>
      <c r="VTX1" s="46" t="s">
        <v>15431</v>
      </c>
      <c r="VTY1" s="46" t="s">
        <v>15432</v>
      </c>
      <c r="VTZ1" s="46" t="s">
        <v>15433</v>
      </c>
      <c r="VUA1" s="46" t="s">
        <v>15434</v>
      </c>
      <c r="VUB1" s="46" t="s">
        <v>15435</v>
      </c>
      <c r="VUC1" s="46" t="s">
        <v>15436</v>
      </c>
      <c r="VUD1" s="46" t="s">
        <v>15437</v>
      </c>
      <c r="VUE1" s="46" t="s">
        <v>15438</v>
      </c>
      <c r="VUF1" s="46" t="s">
        <v>15439</v>
      </c>
      <c r="VUG1" s="46" t="s">
        <v>15440</v>
      </c>
      <c r="VUH1" s="46" t="s">
        <v>15441</v>
      </c>
      <c r="VUI1" s="46" t="s">
        <v>15442</v>
      </c>
      <c r="VUJ1" s="46" t="s">
        <v>15443</v>
      </c>
      <c r="VUK1" s="46" t="s">
        <v>15444</v>
      </c>
      <c r="VUL1" s="46" t="s">
        <v>15445</v>
      </c>
      <c r="VUM1" s="46" t="s">
        <v>15446</v>
      </c>
      <c r="VUN1" s="46" t="s">
        <v>15447</v>
      </c>
      <c r="VUO1" s="46" t="s">
        <v>15448</v>
      </c>
      <c r="VUP1" s="46" t="s">
        <v>15449</v>
      </c>
      <c r="VUQ1" s="46" t="s">
        <v>15450</v>
      </c>
      <c r="VUR1" s="46" t="s">
        <v>15451</v>
      </c>
      <c r="VUS1" s="46" t="s">
        <v>15452</v>
      </c>
      <c r="VUT1" s="46" t="s">
        <v>15453</v>
      </c>
      <c r="VUU1" s="46" t="s">
        <v>15454</v>
      </c>
      <c r="VUV1" s="46" t="s">
        <v>15455</v>
      </c>
      <c r="VUW1" s="46" t="s">
        <v>15456</v>
      </c>
      <c r="VUX1" s="46" t="s">
        <v>15457</v>
      </c>
      <c r="VUY1" s="46" t="s">
        <v>15458</v>
      </c>
      <c r="VUZ1" s="46" t="s">
        <v>15459</v>
      </c>
      <c r="VVA1" s="46" t="s">
        <v>15460</v>
      </c>
      <c r="VVB1" s="46" t="s">
        <v>15461</v>
      </c>
      <c r="VVC1" s="46" t="s">
        <v>15462</v>
      </c>
      <c r="VVD1" s="46" t="s">
        <v>15463</v>
      </c>
      <c r="VVE1" s="46" t="s">
        <v>15464</v>
      </c>
      <c r="VVF1" s="46" t="s">
        <v>15465</v>
      </c>
      <c r="VVG1" s="46" t="s">
        <v>15466</v>
      </c>
      <c r="VVH1" s="46" t="s">
        <v>15467</v>
      </c>
      <c r="VVI1" s="46" t="s">
        <v>15468</v>
      </c>
      <c r="VVJ1" s="46" t="s">
        <v>15469</v>
      </c>
      <c r="VVK1" s="46" t="s">
        <v>15470</v>
      </c>
      <c r="VVL1" s="46" t="s">
        <v>15471</v>
      </c>
      <c r="VVM1" s="46" t="s">
        <v>15472</v>
      </c>
      <c r="VVN1" s="46" t="s">
        <v>15473</v>
      </c>
      <c r="VVO1" s="46" t="s">
        <v>15474</v>
      </c>
      <c r="VVP1" s="46" t="s">
        <v>15475</v>
      </c>
      <c r="VVQ1" s="46" t="s">
        <v>15476</v>
      </c>
      <c r="VVR1" s="46" t="s">
        <v>15477</v>
      </c>
      <c r="VVS1" s="46" t="s">
        <v>15478</v>
      </c>
      <c r="VVT1" s="46" t="s">
        <v>15479</v>
      </c>
      <c r="VVU1" s="46" t="s">
        <v>15480</v>
      </c>
      <c r="VVV1" s="46" t="s">
        <v>15481</v>
      </c>
      <c r="VVW1" s="46" t="s">
        <v>15482</v>
      </c>
      <c r="VVX1" s="46" t="s">
        <v>15483</v>
      </c>
      <c r="VVY1" s="46" t="s">
        <v>15484</v>
      </c>
      <c r="VVZ1" s="46" t="s">
        <v>15485</v>
      </c>
      <c r="VWA1" s="46" t="s">
        <v>15486</v>
      </c>
      <c r="VWB1" s="46" t="s">
        <v>15487</v>
      </c>
      <c r="VWC1" s="46" t="s">
        <v>15488</v>
      </c>
      <c r="VWD1" s="46" t="s">
        <v>15489</v>
      </c>
      <c r="VWE1" s="46" t="s">
        <v>15490</v>
      </c>
      <c r="VWF1" s="46" t="s">
        <v>15491</v>
      </c>
      <c r="VWG1" s="46" t="s">
        <v>15492</v>
      </c>
      <c r="VWH1" s="46" t="s">
        <v>15493</v>
      </c>
      <c r="VWI1" s="46" t="s">
        <v>15494</v>
      </c>
      <c r="VWJ1" s="46" t="s">
        <v>15495</v>
      </c>
      <c r="VWK1" s="46" t="s">
        <v>15496</v>
      </c>
      <c r="VWL1" s="46" t="s">
        <v>15497</v>
      </c>
      <c r="VWM1" s="46" t="s">
        <v>15498</v>
      </c>
      <c r="VWN1" s="46" t="s">
        <v>15499</v>
      </c>
      <c r="VWO1" s="46" t="s">
        <v>15500</v>
      </c>
      <c r="VWP1" s="46" t="s">
        <v>15501</v>
      </c>
      <c r="VWQ1" s="46" t="s">
        <v>15502</v>
      </c>
      <c r="VWR1" s="46" t="s">
        <v>15503</v>
      </c>
      <c r="VWS1" s="46" t="s">
        <v>15504</v>
      </c>
      <c r="VWT1" s="46" t="s">
        <v>15505</v>
      </c>
      <c r="VWU1" s="46" t="s">
        <v>15506</v>
      </c>
      <c r="VWV1" s="46" t="s">
        <v>15507</v>
      </c>
      <c r="VWW1" s="46" t="s">
        <v>15508</v>
      </c>
      <c r="VWX1" s="46" t="s">
        <v>15509</v>
      </c>
      <c r="VWY1" s="46" t="s">
        <v>15510</v>
      </c>
      <c r="VWZ1" s="46" t="s">
        <v>15511</v>
      </c>
      <c r="VXA1" s="46" t="s">
        <v>15512</v>
      </c>
      <c r="VXB1" s="46" t="s">
        <v>15513</v>
      </c>
      <c r="VXC1" s="46" t="s">
        <v>15514</v>
      </c>
      <c r="VXD1" s="46" t="s">
        <v>15515</v>
      </c>
      <c r="VXE1" s="46" t="s">
        <v>15516</v>
      </c>
      <c r="VXF1" s="46" t="s">
        <v>15517</v>
      </c>
      <c r="VXG1" s="46" t="s">
        <v>15518</v>
      </c>
      <c r="VXH1" s="46" t="s">
        <v>15519</v>
      </c>
      <c r="VXI1" s="46" t="s">
        <v>15520</v>
      </c>
      <c r="VXJ1" s="46" t="s">
        <v>15521</v>
      </c>
      <c r="VXK1" s="46" t="s">
        <v>15522</v>
      </c>
      <c r="VXL1" s="46" t="s">
        <v>15523</v>
      </c>
      <c r="VXM1" s="46" t="s">
        <v>15524</v>
      </c>
      <c r="VXN1" s="46" t="s">
        <v>15525</v>
      </c>
      <c r="VXO1" s="46" t="s">
        <v>15526</v>
      </c>
      <c r="VXP1" s="46" t="s">
        <v>15527</v>
      </c>
      <c r="VXQ1" s="46" t="s">
        <v>15528</v>
      </c>
      <c r="VXR1" s="46" t="s">
        <v>15529</v>
      </c>
      <c r="VXS1" s="46" t="s">
        <v>15530</v>
      </c>
      <c r="VXT1" s="46" t="s">
        <v>15531</v>
      </c>
      <c r="VXU1" s="46" t="s">
        <v>15532</v>
      </c>
      <c r="VXV1" s="46" t="s">
        <v>15533</v>
      </c>
      <c r="VXW1" s="46" t="s">
        <v>15534</v>
      </c>
      <c r="VXX1" s="46" t="s">
        <v>15535</v>
      </c>
      <c r="VXY1" s="46" t="s">
        <v>15536</v>
      </c>
      <c r="VXZ1" s="46" t="s">
        <v>15537</v>
      </c>
      <c r="VYA1" s="46" t="s">
        <v>15538</v>
      </c>
      <c r="VYB1" s="46" t="s">
        <v>15539</v>
      </c>
      <c r="VYC1" s="46" t="s">
        <v>15540</v>
      </c>
      <c r="VYD1" s="46" t="s">
        <v>15541</v>
      </c>
      <c r="VYE1" s="46" t="s">
        <v>15542</v>
      </c>
      <c r="VYF1" s="46" t="s">
        <v>15543</v>
      </c>
      <c r="VYG1" s="46" t="s">
        <v>15544</v>
      </c>
      <c r="VYH1" s="46" t="s">
        <v>15545</v>
      </c>
      <c r="VYI1" s="46" t="s">
        <v>15546</v>
      </c>
      <c r="VYJ1" s="46" t="s">
        <v>15547</v>
      </c>
      <c r="VYK1" s="46" t="s">
        <v>15548</v>
      </c>
      <c r="VYL1" s="46" t="s">
        <v>15549</v>
      </c>
      <c r="VYM1" s="46" t="s">
        <v>15550</v>
      </c>
      <c r="VYN1" s="46" t="s">
        <v>15551</v>
      </c>
      <c r="VYO1" s="46" t="s">
        <v>15552</v>
      </c>
      <c r="VYP1" s="46" t="s">
        <v>15553</v>
      </c>
      <c r="VYQ1" s="46" t="s">
        <v>15554</v>
      </c>
      <c r="VYR1" s="46" t="s">
        <v>15555</v>
      </c>
      <c r="VYS1" s="46" t="s">
        <v>15556</v>
      </c>
      <c r="VYT1" s="46" t="s">
        <v>15557</v>
      </c>
      <c r="VYU1" s="46" t="s">
        <v>15558</v>
      </c>
      <c r="VYV1" s="46" t="s">
        <v>15559</v>
      </c>
      <c r="VYW1" s="46" t="s">
        <v>15560</v>
      </c>
      <c r="VYX1" s="46" t="s">
        <v>15561</v>
      </c>
      <c r="VYY1" s="46" t="s">
        <v>15562</v>
      </c>
      <c r="VYZ1" s="46" t="s">
        <v>15563</v>
      </c>
      <c r="VZA1" s="46" t="s">
        <v>15564</v>
      </c>
      <c r="VZB1" s="46" t="s">
        <v>15565</v>
      </c>
      <c r="VZC1" s="46" t="s">
        <v>15566</v>
      </c>
      <c r="VZD1" s="46" t="s">
        <v>15567</v>
      </c>
      <c r="VZE1" s="46" t="s">
        <v>15568</v>
      </c>
      <c r="VZF1" s="46" t="s">
        <v>15569</v>
      </c>
      <c r="VZG1" s="46" t="s">
        <v>15570</v>
      </c>
      <c r="VZH1" s="46" t="s">
        <v>15571</v>
      </c>
      <c r="VZI1" s="46" t="s">
        <v>15572</v>
      </c>
      <c r="VZJ1" s="46" t="s">
        <v>15573</v>
      </c>
      <c r="VZK1" s="46" t="s">
        <v>15574</v>
      </c>
      <c r="VZL1" s="46" t="s">
        <v>15575</v>
      </c>
      <c r="VZM1" s="46" t="s">
        <v>15576</v>
      </c>
      <c r="VZN1" s="46" t="s">
        <v>15577</v>
      </c>
      <c r="VZO1" s="46" t="s">
        <v>15578</v>
      </c>
      <c r="VZP1" s="46" t="s">
        <v>15579</v>
      </c>
      <c r="VZQ1" s="46" t="s">
        <v>15580</v>
      </c>
      <c r="VZR1" s="46" t="s">
        <v>15581</v>
      </c>
      <c r="VZS1" s="46" t="s">
        <v>15582</v>
      </c>
      <c r="VZT1" s="46" t="s">
        <v>15583</v>
      </c>
      <c r="VZU1" s="46" t="s">
        <v>15584</v>
      </c>
      <c r="VZV1" s="46" t="s">
        <v>15585</v>
      </c>
      <c r="VZW1" s="46" t="s">
        <v>15586</v>
      </c>
      <c r="VZX1" s="46" t="s">
        <v>15587</v>
      </c>
      <c r="VZY1" s="46" t="s">
        <v>15588</v>
      </c>
      <c r="VZZ1" s="46" t="s">
        <v>15589</v>
      </c>
      <c r="WAA1" s="46" t="s">
        <v>15590</v>
      </c>
      <c r="WAB1" s="46" t="s">
        <v>15591</v>
      </c>
      <c r="WAC1" s="46" t="s">
        <v>15592</v>
      </c>
      <c r="WAD1" s="46" t="s">
        <v>15593</v>
      </c>
      <c r="WAE1" s="46" t="s">
        <v>15594</v>
      </c>
      <c r="WAF1" s="46" t="s">
        <v>15595</v>
      </c>
      <c r="WAG1" s="46" t="s">
        <v>15596</v>
      </c>
      <c r="WAH1" s="46" t="s">
        <v>15597</v>
      </c>
      <c r="WAI1" s="46" t="s">
        <v>15598</v>
      </c>
      <c r="WAJ1" s="46" t="s">
        <v>15599</v>
      </c>
      <c r="WAK1" s="46" t="s">
        <v>15600</v>
      </c>
      <c r="WAL1" s="46" t="s">
        <v>15601</v>
      </c>
      <c r="WAM1" s="46" t="s">
        <v>15602</v>
      </c>
      <c r="WAN1" s="46" t="s">
        <v>15603</v>
      </c>
      <c r="WAO1" s="46" t="s">
        <v>15604</v>
      </c>
      <c r="WAP1" s="46" t="s">
        <v>15605</v>
      </c>
      <c r="WAQ1" s="46" t="s">
        <v>15606</v>
      </c>
      <c r="WAR1" s="46" t="s">
        <v>15607</v>
      </c>
      <c r="WAS1" s="46" t="s">
        <v>15608</v>
      </c>
      <c r="WAT1" s="46" t="s">
        <v>15609</v>
      </c>
      <c r="WAU1" s="46" t="s">
        <v>15610</v>
      </c>
      <c r="WAV1" s="46" t="s">
        <v>15611</v>
      </c>
      <c r="WAW1" s="46" t="s">
        <v>15612</v>
      </c>
      <c r="WAX1" s="46" t="s">
        <v>15613</v>
      </c>
      <c r="WAY1" s="46" t="s">
        <v>15614</v>
      </c>
      <c r="WAZ1" s="46" t="s">
        <v>15615</v>
      </c>
      <c r="WBA1" s="46" t="s">
        <v>15616</v>
      </c>
      <c r="WBB1" s="46" t="s">
        <v>15617</v>
      </c>
      <c r="WBC1" s="46" t="s">
        <v>15618</v>
      </c>
      <c r="WBD1" s="46" t="s">
        <v>15619</v>
      </c>
      <c r="WBE1" s="46" t="s">
        <v>15620</v>
      </c>
      <c r="WBF1" s="46" t="s">
        <v>15621</v>
      </c>
      <c r="WBG1" s="46" t="s">
        <v>15622</v>
      </c>
      <c r="WBH1" s="46" t="s">
        <v>15623</v>
      </c>
      <c r="WBI1" s="46" t="s">
        <v>15624</v>
      </c>
      <c r="WBJ1" s="46" t="s">
        <v>15625</v>
      </c>
      <c r="WBK1" s="46" t="s">
        <v>15626</v>
      </c>
      <c r="WBL1" s="46" t="s">
        <v>15627</v>
      </c>
      <c r="WBM1" s="46" t="s">
        <v>15628</v>
      </c>
      <c r="WBN1" s="46" t="s">
        <v>15629</v>
      </c>
      <c r="WBO1" s="46" t="s">
        <v>15630</v>
      </c>
      <c r="WBP1" s="46" t="s">
        <v>15631</v>
      </c>
      <c r="WBQ1" s="46" t="s">
        <v>15632</v>
      </c>
      <c r="WBR1" s="46" t="s">
        <v>15633</v>
      </c>
      <c r="WBS1" s="46" t="s">
        <v>15634</v>
      </c>
      <c r="WBT1" s="46" t="s">
        <v>15635</v>
      </c>
      <c r="WBU1" s="46" t="s">
        <v>15636</v>
      </c>
      <c r="WBV1" s="46" t="s">
        <v>15637</v>
      </c>
      <c r="WBW1" s="46" t="s">
        <v>15638</v>
      </c>
      <c r="WBX1" s="46" t="s">
        <v>15639</v>
      </c>
      <c r="WBY1" s="46" t="s">
        <v>15640</v>
      </c>
      <c r="WBZ1" s="46" t="s">
        <v>15641</v>
      </c>
      <c r="WCA1" s="46" t="s">
        <v>15642</v>
      </c>
      <c r="WCB1" s="46" t="s">
        <v>15643</v>
      </c>
      <c r="WCC1" s="46" t="s">
        <v>15644</v>
      </c>
      <c r="WCD1" s="46" t="s">
        <v>15645</v>
      </c>
      <c r="WCE1" s="46" t="s">
        <v>15646</v>
      </c>
      <c r="WCF1" s="46" t="s">
        <v>15647</v>
      </c>
      <c r="WCG1" s="46" t="s">
        <v>15648</v>
      </c>
      <c r="WCH1" s="46" t="s">
        <v>15649</v>
      </c>
      <c r="WCI1" s="46" t="s">
        <v>15650</v>
      </c>
      <c r="WCJ1" s="46" t="s">
        <v>15651</v>
      </c>
      <c r="WCK1" s="46" t="s">
        <v>15652</v>
      </c>
      <c r="WCL1" s="46" t="s">
        <v>15653</v>
      </c>
      <c r="WCM1" s="46" t="s">
        <v>15654</v>
      </c>
      <c r="WCN1" s="46" t="s">
        <v>15655</v>
      </c>
      <c r="WCO1" s="46" t="s">
        <v>15656</v>
      </c>
      <c r="WCP1" s="46" t="s">
        <v>15657</v>
      </c>
      <c r="WCQ1" s="46" t="s">
        <v>15658</v>
      </c>
      <c r="WCR1" s="46" t="s">
        <v>15659</v>
      </c>
      <c r="WCS1" s="46" t="s">
        <v>15660</v>
      </c>
      <c r="WCT1" s="46" t="s">
        <v>15661</v>
      </c>
      <c r="WCU1" s="46" t="s">
        <v>15662</v>
      </c>
      <c r="WCV1" s="46" t="s">
        <v>15663</v>
      </c>
      <c r="WCW1" s="46" t="s">
        <v>15664</v>
      </c>
      <c r="WCX1" s="46" t="s">
        <v>15665</v>
      </c>
      <c r="WCY1" s="46" t="s">
        <v>15666</v>
      </c>
      <c r="WCZ1" s="46" t="s">
        <v>15667</v>
      </c>
      <c r="WDA1" s="46" t="s">
        <v>15668</v>
      </c>
      <c r="WDB1" s="46" t="s">
        <v>15669</v>
      </c>
      <c r="WDC1" s="46" t="s">
        <v>15670</v>
      </c>
      <c r="WDD1" s="46" t="s">
        <v>15671</v>
      </c>
      <c r="WDE1" s="46" t="s">
        <v>15672</v>
      </c>
      <c r="WDF1" s="46" t="s">
        <v>15673</v>
      </c>
      <c r="WDG1" s="46" t="s">
        <v>15674</v>
      </c>
      <c r="WDH1" s="46" t="s">
        <v>15675</v>
      </c>
      <c r="WDI1" s="46" t="s">
        <v>15676</v>
      </c>
      <c r="WDJ1" s="46" t="s">
        <v>15677</v>
      </c>
      <c r="WDK1" s="46" t="s">
        <v>15678</v>
      </c>
      <c r="WDL1" s="46" t="s">
        <v>15679</v>
      </c>
      <c r="WDM1" s="46" t="s">
        <v>15680</v>
      </c>
      <c r="WDN1" s="46" t="s">
        <v>15681</v>
      </c>
      <c r="WDO1" s="46" t="s">
        <v>15682</v>
      </c>
      <c r="WDP1" s="46" t="s">
        <v>15683</v>
      </c>
      <c r="WDQ1" s="46" t="s">
        <v>15684</v>
      </c>
      <c r="WDR1" s="46" t="s">
        <v>15685</v>
      </c>
      <c r="WDS1" s="46" t="s">
        <v>15686</v>
      </c>
      <c r="WDT1" s="46" t="s">
        <v>15687</v>
      </c>
      <c r="WDU1" s="46" t="s">
        <v>15688</v>
      </c>
      <c r="WDV1" s="46" t="s">
        <v>15689</v>
      </c>
      <c r="WDW1" s="46" t="s">
        <v>15690</v>
      </c>
      <c r="WDX1" s="46" t="s">
        <v>15691</v>
      </c>
      <c r="WDY1" s="46" t="s">
        <v>15692</v>
      </c>
      <c r="WDZ1" s="46" t="s">
        <v>15693</v>
      </c>
      <c r="WEA1" s="46" t="s">
        <v>15694</v>
      </c>
      <c r="WEB1" s="46" t="s">
        <v>15695</v>
      </c>
      <c r="WEC1" s="46" t="s">
        <v>15696</v>
      </c>
      <c r="WED1" s="46" t="s">
        <v>15697</v>
      </c>
      <c r="WEE1" s="46" t="s">
        <v>15698</v>
      </c>
      <c r="WEF1" s="46" t="s">
        <v>15699</v>
      </c>
      <c r="WEG1" s="46" t="s">
        <v>15700</v>
      </c>
      <c r="WEH1" s="46" t="s">
        <v>15701</v>
      </c>
      <c r="WEI1" s="46" t="s">
        <v>15702</v>
      </c>
      <c r="WEJ1" s="46" t="s">
        <v>15703</v>
      </c>
      <c r="WEK1" s="46" t="s">
        <v>15704</v>
      </c>
      <c r="WEL1" s="46" t="s">
        <v>15705</v>
      </c>
      <c r="WEM1" s="46" t="s">
        <v>15706</v>
      </c>
      <c r="WEN1" s="46" t="s">
        <v>15707</v>
      </c>
      <c r="WEO1" s="46" t="s">
        <v>15708</v>
      </c>
      <c r="WEP1" s="46" t="s">
        <v>15709</v>
      </c>
      <c r="WEQ1" s="46" t="s">
        <v>15710</v>
      </c>
      <c r="WER1" s="46" t="s">
        <v>15711</v>
      </c>
      <c r="WES1" s="46" t="s">
        <v>15712</v>
      </c>
      <c r="WET1" s="46" t="s">
        <v>15713</v>
      </c>
      <c r="WEU1" s="46" t="s">
        <v>15714</v>
      </c>
      <c r="WEV1" s="46" t="s">
        <v>15715</v>
      </c>
      <c r="WEW1" s="46" t="s">
        <v>15716</v>
      </c>
      <c r="WEX1" s="46" t="s">
        <v>15717</v>
      </c>
      <c r="WEY1" s="46" t="s">
        <v>15718</v>
      </c>
      <c r="WEZ1" s="46" t="s">
        <v>15719</v>
      </c>
      <c r="WFA1" s="46" t="s">
        <v>15720</v>
      </c>
      <c r="WFB1" s="46" t="s">
        <v>15721</v>
      </c>
      <c r="WFC1" s="46" t="s">
        <v>15722</v>
      </c>
      <c r="WFD1" s="46" t="s">
        <v>15723</v>
      </c>
      <c r="WFE1" s="46" t="s">
        <v>15724</v>
      </c>
      <c r="WFF1" s="46" t="s">
        <v>15725</v>
      </c>
      <c r="WFG1" s="46" t="s">
        <v>15726</v>
      </c>
      <c r="WFH1" s="46" t="s">
        <v>15727</v>
      </c>
      <c r="WFI1" s="46" t="s">
        <v>15728</v>
      </c>
      <c r="WFJ1" s="46" t="s">
        <v>15729</v>
      </c>
      <c r="WFK1" s="46" t="s">
        <v>15730</v>
      </c>
      <c r="WFL1" s="46" t="s">
        <v>15731</v>
      </c>
      <c r="WFM1" s="46" t="s">
        <v>15732</v>
      </c>
      <c r="WFN1" s="46" t="s">
        <v>15733</v>
      </c>
      <c r="WFO1" s="46" t="s">
        <v>15734</v>
      </c>
      <c r="WFP1" s="46" t="s">
        <v>15735</v>
      </c>
      <c r="WFQ1" s="46" t="s">
        <v>15736</v>
      </c>
      <c r="WFR1" s="46" t="s">
        <v>15737</v>
      </c>
      <c r="WFS1" s="46" t="s">
        <v>15738</v>
      </c>
      <c r="WFT1" s="46" t="s">
        <v>15739</v>
      </c>
      <c r="WFU1" s="46" t="s">
        <v>15740</v>
      </c>
      <c r="WFV1" s="46" t="s">
        <v>15741</v>
      </c>
      <c r="WFW1" s="46" t="s">
        <v>15742</v>
      </c>
      <c r="WFX1" s="46" t="s">
        <v>15743</v>
      </c>
      <c r="WFY1" s="46" t="s">
        <v>15744</v>
      </c>
      <c r="WFZ1" s="46" t="s">
        <v>15745</v>
      </c>
      <c r="WGA1" s="46" t="s">
        <v>15746</v>
      </c>
      <c r="WGB1" s="46" t="s">
        <v>15747</v>
      </c>
      <c r="WGC1" s="46" t="s">
        <v>15748</v>
      </c>
      <c r="WGD1" s="46" t="s">
        <v>15749</v>
      </c>
      <c r="WGE1" s="46" t="s">
        <v>15750</v>
      </c>
      <c r="WGF1" s="46" t="s">
        <v>15751</v>
      </c>
      <c r="WGG1" s="46" t="s">
        <v>15752</v>
      </c>
      <c r="WGH1" s="46" t="s">
        <v>15753</v>
      </c>
      <c r="WGI1" s="46" t="s">
        <v>15754</v>
      </c>
      <c r="WGJ1" s="46" t="s">
        <v>15755</v>
      </c>
      <c r="WGK1" s="46" t="s">
        <v>15756</v>
      </c>
      <c r="WGL1" s="46" t="s">
        <v>15757</v>
      </c>
      <c r="WGM1" s="46" t="s">
        <v>15758</v>
      </c>
      <c r="WGN1" s="46" t="s">
        <v>15759</v>
      </c>
      <c r="WGO1" s="46" t="s">
        <v>15760</v>
      </c>
      <c r="WGP1" s="46" t="s">
        <v>15761</v>
      </c>
      <c r="WGQ1" s="46" t="s">
        <v>15762</v>
      </c>
      <c r="WGR1" s="46" t="s">
        <v>15763</v>
      </c>
      <c r="WGS1" s="46" t="s">
        <v>15764</v>
      </c>
      <c r="WGT1" s="46" t="s">
        <v>15765</v>
      </c>
      <c r="WGU1" s="46" t="s">
        <v>15766</v>
      </c>
      <c r="WGV1" s="46" t="s">
        <v>15767</v>
      </c>
      <c r="WGW1" s="46" t="s">
        <v>15768</v>
      </c>
      <c r="WGX1" s="46" t="s">
        <v>15769</v>
      </c>
      <c r="WGY1" s="46" t="s">
        <v>15770</v>
      </c>
      <c r="WGZ1" s="46" t="s">
        <v>15771</v>
      </c>
      <c r="WHA1" s="46" t="s">
        <v>15772</v>
      </c>
      <c r="WHB1" s="46" t="s">
        <v>15773</v>
      </c>
      <c r="WHC1" s="46" t="s">
        <v>15774</v>
      </c>
      <c r="WHD1" s="46" t="s">
        <v>15775</v>
      </c>
      <c r="WHE1" s="46" t="s">
        <v>15776</v>
      </c>
      <c r="WHF1" s="46" t="s">
        <v>15777</v>
      </c>
      <c r="WHG1" s="46" t="s">
        <v>15778</v>
      </c>
      <c r="WHH1" s="46" t="s">
        <v>15779</v>
      </c>
      <c r="WHI1" s="46" t="s">
        <v>15780</v>
      </c>
      <c r="WHJ1" s="46" t="s">
        <v>15781</v>
      </c>
      <c r="WHK1" s="46" t="s">
        <v>15782</v>
      </c>
      <c r="WHL1" s="46" t="s">
        <v>15783</v>
      </c>
      <c r="WHM1" s="46" t="s">
        <v>15784</v>
      </c>
      <c r="WHN1" s="46" t="s">
        <v>15785</v>
      </c>
      <c r="WHO1" s="46" t="s">
        <v>15786</v>
      </c>
      <c r="WHP1" s="46" t="s">
        <v>15787</v>
      </c>
      <c r="WHQ1" s="46" t="s">
        <v>15788</v>
      </c>
      <c r="WHR1" s="46" t="s">
        <v>15789</v>
      </c>
      <c r="WHS1" s="46" t="s">
        <v>15790</v>
      </c>
      <c r="WHT1" s="46" t="s">
        <v>15791</v>
      </c>
      <c r="WHU1" s="46" t="s">
        <v>15792</v>
      </c>
      <c r="WHV1" s="46" t="s">
        <v>15793</v>
      </c>
      <c r="WHW1" s="46" t="s">
        <v>15794</v>
      </c>
      <c r="WHX1" s="46" t="s">
        <v>15795</v>
      </c>
      <c r="WHY1" s="46" t="s">
        <v>15796</v>
      </c>
      <c r="WHZ1" s="46" t="s">
        <v>15797</v>
      </c>
      <c r="WIA1" s="46" t="s">
        <v>15798</v>
      </c>
      <c r="WIB1" s="46" t="s">
        <v>15799</v>
      </c>
      <c r="WIC1" s="46" t="s">
        <v>15800</v>
      </c>
      <c r="WID1" s="46" t="s">
        <v>15801</v>
      </c>
      <c r="WIE1" s="46" t="s">
        <v>15802</v>
      </c>
      <c r="WIF1" s="46" t="s">
        <v>15803</v>
      </c>
      <c r="WIG1" s="46" t="s">
        <v>15804</v>
      </c>
      <c r="WIH1" s="46" t="s">
        <v>15805</v>
      </c>
      <c r="WII1" s="46" t="s">
        <v>15806</v>
      </c>
      <c r="WIJ1" s="46" t="s">
        <v>15807</v>
      </c>
      <c r="WIK1" s="46" t="s">
        <v>15808</v>
      </c>
      <c r="WIL1" s="46" t="s">
        <v>15809</v>
      </c>
      <c r="WIM1" s="46" t="s">
        <v>15810</v>
      </c>
      <c r="WIN1" s="46" t="s">
        <v>15811</v>
      </c>
      <c r="WIO1" s="46" t="s">
        <v>15812</v>
      </c>
      <c r="WIP1" s="46" t="s">
        <v>15813</v>
      </c>
      <c r="WIQ1" s="46" t="s">
        <v>15814</v>
      </c>
      <c r="WIR1" s="46" t="s">
        <v>15815</v>
      </c>
      <c r="WIS1" s="46" t="s">
        <v>15816</v>
      </c>
      <c r="WIT1" s="46" t="s">
        <v>15817</v>
      </c>
      <c r="WIU1" s="46" t="s">
        <v>15818</v>
      </c>
      <c r="WIV1" s="46" t="s">
        <v>15819</v>
      </c>
      <c r="WIW1" s="46" t="s">
        <v>15820</v>
      </c>
      <c r="WIX1" s="46" t="s">
        <v>15821</v>
      </c>
      <c r="WIY1" s="46" t="s">
        <v>15822</v>
      </c>
      <c r="WIZ1" s="46" t="s">
        <v>15823</v>
      </c>
      <c r="WJA1" s="46" t="s">
        <v>15824</v>
      </c>
      <c r="WJB1" s="46" t="s">
        <v>15825</v>
      </c>
      <c r="WJC1" s="46" t="s">
        <v>15826</v>
      </c>
      <c r="WJD1" s="46" t="s">
        <v>15827</v>
      </c>
      <c r="WJE1" s="46" t="s">
        <v>15828</v>
      </c>
      <c r="WJF1" s="46" t="s">
        <v>15829</v>
      </c>
      <c r="WJG1" s="46" t="s">
        <v>15830</v>
      </c>
      <c r="WJH1" s="46" t="s">
        <v>15831</v>
      </c>
      <c r="WJI1" s="46" t="s">
        <v>15832</v>
      </c>
      <c r="WJJ1" s="46" t="s">
        <v>15833</v>
      </c>
      <c r="WJK1" s="46" t="s">
        <v>15834</v>
      </c>
      <c r="WJL1" s="46" t="s">
        <v>15835</v>
      </c>
      <c r="WJM1" s="46" t="s">
        <v>15836</v>
      </c>
      <c r="WJN1" s="46" t="s">
        <v>15837</v>
      </c>
      <c r="WJO1" s="46" t="s">
        <v>15838</v>
      </c>
      <c r="WJP1" s="46" t="s">
        <v>15839</v>
      </c>
      <c r="WJQ1" s="46" t="s">
        <v>15840</v>
      </c>
      <c r="WJR1" s="46" t="s">
        <v>15841</v>
      </c>
      <c r="WJS1" s="46" t="s">
        <v>15842</v>
      </c>
      <c r="WJT1" s="46" t="s">
        <v>15843</v>
      </c>
      <c r="WJU1" s="46" t="s">
        <v>15844</v>
      </c>
      <c r="WJV1" s="46" t="s">
        <v>15845</v>
      </c>
      <c r="WJW1" s="46" t="s">
        <v>15846</v>
      </c>
      <c r="WJX1" s="46" t="s">
        <v>15847</v>
      </c>
      <c r="WJY1" s="46" t="s">
        <v>15848</v>
      </c>
      <c r="WJZ1" s="46" t="s">
        <v>15849</v>
      </c>
      <c r="WKA1" s="46" t="s">
        <v>15850</v>
      </c>
      <c r="WKB1" s="46" t="s">
        <v>15851</v>
      </c>
      <c r="WKC1" s="46" t="s">
        <v>15852</v>
      </c>
      <c r="WKD1" s="46" t="s">
        <v>15853</v>
      </c>
      <c r="WKE1" s="46" t="s">
        <v>15854</v>
      </c>
      <c r="WKF1" s="46" t="s">
        <v>15855</v>
      </c>
      <c r="WKG1" s="46" t="s">
        <v>15856</v>
      </c>
      <c r="WKH1" s="46" t="s">
        <v>15857</v>
      </c>
      <c r="WKI1" s="46" t="s">
        <v>15858</v>
      </c>
      <c r="WKJ1" s="46" t="s">
        <v>15859</v>
      </c>
      <c r="WKK1" s="46" t="s">
        <v>15860</v>
      </c>
      <c r="WKL1" s="46" t="s">
        <v>15861</v>
      </c>
      <c r="WKM1" s="46" t="s">
        <v>15862</v>
      </c>
      <c r="WKN1" s="46" t="s">
        <v>15863</v>
      </c>
      <c r="WKO1" s="46" t="s">
        <v>15864</v>
      </c>
      <c r="WKP1" s="46" t="s">
        <v>15865</v>
      </c>
      <c r="WKQ1" s="46" t="s">
        <v>15866</v>
      </c>
      <c r="WKR1" s="46" t="s">
        <v>15867</v>
      </c>
      <c r="WKS1" s="46" t="s">
        <v>15868</v>
      </c>
      <c r="WKT1" s="46" t="s">
        <v>15869</v>
      </c>
      <c r="WKU1" s="46" t="s">
        <v>15870</v>
      </c>
      <c r="WKV1" s="46" t="s">
        <v>15871</v>
      </c>
      <c r="WKW1" s="46" t="s">
        <v>15872</v>
      </c>
      <c r="WKX1" s="46" t="s">
        <v>15873</v>
      </c>
      <c r="WKY1" s="46" t="s">
        <v>15874</v>
      </c>
      <c r="WKZ1" s="46" t="s">
        <v>15875</v>
      </c>
      <c r="WLA1" s="46" t="s">
        <v>15876</v>
      </c>
      <c r="WLB1" s="46" t="s">
        <v>15877</v>
      </c>
      <c r="WLC1" s="46" t="s">
        <v>15878</v>
      </c>
      <c r="WLD1" s="46" t="s">
        <v>15879</v>
      </c>
      <c r="WLE1" s="46" t="s">
        <v>15880</v>
      </c>
      <c r="WLF1" s="46" t="s">
        <v>15881</v>
      </c>
      <c r="WLG1" s="46" t="s">
        <v>15882</v>
      </c>
      <c r="WLH1" s="46" t="s">
        <v>15883</v>
      </c>
      <c r="WLI1" s="46" t="s">
        <v>15884</v>
      </c>
      <c r="WLJ1" s="46" t="s">
        <v>15885</v>
      </c>
      <c r="WLK1" s="46" t="s">
        <v>15886</v>
      </c>
      <c r="WLL1" s="46" t="s">
        <v>15887</v>
      </c>
      <c r="WLM1" s="46" t="s">
        <v>15888</v>
      </c>
      <c r="WLN1" s="46" t="s">
        <v>15889</v>
      </c>
      <c r="WLO1" s="46" t="s">
        <v>15890</v>
      </c>
      <c r="WLP1" s="46" t="s">
        <v>15891</v>
      </c>
      <c r="WLQ1" s="46" t="s">
        <v>15892</v>
      </c>
      <c r="WLR1" s="46" t="s">
        <v>15893</v>
      </c>
      <c r="WLS1" s="46" t="s">
        <v>15894</v>
      </c>
      <c r="WLT1" s="46" t="s">
        <v>15895</v>
      </c>
      <c r="WLU1" s="46" t="s">
        <v>15896</v>
      </c>
      <c r="WLV1" s="46" t="s">
        <v>15897</v>
      </c>
      <c r="WLW1" s="46" t="s">
        <v>15898</v>
      </c>
      <c r="WLX1" s="46" t="s">
        <v>15899</v>
      </c>
      <c r="WLY1" s="46" t="s">
        <v>15900</v>
      </c>
      <c r="WLZ1" s="46" t="s">
        <v>15901</v>
      </c>
      <c r="WMA1" s="46" t="s">
        <v>15902</v>
      </c>
      <c r="WMB1" s="46" t="s">
        <v>15903</v>
      </c>
      <c r="WMC1" s="46" t="s">
        <v>15904</v>
      </c>
      <c r="WMD1" s="46" t="s">
        <v>15905</v>
      </c>
      <c r="WME1" s="46" t="s">
        <v>15906</v>
      </c>
      <c r="WMF1" s="46" t="s">
        <v>15907</v>
      </c>
      <c r="WMG1" s="46" t="s">
        <v>15908</v>
      </c>
      <c r="WMH1" s="46" t="s">
        <v>15909</v>
      </c>
      <c r="WMI1" s="46" t="s">
        <v>15910</v>
      </c>
      <c r="WMJ1" s="46" t="s">
        <v>15911</v>
      </c>
      <c r="WMK1" s="46" t="s">
        <v>15912</v>
      </c>
      <c r="WML1" s="46" t="s">
        <v>15913</v>
      </c>
      <c r="WMM1" s="46" t="s">
        <v>15914</v>
      </c>
      <c r="WMN1" s="46" t="s">
        <v>15915</v>
      </c>
      <c r="WMO1" s="46" t="s">
        <v>15916</v>
      </c>
      <c r="WMP1" s="46" t="s">
        <v>15917</v>
      </c>
      <c r="WMQ1" s="46" t="s">
        <v>15918</v>
      </c>
      <c r="WMR1" s="46" t="s">
        <v>15919</v>
      </c>
      <c r="WMS1" s="46" t="s">
        <v>15920</v>
      </c>
      <c r="WMT1" s="46" t="s">
        <v>15921</v>
      </c>
      <c r="WMU1" s="46" t="s">
        <v>15922</v>
      </c>
      <c r="WMV1" s="46" t="s">
        <v>15923</v>
      </c>
      <c r="WMW1" s="46" t="s">
        <v>15924</v>
      </c>
      <c r="WMX1" s="46" t="s">
        <v>15925</v>
      </c>
      <c r="WMY1" s="46" t="s">
        <v>15926</v>
      </c>
      <c r="WMZ1" s="46" t="s">
        <v>15927</v>
      </c>
      <c r="WNA1" s="46" t="s">
        <v>15928</v>
      </c>
      <c r="WNB1" s="46" t="s">
        <v>15929</v>
      </c>
      <c r="WNC1" s="46" t="s">
        <v>15930</v>
      </c>
      <c r="WND1" s="46" t="s">
        <v>15931</v>
      </c>
      <c r="WNE1" s="46" t="s">
        <v>15932</v>
      </c>
      <c r="WNF1" s="46" t="s">
        <v>15933</v>
      </c>
      <c r="WNG1" s="46" t="s">
        <v>15934</v>
      </c>
      <c r="WNH1" s="46" t="s">
        <v>15935</v>
      </c>
      <c r="WNI1" s="46" t="s">
        <v>15936</v>
      </c>
      <c r="WNJ1" s="46" t="s">
        <v>15937</v>
      </c>
      <c r="WNK1" s="46" t="s">
        <v>15938</v>
      </c>
      <c r="WNL1" s="46" t="s">
        <v>15939</v>
      </c>
      <c r="WNM1" s="46" t="s">
        <v>15940</v>
      </c>
      <c r="WNN1" s="46" t="s">
        <v>15941</v>
      </c>
      <c r="WNO1" s="46" t="s">
        <v>15942</v>
      </c>
      <c r="WNP1" s="46" t="s">
        <v>15943</v>
      </c>
      <c r="WNQ1" s="46" t="s">
        <v>15944</v>
      </c>
      <c r="WNR1" s="46" t="s">
        <v>15945</v>
      </c>
      <c r="WNS1" s="46" t="s">
        <v>15946</v>
      </c>
      <c r="WNT1" s="46" t="s">
        <v>15947</v>
      </c>
      <c r="WNU1" s="46" t="s">
        <v>15948</v>
      </c>
      <c r="WNV1" s="46" t="s">
        <v>15949</v>
      </c>
      <c r="WNW1" s="46" t="s">
        <v>15950</v>
      </c>
      <c r="WNX1" s="46" t="s">
        <v>15951</v>
      </c>
      <c r="WNY1" s="46" t="s">
        <v>15952</v>
      </c>
      <c r="WNZ1" s="46" t="s">
        <v>15953</v>
      </c>
      <c r="WOA1" s="46" t="s">
        <v>15954</v>
      </c>
      <c r="WOB1" s="46" t="s">
        <v>15955</v>
      </c>
      <c r="WOC1" s="46" t="s">
        <v>15956</v>
      </c>
      <c r="WOD1" s="46" t="s">
        <v>15957</v>
      </c>
      <c r="WOE1" s="46" t="s">
        <v>15958</v>
      </c>
      <c r="WOF1" s="46" t="s">
        <v>15959</v>
      </c>
      <c r="WOG1" s="46" t="s">
        <v>15960</v>
      </c>
      <c r="WOH1" s="46" t="s">
        <v>15961</v>
      </c>
      <c r="WOI1" s="46" t="s">
        <v>15962</v>
      </c>
      <c r="WOJ1" s="46" t="s">
        <v>15963</v>
      </c>
      <c r="WOK1" s="46" t="s">
        <v>15964</v>
      </c>
      <c r="WOL1" s="46" t="s">
        <v>15965</v>
      </c>
      <c r="WOM1" s="46" t="s">
        <v>15966</v>
      </c>
      <c r="WON1" s="46" t="s">
        <v>15967</v>
      </c>
      <c r="WOO1" s="46" t="s">
        <v>15968</v>
      </c>
      <c r="WOP1" s="46" t="s">
        <v>15969</v>
      </c>
      <c r="WOQ1" s="46" t="s">
        <v>15970</v>
      </c>
      <c r="WOR1" s="46" t="s">
        <v>15971</v>
      </c>
      <c r="WOS1" s="46" t="s">
        <v>15972</v>
      </c>
      <c r="WOT1" s="46" t="s">
        <v>15973</v>
      </c>
      <c r="WOU1" s="46" t="s">
        <v>15974</v>
      </c>
      <c r="WOV1" s="46" t="s">
        <v>15975</v>
      </c>
      <c r="WOW1" s="46" t="s">
        <v>15976</v>
      </c>
      <c r="WOX1" s="46" t="s">
        <v>15977</v>
      </c>
      <c r="WOY1" s="46" t="s">
        <v>15978</v>
      </c>
      <c r="WOZ1" s="46" t="s">
        <v>15979</v>
      </c>
      <c r="WPA1" s="46" t="s">
        <v>15980</v>
      </c>
      <c r="WPB1" s="46" t="s">
        <v>15981</v>
      </c>
      <c r="WPC1" s="46" t="s">
        <v>15982</v>
      </c>
      <c r="WPD1" s="46" t="s">
        <v>15983</v>
      </c>
      <c r="WPE1" s="46" t="s">
        <v>15984</v>
      </c>
      <c r="WPF1" s="46" t="s">
        <v>15985</v>
      </c>
      <c r="WPG1" s="46" t="s">
        <v>15986</v>
      </c>
      <c r="WPH1" s="46" t="s">
        <v>15987</v>
      </c>
      <c r="WPI1" s="46" t="s">
        <v>15988</v>
      </c>
      <c r="WPJ1" s="46" t="s">
        <v>15989</v>
      </c>
      <c r="WPK1" s="46" t="s">
        <v>15990</v>
      </c>
      <c r="WPL1" s="46" t="s">
        <v>15991</v>
      </c>
      <c r="WPM1" s="46" t="s">
        <v>15992</v>
      </c>
      <c r="WPN1" s="46" t="s">
        <v>15993</v>
      </c>
      <c r="WPO1" s="46" t="s">
        <v>15994</v>
      </c>
      <c r="WPP1" s="46" t="s">
        <v>15995</v>
      </c>
      <c r="WPQ1" s="46" t="s">
        <v>15996</v>
      </c>
      <c r="WPR1" s="46" t="s">
        <v>15997</v>
      </c>
      <c r="WPS1" s="46" t="s">
        <v>15998</v>
      </c>
      <c r="WPT1" s="46" t="s">
        <v>15999</v>
      </c>
      <c r="WPU1" s="46" t="s">
        <v>16000</v>
      </c>
      <c r="WPV1" s="46" t="s">
        <v>16001</v>
      </c>
      <c r="WPW1" s="46" t="s">
        <v>16002</v>
      </c>
      <c r="WPX1" s="46" t="s">
        <v>16003</v>
      </c>
      <c r="WPY1" s="46" t="s">
        <v>16004</v>
      </c>
      <c r="WPZ1" s="46" t="s">
        <v>16005</v>
      </c>
      <c r="WQA1" s="46" t="s">
        <v>16006</v>
      </c>
      <c r="WQB1" s="46" t="s">
        <v>16007</v>
      </c>
      <c r="WQC1" s="46" t="s">
        <v>16008</v>
      </c>
      <c r="WQD1" s="46" t="s">
        <v>16009</v>
      </c>
      <c r="WQE1" s="46" t="s">
        <v>16010</v>
      </c>
      <c r="WQF1" s="46" t="s">
        <v>16011</v>
      </c>
      <c r="WQG1" s="46" t="s">
        <v>16012</v>
      </c>
      <c r="WQH1" s="46" t="s">
        <v>16013</v>
      </c>
      <c r="WQI1" s="46" t="s">
        <v>16014</v>
      </c>
      <c r="WQJ1" s="46" t="s">
        <v>16015</v>
      </c>
      <c r="WQK1" s="46" t="s">
        <v>16016</v>
      </c>
      <c r="WQL1" s="46" t="s">
        <v>16017</v>
      </c>
      <c r="WQM1" s="46" t="s">
        <v>16018</v>
      </c>
      <c r="WQN1" s="46" t="s">
        <v>16019</v>
      </c>
      <c r="WQO1" s="46" t="s">
        <v>16020</v>
      </c>
      <c r="WQP1" s="46" t="s">
        <v>16021</v>
      </c>
      <c r="WQQ1" s="46" t="s">
        <v>16022</v>
      </c>
      <c r="WQR1" s="46" t="s">
        <v>16023</v>
      </c>
      <c r="WQS1" s="46" t="s">
        <v>16024</v>
      </c>
      <c r="WQT1" s="46" t="s">
        <v>16025</v>
      </c>
      <c r="WQU1" s="46" t="s">
        <v>16026</v>
      </c>
      <c r="WQV1" s="46" t="s">
        <v>16027</v>
      </c>
      <c r="WQW1" s="46" t="s">
        <v>16028</v>
      </c>
      <c r="WQX1" s="46" t="s">
        <v>16029</v>
      </c>
      <c r="WQY1" s="46" t="s">
        <v>16030</v>
      </c>
      <c r="WQZ1" s="46" t="s">
        <v>16031</v>
      </c>
      <c r="WRA1" s="46" t="s">
        <v>16032</v>
      </c>
      <c r="WRB1" s="46" t="s">
        <v>16033</v>
      </c>
      <c r="WRC1" s="46" t="s">
        <v>16034</v>
      </c>
      <c r="WRD1" s="46" t="s">
        <v>16035</v>
      </c>
      <c r="WRE1" s="46" t="s">
        <v>16036</v>
      </c>
      <c r="WRF1" s="46" t="s">
        <v>16037</v>
      </c>
      <c r="WRG1" s="46" t="s">
        <v>16038</v>
      </c>
      <c r="WRH1" s="46" t="s">
        <v>16039</v>
      </c>
      <c r="WRI1" s="46" t="s">
        <v>16040</v>
      </c>
      <c r="WRJ1" s="46" t="s">
        <v>16041</v>
      </c>
      <c r="WRK1" s="46" t="s">
        <v>16042</v>
      </c>
      <c r="WRL1" s="46" t="s">
        <v>16043</v>
      </c>
      <c r="WRM1" s="46" t="s">
        <v>16044</v>
      </c>
      <c r="WRN1" s="46" t="s">
        <v>16045</v>
      </c>
      <c r="WRO1" s="46" t="s">
        <v>16046</v>
      </c>
      <c r="WRP1" s="46" t="s">
        <v>16047</v>
      </c>
      <c r="WRQ1" s="46" t="s">
        <v>16048</v>
      </c>
      <c r="WRR1" s="46" t="s">
        <v>16049</v>
      </c>
      <c r="WRS1" s="46" t="s">
        <v>16050</v>
      </c>
      <c r="WRT1" s="46" t="s">
        <v>16051</v>
      </c>
      <c r="WRU1" s="46" t="s">
        <v>16052</v>
      </c>
      <c r="WRV1" s="46" t="s">
        <v>16053</v>
      </c>
      <c r="WRW1" s="46" t="s">
        <v>16054</v>
      </c>
      <c r="WRX1" s="46" t="s">
        <v>16055</v>
      </c>
      <c r="WRY1" s="46" t="s">
        <v>16056</v>
      </c>
      <c r="WRZ1" s="46" t="s">
        <v>16057</v>
      </c>
      <c r="WSA1" s="46" t="s">
        <v>16058</v>
      </c>
      <c r="WSB1" s="46" t="s">
        <v>16059</v>
      </c>
      <c r="WSC1" s="46" t="s">
        <v>16060</v>
      </c>
      <c r="WSD1" s="46" t="s">
        <v>16061</v>
      </c>
      <c r="WSE1" s="46" t="s">
        <v>16062</v>
      </c>
      <c r="WSF1" s="46" t="s">
        <v>16063</v>
      </c>
      <c r="WSG1" s="46" t="s">
        <v>16064</v>
      </c>
      <c r="WSH1" s="46" t="s">
        <v>16065</v>
      </c>
      <c r="WSI1" s="46" t="s">
        <v>16066</v>
      </c>
      <c r="WSJ1" s="46" t="s">
        <v>16067</v>
      </c>
      <c r="WSK1" s="46" t="s">
        <v>16068</v>
      </c>
      <c r="WSL1" s="46" t="s">
        <v>16069</v>
      </c>
      <c r="WSM1" s="46" t="s">
        <v>16070</v>
      </c>
      <c r="WSN1" s="46" t="s">
        <v>16071</v>
      </c>
      <c r="WSO1" s="46" t="s">
        <v>16072</v>
      </c>
      <c r="WSP1" s="46" t="s">
        <v>16073</v>
      </c>
      <c r="WSQ1" s="46" t="s">
        <v>16074</v>
      </c>
      <c r="WSR1" s="46" t="s">
        <v>16075</v>
      </c>
      <c r="WSS1" s="46" t="s">
        <v>16076</v>
      </c>
      <c r="WST1" s="46" t="s">
        <v>16077</v>
      </c>
      <c r="WSU1" s="46" t="s">
        <v>16078</v>
      </c>
      <c r="WSV1" s="46" t="s">
        <v>16079</v>
      </c>
      <c r="WSW1" s="46" t="s">
        <v>16080</v>
      </c>
      <c r="WSX1" s="46" t="s">
        <v>16081</v>
      </c>
      <c r="WSY1" s="46" t="s">
        <v>16082</v>
      </c>
      <c r="WSZ1" s="46" t="s">
        <v>16083</v>
      </c>
      <c r="WTA1" s="46" t="s">
        <v>16084</v>
      </c>
      <c r="WTB1" s="46" t="s">
        <v>16085</v>
      </c>
      <c r="WTC1" s="46" t="s">
        <v>16086</v>
      </c>
      <c r="WTD1" s="46" t="s">
        <v>16087</v>
      </c>
      <c r="WTE1" s="46" t="s">
        <v>16088</v>
      </c>
      <c r="WTF1" s="46" t="s">
        <v>16089</v>
      </c>
      <c r="WTG1" s="46" t="s">
        <v>16090</v>
      </c>
      <c r="WTH1" s="46" t="s">
        <v>16091</v>
      </c>
      <c r="WTI1" s="46" t="s">
        <v>16092</v>
      </c>
      <c r="WTJ1" s="46" t="s">
        <v>16093</v>
      </c>
      <c r="WTK1" s="46" t="s">
        <v>16094</v>
      </c>
      <c r="WTL1" s="46" t="s">
        <v>16095</v>
      </c>
      <c r="WTM1" s="46" t="s">
        <v>16096</v>
      </c>
      <c r="WTN1" s="46" t="s">
        <v>16097</v>
      </c>
      <c r="WTO1" s="46" t="s">
        <v>16098</v>
      </c>
      <c r="WTP1" s="46" t="s">
        <v>16099</v>
      </c>
      <c r="WTQ1" s="46" t="s">
        <v>16100</v>
      </c>
      <c r="WTR1" s="46" t="s">
        <v>16101</v>
      </c>
      <c r="WTS1" s="46" t="s">
        <v>16102</v>
      </c>
      <c r="WTT1" s="46" t="s">
        <v>16103</v>
      </c>
      <c r="WTU1" s="46" t="s">
        <v>16104</v>
      </c>
      <c r="WTV1" s="46" t="s">
        <v>16105</v>
      </c>
      <c r="WTW1" s="46" t="s">
        <v>16106</v>
      </c>
      <c r="WTX1" s="46" t="s">
        <v>16107</v>
      </c>
      <c r="WTY1" s="46" t="s">
        <v>16108</v>
      </c>
      <c r="WTZ1" s="46" t="s">
        <v>16109</v>
      </c>
      <c r="WUA1" s="46" t="s">
        <v>16110</v>
      </c>
      <c r="WUB1" s="46" t="s">
        <v>16111</v>
      </c>
      <c r="WUC1" s="46" t="s">
        <v>16112</v>
      </c>
      <c r="WUD1" s="46" t="s">
        <v>16113</v>
      </c>
      <c r="WUE1" s="46" t="s">
        <v>16114</v>
      </c>
      <c r="WUF1" s="46" t="s">
        <v>16115</v>
      </c>
      <c r="WUG1" s="46" t="s">
        <v>16116</v>
      </c>
      <c r="WUH1" s="46" t="s">
        <v>16117</v>
      </c>
      <c r="WUI1" s="46" t="s">
        <v>16118</v>
      </c>
      <c r="WUJ1" s="46" t="s">
        <v>16119</v>
      </c>
      <c r="WUK1" s="46" t="s">
        <v>16120</v>
      </c>
      <c r="WUL1" s="46" t="s">
        <v>16121</v>
      </c>
      <c r="WUM1" s="46" t="s">
        <v>16122</v>
      </c>
      <c r="WUN1" s="46" t="s">
        <v>16123</v>
      </c>
      <c r="WUO1" s="46" t="s">
        <v>16124</v>
      </c>
      <c r="WUP1" s="46" t="s">
        <v>16125</v>
      </c>
      <c r="WUQ1" s="46" t="s">
        <v>16126</v>
      </c>
      <c r="WUR1" s="46" t="s">
        <v>16127</v>
      </c>
      <c r="WUS1" s="46" t="s">
        <v>16128</v>
      </c>
      <c r="WUT1" s="46" t="s">
        <v>16129</v>
      </c>
      <c r="WUU1" s="46" t="s">
        <v>16130</v>
      </c>
      <c r="WUV1" s="46" t="s">
        <v>16131</v>
      </c>
      <c r="WUW1" s="46" t="s">
        <v>16132</v>
      </c>
      <c r="WUX1" s="46" t="s">
        <v>16133</v>
      </c>
      <c r="WUY1" s="46" t="s">
        <v>16134</v>
      </c>
      <c r="WUZ1" s="46" t="s">
        <v>16135</v>
      </c>
      <c r="WVA1" s="46" t="s">
        <v>16136</v>
      </c>
      <c r="WVB1" s="46" t="s">
        <v>16137</v>
      </c>
      <c r="WVC1" s="46" t="s">
        <v>16138</v>
      </c>
      <c r="WVD1" s="46" t="s">
        <v>16139</v>
      </c>
      <c r="WVE1" s="46" t="s">
        <v>16140</v>
      </c>
      <c r="WVF1" s="46" t="s">
        <v>16141</v>
      </c>
      <c r="WVG1" s="46" t="s">
        <v>16142</v>
      </c>
      <c r="WVH1" s="46" t="s">
        <v>16143</v>
      </c>
      <c r="WVI1" s="46" t="s">
        <v>16144</v>
      </c>
      <c r="WVJ1" s="46" t="s">
        <v>16145</v>
      </c>
      <c r="WVK1" s="46" t="s">
        <v>16146</v>
      </c>
      <c r="WVL1" s="46" t="s">
        <v>16147</v>
      </c>
      <c r="WVM1" s="46" t="s">
        <v>16148</v>
      </c>
      <c r="WVN1" s="46" t="s">
        <v>16149</v>
      </c>
      <c r="WVO1" s="46" t="s">
        <v>16150</v>
      </c>
      <c r="WVP1" s="46" t="s">
        <v>16151</v>
      </c>
      <c r="WVQ1" s="46" t="s">
        <v>16152</v>
      </c>
      <c r="WVR1" s="46" t="s">
        <v>16153</v>
      </c>
      <c r="WVS1" s="46" t="s">
        <v>16154</v>
      </c>
      <c r="WVT1" s="46" t="s">
        <v>16155</v>
      </c>
      <c r="WVU1" s="46" t="s">
        <v>16156</v>
      </c>
      <c r="WVV1" s="46" t="s">
        <v>16157</v>
      </c>
      <c r="WVW1" s="46" t="s">
        <v>16158</v>
      </c>
      <c r="WVX1" s="46" t="s">
        <v>16159</v>
      </c>
      <c r="WVY1" s="46" t="s">
        <v>16160</v>
      </c>
      <c r="WVZ1" s="46" t="s">
        <v>16161</v>
      </c>
      <c r="WWA1" s="46" t="s">
        <v>16162</v>
      </c>
      <c r="WWB1" s="46" t="s">
        <v>16163</v>
      </c>
      <c r="WWC1" s="46" t="s">
        <v>16164</v>
      </c>
      <c r="WWD1" s="46" t="s">
        <v>16165</v>
      </c>
      <c r="WWE1" s="46" t="s">
        <v>16166</v>
      </c>
      <c r="WWF1" s="46" t="s">
        <v>16167</v>
      </c>
      <c r="WWG1" s="46" t="s">
        <v>16168</v>
      </c>
      <c r="WWH1" s="46" t="s">
        <v>16169</v>
      </c>
      <c r="WWI1" s="46" t="s">
        <v>16170</v>
      </c>
      <c r="WWJ1" s="46" t="s">
        <v>16171</v>
      </c>
      <c r="WWK1" s="46" t="s">
        <v>16172</v>
      </c>
      <c r="WWL1" s="46" t="s">
        <v>16173</v>
      </c>
      <c r="WWM1" s="46" t="s">
        <v>16174</v>
      </c>
      <c r="WWN1" s="46" t="s">
        <v>16175</v>
      </c>
      <c r="WWO1" s="46" t="s">
        <v>16176</v>
      </c>
      <c r="WWP1" s="46" t="s">
        <v>16177</v>
      </c>
      <c r="WWQ1" s="46" t="s">
        <v>16178</v>
      </c>
      <c r="WWR1" s="46" t="s">
        <v>16179</v>
      </c>
      <c r="WWS1" s="46" t="s">
        <v>16180</v>
      </c>
      <c r="WWT1" s="46" t="s">
        <v>16181</v>
      </c>
      <c r="WWU1" s="46" t="s">
        <v>16182</v>
      </c>
      <c r="WWV1" s="46" t="s">
        <v>16183</v>
      </c>
      <c r="WWW1" s="46" t="s">
        <v>16184</v>
      </c>
      <c r="WWX1" s="46" t="s">
        <v>16185</v>
      </c>
      <c r="WWY1" s="46" t="s">
        <v>16186</v>
      </c>
      <c r="WWZ1" s="46" t="s">
        <v>16187</v>
      </c>
      <c r="WXA1" s="46" t="s">
        <v>16188</v>
      </c>
      <c r="WXB1" s="46" t="s">
        <v>16189</v>
      </c>
      <c r="WXC1" s="46" t="s">
        <v>16190</v>
      </c>
      <c r="WXD1" s="46" t="s">
        <v>16191</v>
      </c>
      <c r="WXE1" s="46" t="s">
        <v>16192</v>
      </c>
      <c r="WXF1" s="46" t="s">
        <v>16193</v>
      </c>
      <c r="WXG1" s="46" t="s">
        <v>16194</v>
      </c>
      <c r="WXH1" s="46" t="s">
        <v>16195</v>
      </c>
      <c r="WXI1" s="46" t="s">
        <v>16196</v>
      </c>
      <c r="WXJ1" s="46" t="s">
        <v>16197</v>
      </c>
      <c r="WXK1" s="46" t="s">
        <v>16198</v>
      </c>
      <c r="WXL1" s="46" t="s">
        <v>16199</v>
      </c>
      <c r="WXM1" s="46" t="s">
        <v>16200</v>
      </c>
      <c r="WXN1" s="46" t="s">
        <v>16201</v>
      </c>
      <c r="WXO1" s="46" t="s">
        <v>16202</v>
      </c>
      <c r="WXP1" s="46" t="s">
        <v>16203</v>
      </c>
      <c r="WXQ1" s="46" t="s">
        <v>16204</v>
      </c>
      <c r="WXR1" s="46" t="s">
        <v>16205</v>
      </c>
      <c r="WXS1" s="46" t="s">
        <v>16206</v>
      </c>
      <c r="WXT1" s="46" t="s">
        <v>16207</v>
      </c>
      <c r="WXU1" s="46" t="s">
        <v>16208</v>
      </c>
      <c r="WXV1" s="46" t="s">
        <v>16209</v>
      </c>
      <c r="WXW1" s="46" t="s">
        <v>16210</v>
      </c>
      <c r="WXX1" s="46" t="s">
        <v>16211</v>
      </c>
      <c r="WXY1" s="46" t="s">
        <v>16212</v>
      </c>
      <c r="WXZ1" s="46" t="s">
        <v>16213</v>
      </c>
      <c r="WYA1" s="46" t="s">
        <v>16214</v>
      </c>
      <c r="WYB1" s="46" t="s">
        <v>16215</v>
      </c>
      <c r="WYC1" s="46" t="s">
        <v>16216</v>
      </c>
      <c r="WYD1" s="46" t="s">
        <v>16217</v>
      </c>
      <c r="WYE1" s="46" t="s">
        <v>16218</v>
      </c>
      <c r="WYF1" s="46" t="s">
        <v>16219</v>
      </c>
      <c r="WYG1" s="46" t="s">
        <v>16220</v>
      </c>
      <c r="WYH1" s="46" t="s">
        <v>16221</v>
      </c>
      <c r="WYI1" s="46" t="s">
        <v>16222</v>
      </c>
      <c r="WYJ1" s="46" t="s">
        <v>16223</v>
      </c>
      <c r="WYK1" s="46" t="s">
        <v>16224</v>
      </c>
      <c r="WYL1" s="46" t="s">
        <v>16225</v>
      </c>
      <c r="WYM1" s="46" t="s">
        <v>16226</v>
      </c>
      <c r="WYN1" s="46" t="s">
        <v>16227</v>
      </c>
      <c r="WYO1" s="46" t="s">
        <v>16228</v>
      </c>
      <c r="WYP1" s="46" t="s">
        <v>16229</v>
      </c>
      <c r="WYQ1" s="46" t="s">
        <v>16230</v>
      </c>
      <c r="WYR1" s="46" t="s">
        <v>16231</v>
      </c>
      <c r="WYS1" s="46" t="s">
        <v>16232</v>
      </c>
      <c r="WYT1" s="46" t="s">
        <v>16233</v>
      </c>
      <c r="WYU1" s="46" t="s">
        <v>16234</v>
      </c>
      <c r="WYV1" s="46" t="s">
        <v>16235</v>
      </c>
      <c r="WYW1" s="46" t="s">
        <v>16236</v>
      </c>
      <c r="WYX1" s="46" t="s">
        <v>16237</v>
      </c>
      <c r="WYY1" s="46" t="s">
        <v>16238</v>
      </c>
      <c r="WYZ1" s="46" t="s">
        <v>16239</v>
      </c>
      <c r="WZA1" s="46" t="s">
        <v>16240</v>
      </c>
      <c r="WZB1" s="46" t="s">
        <v>16241</v>
      </c>
      <c r="WZC1" s="46" t="s">
        <v>16242</v>
      </c>
      <c r="WZD1" s="46" t="s">
        <v>16243</v>
      </c>
      <c r="WZE1" s="46" t="s">
        <v>16244</v>
      </c>
      <c r="WZF1" s="46" t="s">
        <v>16245</v>
      </c>
      <c r="WZG1" s="46" t="s">
        <v>16246</v>
      </c>
      <c r="WZH1" s="46" t="s">
        <v>16247</v>
      </c>
      <c r="WZI1" s="46" t="s">
        <v>16248</v>
      </c>
      <c r="WZJ1" s="46" t="s">
        <v>16249</v>
      </c>
      <c r="WZK1" s="46" t="s">
        <v>16250</v>
      </c>
      <c r="WZL1" s="46" t="s">
        <v>16251</v>
      </c>
      <c r="WZM1" s="46" t="s">
        <v>16252</v>
      </c>
      <c r="WZN1" s="46" t="s">
        <v>16253</v>
      </c>
      <c r="WZO1" s="46" t="s">
        <v>16254</v>
      </c>
      <c r="WZP1" s="46" t="s">
        <v>16255</v>
      </c>
      <c r="WZQ1" s="46" t="s">
        <v>16256</v>
      </c>
      <c r="WZR1" s="46" t="s">
        <v>16257</v>
      </c>
      <c r="WZS1" s="46" t="s">
        <v>16258</v>
      </c>
      <c r="WZT1" s="46" t="s">
        <v>16259</v>
      </c>
      <c r="WZU1" s="46" t="s">
        <v>16260</v>
      </c>
      <c r="WZV1" s="46" t="s">
        <v>16261</v>
      </c>
      <c r="WZW1" s="46" t="s">
        <v>16262</v>
      </c>
      <c r="WZX1" s="46" t="s">
        <v>16263</v>
      </c>
      <c r="WZY1" s="46" t="s">
        <v>16264</v>
      </c>
      <c r="WZZ1" s="46" t="s">
        <v>16265</v>
      </c>
      <c r="XAA1" s="46" t="s">
        <v>16266</v>
      </c>
      <c r="XAB1" s="46" t="s">
        <v>16267</v>
      </c>
      <c r="XAC1" s="46" t="s">
        <v>16268</v>
      </c>
      <c r="XAD1" s="46" t="s">
        <v>16269</v>
      </c>
      <c r="XAE1" s="46" t="s">
        <v>16270</v>
      </c>
      <c r="XAF1" s="46" t="s">
        <v>16271</v>
      </c>
      <c r="XAG1" s="46" t="s">
        <v>16272</v>
      </c>
      <c r="XAH1" s="46" t="s">
        <v>16273</v>
      </c>
      <c r="XAI1" s="46" t="s">
        <v>16274</v>
      </c>
      <c r="XAJ1" s="46" t="s">
        <v>16275</v>
      </c>
      <c r="XAK1" s="46" t="s">
        <v>16276</v>
      </c>
      <c r="XAL1" s="46" t="s">
        <v>16277</v>
      </c>
      <c r="XAM1" s="46" t="s">
        <v>16278</v>
      </c>
      <c r="XAN1" s="46" t="s">
        <v>16279</v>
      </c>
      <c r="XAO1" s="46" t="s">
        <v>16280</v>
      </c>
      <c r="XAP1" s="46" t="s">
        <v>16281</v>
      </c>
      <c r="XAQ1" s="46" t="s">
        <v>16282</v>
      </c>
      <c r="XAR1" s="46" t="s">
        <v>16283</v>
      </c>
      <c r="XAS1" s="46" t="s">
        <v>16284</v>
      </c>
      <c r="XAT1" s="46" t="s">
        <v>16285</v>
      </c>
      <c r="XAU1" s="46" t="s">
        <v>16286</v>
      </c>
      <c r="XAV1" s="46" t="s">
        <v>16287</v>
      </c>
      <c r="XAW1" s="46" t="s">
        <v>16288</v>
      </c>
      <c r="XAX1" s="46" t="s">
        <v>16289</v>
      </c>
      <c r="XAY1" s="46" t="s">
        <v>16290</v>
      </c>
      <c r="XAZ1" s="46" t="s">
        <v>16291</v>
      </c>
      <c r="XBA1" s="46" t="s">
        <v>16292</v>
      </c>
      <c r="XBB1" s="46" t="s">
        <v>16293</v>
      </c>
      <c r="XBC1" s="46" t="s">
        <v>16294</v>
      </c>
      <c r="XBD1" s="46" t="s">
        <v>16295</v>
      </c>
      <c r="XBE1" s="46" t="s">
        <v>16296</v>
      </c>
      <c r="XBF1" s="46" t="s">
        <v>16297</v>
      </c>
      <c r="XBG1" s="46" t="s">
        <v>16298</v>
      </c>
      <c r="XBH1" s="46" t="s">
        <v>16299</v>
      </c>
      <c r="XBI1" s="46" t="s">
        <v>16300</v>
      </c>
      <c r="XBJ1" s="46" t="s">
        <v>16301</v>
      </c>
      <c r="XBK1" s="46" t="s">
        <v>16302</v>
      </c>
      <c r="XBL1" s="46" t="s">
        <v>16303</v>
      </c>
      <c r="XBM1" s="46" t="s">
        <v>16304</v>
      </c>
      <c r="XBN1" s="46" t="s">
        <v>16305</v>
      </c>
      <c r="XBO1" s="46" t="s">
        <v>16306</v>
      </c>
      <c r="XBP1" s="46" t="s">
        <v>16307</v>
      </c>
      <c r="XBQ1" s="46" t="s">
        <v>16308</v>
      </c>
      <c r="XBR1" s="46" t="s">
        <v>16309</v>
      </c>
      <c r="XBS1" s="46" t="s">
        <v>16310</v>
      </c>
      <c r="XBT1" s="46" t="s">
        <v>16311</v>
      </c>
      <c r="XBU1" s="46" t="s">
        <v>16312</v>
      </c>
      <c r="XBV1" s="46" t="s">
        <v>16313</v>
      </c>
      <c r="XBW1" s="46" t="s">
        <v>16314</v>
      </c>
      <c r="XBX1" s="46" t="s">
        <v>16315</v>
      </c>
      <c r="XBY1" s="46" t="s">
        <v>16316</v>
      </c>
      <c r="XBZ1" s="46" t="s">
        <v>16317</v>
      </c>
      <c r="XCA1" s="46" t="s">
        <v>16318</v>
      </c>
      <c r="XCB1" s="46" t="s">
        <v>16319</v>
      </c>
      <c r="XCC1" s="46" t="s">
        <v>16320</v>
      </c>
      <c r="XCD1" s="46" t="s">
        <v>16321</v>
      </c>
      <c r="XCE1" s="46" t="s">
        <v>16322</v>
      </c>
      <c r="XCF1" s="46" t="s">
        <v>16323</v>
      </c>
      <c r="XCG1" s="46" t="s">
        <v>16324</v>
      </c>
      <c r="XCH1" s="46" t="s">
        <v>16325</v>
      </c>
      <c r="XCI1" s="46" t="s">
        <v>16326</v>
      </c>
      <c r="XCJ1" s="46" t="s">
        <v>16327</v>
      </c>
      <c r="XCK1" s="46" t="s">
        <v>16328</v>
      </c>
      <c r="XCL1" s="46" t="s">
        <v>16329</v>
      </c>
      <c r="XCM1" s="46" t="s">
        <v>16330</v>
      </c>
      <c r="XCN1" s="46" t="s">
        <v>16331</v>
      </c>
      <c r="XCO1" s="46" t="s">
        <v>16332</v>
      </c>
      <c r="XCP1" s="46" t="s">
        <v>16333</v>
      </c>
      <c r="XCQ1" s="46" t="s">
        <v>16334</v>
      </c>
      <c r="XCR1" s="46" t="s">
        <v>16335</v>
      </c>
      <c r="XCS1" s="46" t="s">
        <v>16336</v>
      </c>
      <c r="XCT1" s="46" t="s">
        <v>16337</v>
      </c>
      <c r="XCU1" s="46" t="s">
        <v>16338</v>
      </c>
      <c r="XCV1" s="46" t="s">
        <v>16339</v>
      </c>
      <c r="XCW1" s="46" t="s">
        <v>16340</v>
      </c>
      <c r="XCX1" s="46" t="s">
        <v>16341</v>
      </c>
      <c r="XCY1" s="46" t="s">
        <v>16342</v>
      </c>
      <c r="XCZ1" s="46" t="s">
        <v>16343</v>
      </c>
      <c r="XDA1" s="46" t="s">
        <v>16344</v>
      </c>
      <c r="XDB1" s="46" t="s">
        <v>16345</v>
      </c>
      <c r="XDC1" s="46" t="s">
        <v>16346</v>
      </c>
      <c r="XDD1" s="46" t="s">
        <v>16347</v>
      </c>
      <c r="XDE1" s="46" t="s">
        <v>16348</v>
      </c>
      <c r="XDF1" s="46" t="s">
        <v>16349</v>
      </c>
      <c r="XDG1" s="46" t="s">
        <v>16350</v>
      </c>
      <c r="XDH1" s="46" t="s">
        <v>16351</v>
      </c>
      <c r="XDI1" s="46" t="s">
        <v>16352</v>
      </c>
      <c r="XDJ1" s="46" t="s">
        <v>16353</v>
      </c>
      <c r="XDK1" s="46" t="s">
        <v>16354</v>
      </c>
      <c r="XDL1" s="46" t="s">
        <v>16355</v>
      </c>
      <c r="XDM1" s="46" t="s">
        <v>16356</v>
      </c>
      <c r="XDN1" s="46" t="s">
        <v>16357</v>
      </c>
      <c r="XDO1" s="46" t="s">
        <v>16358</v>
      </c>
      <c r="XDP1" s="46" t="s">
        <v>16359</v>
      </c>
      <c r="XDQ1" s="46" t="s">
        <v>16360</v>
      </c>
      <c r="XDR1" s="46" t="s">
        <v>16361</v>
      </c>
      <c r="XDS1" s="46" t="s">
        <v>16362</v>
      </c>
      <c r="XDT1" s="46" t="s">
        <v>16363</v>
      </c>
      <c r="XDU1" s="46" t="s">
        <v>16364</v>
      </c>
      <c r="XDV1" s="46" t="s">
        <v>16365</v>
      </c>
      <c r="XDW1" s="46" t="s">
        <v>16366</v>
      </c>
      <c r="XDX1" s="46" t="s">
        <v>16367</v>
      </c>
      <c r="XDY1" s="46" t="s">
        <v>16368</v>
      </c>
      <c r="XDZ1" s="46" t="s">
        <v>16369</v>
      </c>
      <c r="XEA1" s="46" t="s">
        <v>16370</v>
      </c>
      <c r="XEB1" s="46" t="s">
        <v>16371</v>
      </c>
      <c r="XEC1" s="46" t="s">
        <v>16372</v>
      </c>
      <c r="XED1" s="46" t="s">
        <v>16373</v>
      </c>
      <c r="XEE1" s="46" t="s">
        <v>16374</v>
      </c>
      <c r="XEF1" s="46" t="s">
        <v>16375</v>
      </c>
      <c r="XEG1" s="46" t="s">
        <v>16376</v>
      </c>
      <c r="XEH1" s="46" t="s">
        <v>16377</v>
      </c>
      <c r="XEI1" s="46" t="s">
        <v>16378</v>
      </c>
      <c r="XEJ1" s="46" t="s">
        <v>16379</v>
      </c>
      <c r="XEK1" s="46" t="s">
        <v>16380</v>
      </c>
      <c r="XEL1" s="46" t="s">
        <v>16381</v>
      </c>
      <c r="XEM1" s="46" t="s">
        <v>16382</v>
      </c>
      <c r="XEN1" s="46" t="s">
        <v>16383</v>
      </c>
      <c r="XEO1" s="46" t="s">
        <v>16384</v>
      </c>
      <c r="XEP1" s="46" t="s">
        <v>16385</v>
      </c>
      <c r="XEQ1" s="46" t="s">
        <v>16386</v>
      </c>
      <c r="XER1" s="46" t="s">
        <v>16387</v>
      </c>
      <c r="XES1" s="46" t="s">
        <v>16388</v>
      </c>
      <c r="XET1" s="46" t="s">
        <v>16389</v>
      </c>
      <c r="XEU1" s="46" t="s">
        <v>16390</v>
      </c>
      <c r="XEV1" s="46" t="s">
        <v>16391</v>
      </c>
      <c r="XEW1" s="46" t="s">
        <v>16392</v>
      </c>
      <c r="XEX1" s="46" t="s">
        <v>16393</v>
      </c>
      <c r="XEY1" s="46" t="s">
        <v>16394</v>
      </c>
      <c r="XEZ1" s="46" t="s">
        <v>16395</v>
      </c>
      <c r="XFA1" s="46" t="s">
        <v>16396</v>
      </c>
      <c r="XFB1" s="46" t="s">
        <v>16397</v>
      </c>
      <c r="XFC1" s="46" t="s">
        <v>16398</v>
      </c>
      <c r="XFD1" s="46" t="s">
        <v>16399</v>
      </c>
    </row>
    <row r="2" spans="1:16384" s="46" customFormat="1" ht="12.75" customHeight="1">
      <c r="A2" s="40">
        <v>10</v>
      </c>
      <c r="B2" s="40" t="s">
        <v>16403</v>
      </c>
      <c r="C2" s="40" t="s">
        <v>16402</v>
      </c>
      <c r="D2" s="40"/>
      <c r="E2" s="30" t="s">
        <v>16450</v>
      </c>
      <c r="F2" s="40" t="s">
        <v>10</v>
      </c>
      <c r="G2" s="40">
        <v>2</v>
      </c>
      <c r="H2" s="40">
        <v>4</v>
      </c>
      <c r="I2" s="47">
        <f>Tabla4[[#This Row],[PRECIO DE LISTA]]+Tabla4[[#This Row],[INSC. / RECARGO ]]-Tabla4[[#This Row],[DESCUENTO]]+Tabla4[[#This Row],[RECARGOS]]</f>
        <v>0</v>
      </c>
      <c r="J2" s="47">
        <v>4345</v>
      </c>
      <c r="K2" s="40"/>
      <c r="L2" s="41">
        <v>4345</v>
      </c>
      <c r="M2" s="40"/>
      <c r="N2" s="40" t="s">
        <v>16405</v>
      </c>
      <c r="O2" s="54"/>
    </row>
    <row r="3" spans="1:16384" s="46" customFormat="1" ht="12.75" customHeight="1">
      <c r="A3" s="40">
        <v>1</v>
      </c>
      <c r="B3" s="40" t="s">
        <v>16406</v>
      </c>
      <c r="C3" s="40" t="s">
        <v>16430</v>
      </c>
      <c r="D3" s="40" t="s">
        <v>16431</v>
      </c>
      <c r="E3" s="30" t="s">
        <v>16451</v>
      </c>
      <c r="F3" s="40" t="s">
        <v>12</v>
      </c>
      <c r="G3" s="40"/>
      <c r="H3" s="40"/>
      <c r="I3" s="47">
        <f>Tabla4[[#This Row],[PRECIO DE LISTA]]+Tabla4[[#This Row],[INSC. / RECARGO ]]-Tabla4[[#This Row],[DESCUENTO]]+Tabla4[[#This Row],[RECARGOS]]</f>
        <v>1395</v>
      </c>
      <c r="J3" s="47">
        <v>1395</v>
      </c>
      <c r="K3" s="40"/>
      <c r="L3" s="41"/>
      <c r="M3" s="40"/>
      <c r="N3" s="40"/>
      <c r="O3" s="54"/>
    </row>
    <row r="4" spans="1:16384" s="46" customFormat="1" ht="12.75" customHeight="1">
      <c r="A4" s="40">
        <v>2</v>
      </c>
      <c r="B4" s="40" t="s">
        <v>16403</v>
      </c>
      <c r="C4" s="40" t="s">
        <v>16436</v>
      </c>
      <c r="D4" s="40" t="s">
        <v>16438</v>
      </c>
      <c r="E4" s="30" t="s">
        <v>16452</v>
      </c>
      <c r="F4" s="40" t="s">
        <v>10</v>
      </c>
      <c r="G4" s="40">
        <v>1</v>
      </c>
      <c r="H4" s="40">
        <v>4</v>
      </c>
      <c r="I4" s="47">
        <f>Tabla4[[#This Row],[PRECIO DE LISTA]]+Tabla4[[#This Row],[INSC. / RECARGO ]]-Tabla4[[#This Row],[DESCUENTO]]+Tabla4[[#This Row],[RECARGOS]]</f>
        <v>2288</v>
      </c>
      <c r="J4" s="47">
        <v>2288</v>
      </c>
      <c r="K4" s="40"/>
      <c r="L4" s="41"/>
      <c r="M4" s="40"/>
      <c r="N4" s="40"/>
      <c r="O4" s="54"/>
    </row>
    <row r="5" spans="1:16384" s="45" customFormat="1" ht="11.25" customHeight="1">
      <c r="A5" s="40">
        <v>1</v>
      </c>
      <c r="B5" s="40" t="s">
        <v>16403</v>
      </c>
      <c r="C5" s="40" t="s">
        <v>16437</v>
      </c>
      <c r="D5" s="40" t="s">
        <v>16438</v>
      </c>
      <c r="E5" s="30" t="s">
        <v>16452</v>
      </c>
      <c r="F5" s="40" t="s">
        <v>9</v>
      </c>
      <c r="G5" s="40" t="s">
        <v>16404</v>
      </c>
      <c r="H5" s="40">
        <v>2</v>
      </c>
      <c r="I5" s="47">
        <f>Tabla4[[#This Row],[PRECIO DE LISTA]]+Tabla4[[#This Row],[INSC. / RECARGO ]]-Tabla4[[#This Row],[DESCUENTO]]+Tabla4[[#This Row],[RECARGOS]]</f>
        <v>3150</v>
      </c>
      <c r="J5" s="47">
        <f>525*6</f>
        <v>3150</v>
      </c>
      <c r="K5" s="47"/>
      <c r="L5" s="47"/>
      <c r="M5" s="47"/>
      <c r="N5" s="57"/>
      <c r="O5" s="53"/>
    </row>
    <row r="6" spans="1:16384" s="45" customFormat="1" ht="11.25" customHeight="1">
      <c r="A6" s="40">
        <v>9</v>
      </c>
      <c r="B6" s="40" t="s">
        <v>19</v>
      </c>
      <c r="C6" s="40" t="s">
        <v>16426</v>
      </c>
      <c r="D6" s="40" t="s">
        <v>16429</v>
      </c>
      <c r="E6" s="30" t="s">
        <v>16453</v>
      </c>
      <c r="F6" s="40" t="s">
        <v>14</v>
      </c>
      <c r="G6" s="40">
        <v>8</v>
      </c>
      <c r="H6" s="40">
        <v>32</v>
      </c>
      <c r="I6" s="47">
        <f>Tabla4[[#This Row],[PRECIO DE LISTA]]+Tabla4[[#This Row],[INSC. / RECARGO ]]-Tabla4[[#This Row],[DESCUENTO]]+Tabla4[[#This Row],[RECARGOS]]</f>
        <v>5625</v>
      </c>
      <c r="J6" s="47">
        <f>250*25</f>
        <v>6250</v>
      </c>
      <c r="K6" s="47"/>
      <c r="L6" s="47">
        <f>Tabla4[[#This Row],[PRECIO DE LISTA]]*0.1</f>
        <v>625</v>
      </c>
      <c r="M6" s="47"/>
      <c r="N6" s="57" t="s">
        <v>16428</v>
      </c>
      <c r="O6" s="53"/>
    </row>
    <row r="7" spans="1:16384" s="46" customFormat="1" ht="12.75" customHeight="1">
      <c r="A7" s="40">
        <v>3</v>
      </c>
      <c r="B7" s="40" t="s">
        <v>16400</v>
      </c>
      <c r="C7" s="40" t="s">
        <v>16402</v>
      </c>
      <c r="D7" s="40" t="s">
        <v>16448</v>
      </c>
      <c r="E7" s="30" t="s">
        <v>16454</v>
      </c>
      <c r="F7" s="40" t="s">
        <v>6</v>
      </c>
      <c r="G7" s="40">
        <v>1</v>
      </c>
      <c r="H7" s="40">
        <v>4</v>
      </c>
      <c r="I7" s="47">
        <f>Tabla4[[#This Row],[PRECIO DE LISTA]]+Tabla4[[#This Row],[INSC. / RECARGO ]]-Tabla4[[#This Row],[DESCUENTO]]+Tabla4[[#This Row],[RECARGOS]]</f>
        <v>3130</v>
      </c>
      <c r="J7" s="47">
        <v>3130</v>
      </c>
      <c r="K7" s="40"/>
      <c r="L7" s="41"/>
      <c r="M7" s="40"/>
      <c r="N7" s="40" t="s">
        <v>16425</v>
      </c>
      <c r="O7" s="54"/>
    </row>
    <row r="8" spans="1:16384">
      <c r="A8" s="60"/>
      <c r="B8" s="60"/>
      <c r="C8" s="60"/>
      <c r="D8" s="60"/>
      <c r="E8" s="61"/>
      <c r="F8" s="60"/>
      <c r="G8" s="60"/>
      <c r="H8" s="60">
        <f>SUBTOTAL(109,Tabla4[SESIONES EN EL MES])</f>
        <v>46</v>
      </c>
      <c r="I8" s="62">
        <f>SUBTOTAL(109,Tabla4[PAGO])</f>
        <v>15588</v>
      </c>
      <c r="J8" s="62"/>
      <c r="K8" s="62">
        <f>SUBTOTAL(109,Tabla4[INSC. / RECARGO ])</f>
        <v>0</v>
      </c>
      <c r="L8" s="62">
        <f>SUBTOTAL(109,Tabla4[DESCUENTO])</f>
        <v>4970</v>
      </c>
      <c r="M8" s="62">
        <f>SUBTOTAL(109,Tabla4[RECARGOS])</f>
        <v>0</v>
      </c>
      <c r="N8" s="60"/>
      <c r="O8" s="63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0"/>
      <c r="EG8" s="60"/>
      <c r="EH8" s="60"/>
      <c r="EI8" s="60"/>
      <c r="EJ8" s="60"/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/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  <c r="FK8" s="60"/>
      <c r="FL8" s="60"/>
      <c r="FM8" s="60"/>
      <c r="FN8" s="60"/>
      <c r="FO8" s="60"/>
      <c r="FP8" s="60"/>
      <c r="FQ8" s="60"/>
      <c r="FR8" s="60"/>
      <c r="FS8" s="60"/>
      <c r="FT8" s="60"/>
      <c r="FU8" s="60"/>
      <c r="FV8" s="60"/>
      <c r="FW8" s="60"/>
      <c r="FX8" s="60"/>
      <c r="FY8" s="60"/>
      <c r="FZ8" s="60"/>
      <c r="GA8" s="60"/>
      <c r="GB8" s="60"/>
      <c r="GC8" s="60"/>
      <c r="GD8" s="60"/>
      <c r="GE8" s="60"/>
      <c r="GF8" s="60"/>
      <c r="GG8" s="60"/>
      <c r="GH8" s="60"/>
      <c r="GI8" s="60"/>
      <c r="GJ8" s="60"/>
      <c r="GK8" s="60"/>
      <c r="GL8" s="60"/>
      <c r="GM8" s="60"/>
      <c r="GN8" s="60"/>
      <c r="GO8" s="60"/>
      <c r="GP8" s="60"/>
      <c r="GQ8" s="60"/>
      <c r="GR8" s="60"/>
      <c r="GS8" s="60"/>
      <c r="GT8" s="60"/>
      <c r="GU8" s="60"/>
      <c r="GV8" s="60"/>
      <c r="GW8" s="60"/>
      <c r="GX8" s="60"/>
      <c r="GY8" s="60"/>
      <c r="GZ8" s="60"/>
      <c r="HA8" s="60"/>
      <c r="HB8" s="60"/>
      <c r="HC8" s="60"/>
      <c r="HD8" s="60"/>
      <c r="HE8" s="60"/>
      <c r="HF8" s="60"/>
      <c r="HG8" s="60"/>
      <c r="HH8" s="60"/>
      <c r="HI8" s="60"/>
      <c r="HJ8" s="60"/>
      <c r="HK8" s="60"/>
      <c r="HL8" s="60"/>
      <c r="HM8" s="60"/>
      <c r="HN8" s="60"/>
      <c r="HO8" s="60"/>
      <c r="HP8" s="60"/>
      <c r="HQ8" s="60"/>
      <c r="HR8" s="60"/>
      <c r="HS8" s="60"/>
      <c r="HT8" s="60"/>
      <c r="HU8" s="60"/>
      <c r="HV8" s="60"/>
      <c r="HW8" s="60"/>
      <c r="HX8" s="60"/>
      <c r="HY8" s="60"/>
      <c r="HZ8" s="60"/>
      <c r="IA8" s="60"/>
      <c r="IB8" s="60"/>
      <c r="IC8" s="60"/>
      <c r="ID8" s="60"/>
      <c r="IE8" s="60"/>
      <c r="IF8" s="60"/>
      <c r="IG8" s="60"/>
      <c r="IH8" s="60"/>
      <c r="II8" s="60"/>
      <c r="IJ8" s="60"/>
      <c r="IK8" s="60"/>
      <c r="IL8" s="60"/>
      <c r="IM8" s="60"/>
      <c r="IN8" s="60"/>
      <c r="IO8" s="60"/>
      <c r="IP8" s="60"/>
      <c r="IQ8" s="60"/>
      <c r="IR8" s="60"/>
      <c r="IS8" s="60"/>
      <c r="IT8" s="60"/>
      <c r="IU8" s="60"/>
      <c r="IV8" s="60"/>
      <c r="IW8" s="60"/>
      <c r="IX8" s="60"/>
      <c r="IY8" s="60"/>
      <c r="IZ8" s="60"/>
      <c r="JA8" s="60"/>
      <c r="JB8" s="60"/>
      <c r="JC8" s="60"/>
      <c r="JD8" s="60"/>
      <c r="JE8" s="60"/>
      <c r="JF8" s="60"/>
      <c r="JG8" s="60"/>
      <c r="JH8" s="60"/>
      <c r="JI8" s="60"/>
      <c r="JJ8" s="60"/>
      <c r="JK8" s="60"/>
      <c r="JL8" s="60"/>
      <c r="JM8" s="60"/>
      <c r="JN8" s="60"/>
      <c r="JO8" s="60"/>
      <c r="JP8" s="60"/>
      <c r="JQ8" s="60"/>
      <c r="JR8" s="60"/>
      <c r="JS8" s="60"/>
      <c r="JT8" s="60"/>
      <c r="JU8" s="60"/>
      <c r="JV8" s="60"/>
      <c r="JW8" s="60"/>
      <c r="JX8" s="60"/>
      <c r="JY8" s="60"/>
      <c r="JZ8" s="60"/>
      <c r="KA8" s="60"/>
      <c r="KB8" s="60"/>
      <c r="KC8" s="60"/>
      <c r="KD8" s="60"/>
      <c r="KE8" s="60"/>
      <c r="KF8" s="60"/>
      <c r="KG8" s="60"/>
      <c r="KH8" s="60"/>
      <c r="KI8" s="60"/>
      <c r="KJ8" s="60"/>
      <c r="KK8" s="60"/>
      <c r="KL8" s="60"/>
      <c r="KM8" s="60"/>
      <c r="KN8" s="60"/>
      <c r="KO8" s="60"/>
      <c r="KP8" s="60"/>
      <c r="KQ8" s="60"/>
      <c r="KR8" s="60"/>
      <c r="KS8" s="60"/>
      <c r="KT8" s="60"/>
      <c r="KU8" s="60"/>
      <c r="KV8" s="60"/>
      <c r="KW8" s="60"/>
      <c r="KX8" s="60"/>
      <c r="KY8" s="60"/>
      <c r="KZ8" s="60"/>
      <c r="LA8" s="60"/>
      <c r="LB8" s="60"/>
      <c r="LC8" s="60"/>
      <c r="LD8" s="60"/>
      <c r="LE8" s="60"/>
      <c r="LF8" s="60"/>
      <c r="LG8" s="60"/>
      <c r="LH8" s="60"/>
      <c r="LI8" s="60"/>
      <c r="LJ8" s="60"/>
      <c r="LK8" s="60"/>
      <c r="LL8" s="60"/>
      <c r="LM8" s="60"/>
      <c r="LN8" s="60"/>
      <c r="LO8" s="60"/>
      <c r="LP8" s="60"/>
      <c r="LQ8" s="60"/>
      <c r="LR8" s="60"/>
      <c r="LS8" s="60"/>
      <c r="LT8" s="60"/>
      <c r="LU8" s="60"/>
      <c r="LV8" s="60"/>
      <c r="LW8" s="60"/>
      <c r="LX8" s="60"/>
      <c r="LY8" s="60"/>
      <c r="LZ8" s="60"/>
      <c r="MA8" s="60"/>
      <c r="MB8" s="60"/>
      <c r="MC8" s="60"/>
      <c r="MD8" s="60"/>
      <c r="ME8" s="60"/>
      <c r="MF8" s="60"/>
      <c r="MG8" s="60"/>
      <c r="MH8" s="60"/>
      <c r="MI8" s="60"/>
      <c r="MJ8" s="60"/>
      <c r="MK8" s="60"/>
      <c r="ML8" s="60"/>
      <c r="MM8" s="60"/>
      <c r="MN8" s="60"/>
      <c r="MO8" s="60"/>
      <c r="MP8" s="60"/>
      <c r="MQ8" s="60"/>
      <c r="MR8" s="60"/>
      <c r="MS8" s="60"/>
      <c r="MT8" s="60"/>
      <c r="MU8" s="60"/>
      <c r="MV8" s="60"/>
      <c r="MW8" s="60"/>
      <c r="MX8" s="60"/>
      <c r="MY8" s="60"/>
      <c r="MZ8" s="60"/>
      <c r="NA8" s="60"/>
      <c r="NB8" s="60"/>
      <c r="NC8" s="60"/>
      <c r="ND8" s="60"/>
      <c r="NE8" s="60"/>
      <c r="NF8" s="60"/>
      <c r="NG8" s="60"/>
      <c r="NH8" s="60"/>
      <c r="NI8" s="60"/>
      <c r="NJ8" s="60"/>
      <c r="NK8" s="60"/>
      <c r="NL8" s="60"/>
      <c r="NM8" s="60"/>
      <c r="NN8" s="60"/>
      <c r="NO8" s="60"/>
      <c r="NP8" s="60"/>
      <c r="NQ8" s="60"/>
      <c r="NR8" s="60"/>
      <c r="NS8" s="60"/>
      <c r="NT8" s="60"/>
      <c r="NU8" s="60"/>
      <c r="NV8" s="60"/>
      <c r="NW8" s="60"/>
      <c r="NX8" s="60"/>
      <c r="NY8" s="60"/>
      <c r="NZ8" s="60"/>
      <c r="OA8" s="60"/>
      <c r="OB8" s="60"/>
      <c r="OC8" s="60"/>
      <c r="OD8" s="60"/>
      <c r="OE8" s="60"/>
      <c r="OF8" s="60"/>
      <c r="OG8" s="60"/>
      <c r="OH8" s="60"/>
      <c r="OI8" s="60"/>
      <c r="OJ8" s="60"/>
      <c r="OK8" s="60"/>
      <c r="OL8" s="60"/>
      <c r="OM8" s="60"/>
      <c r="ON8" s="60"/>
      <c r="OO8" s="60"/>
      <c r="OP8" s="60"/>
      <c r="OQ8" s="60"/>
      <c r="OR8" s="60"/>
      <c r="OS8" s="60"/>
      <c r="OT8" s="60"/>
      <c r="OU8" s="60"/>
      <c r="OV8" s="60"/>
      <c r="OW8" s="60"/>
      <c r="OX8" s="60"/>
      <c r="OY8" s="60"/>
      <c r="OZ8" s="60"/>
      <c r="PA8" s="60"/>
      <c r="PB8" s="60"/>
      <c r="PC8" s="60"/>
      <c r="PD8" s="60"/>
      <c r="PE8" s="60"/>
      <c r="PF8" s="60"/>
      <c r="PG8" s="60"/>
      <c r="PH8" s="60"/>
      <c r="PI8" s="60"/>
      <c r="PJ8" s="60"/>
      <c r="PK8" s="60"/>
      <c r="PL8" s="60"/>
      <c r="PM8" s="60"/>
      <c r="PN8" s="60"/>
      <c r="PO8" s="60"/>
      <c r="PP8" s="60"/>
      <c r="PQ8" s="60"/>
      <c r="PR8" s="60"/>
      <c r="PS8" s="60"/>
      <c r="PT8" s="60"/>
      <c r="PU8" s="60"/>
      <c r="PV8" s="60"/>
      <c r="PW8" s="60"/>
      <c r="PX8" s="60"/>
      <c r="PY8" s="60"/>
      <c r="PZ8" s="60"/>
      <c r="QA8" s="60"/>
      <c r="QB8" s="60"/>
      <c r="QC8" s="60"/>
      <c r="QD8" s="60"/>
      <c r="QE8" s="60"/>
      <c r="QF8" s="60"/>
      <c r="QG8" s="60"/>
      <c r="QH8" s="60"/>
      <c r="QI8" s="60"/>
      <c r="QJ8" s="60"/>
      <c r="QK8" s="60"/>
      <c r="QL8" s="60"/>
      <c r="QM8" s="60"/>
      <c r="QN8" s="60"/>
      <c r="QO8" s="60"/>
      <c r="QP8" s="60"/>
      <c r="QQ8" s="60"/>
      <c r="QR8" s="60"/>
      <c r="QS8" s="60"/>
      <c r="QT8" s="60"/>
      <c r="QU8" s="60"/>
      <c r="QV8" s="60"/>
      <c r="QW8" s="60"/>
      <c r="QX8" s="60"/>
      <c r="QY8" s="60"/>
      <c r="QZ8" s="60"/>
      <c r="RA8" s="60"/>
      <c r="RB8" s="60"/>
      <c r="RC8" s="60"/>
      <c r="RD8" s="60"/>
      <c r="RE8" s="60"/>
      <c r="RF8" s="60"/>
      <c r="RG8" s="60"/>
      <c r="RH8" s="60"/>
      <c r="RI8" s="60"/>
      <c r="RJ8" s="60"/>
      <c r="RK8" s="60"/>
      <c r="RL8" s="60"/>
      <c r="RM8" s="60"/>
      <c r="RN8" s="60"/>
      <c r="RO8" s="60"/>
      <c r="RP8" s="60"/>
      <c r="RQ8" s="60"/>
      <c r="RR8" s="60"/>
      <c r="RS8" s="60"/>
      <c r="RT8" s="60"/>
      <c r="RU8" s="60"/>
      <c r="RV8" s="60"/>
      <c r="RW8" s="60"/>
      <c r="RX8" s="60"/>
      <c r="RY8" s="60"/>
      <c r="RZ8" s="60"/>
      <c r="SA8" s="60"/>
      <c r="SB8" s="60"/>
      <c r="SC8" s="60"/>
      <c r="SD8" s="60"/>
      <c r="SE8" s="60"/>
      <c r="SF8" s="60"/>
      <c r="SG8" s="60"/>
      <c r="SH8" s="60"/>
      <c r="SI8" s="60"/>
      <c r="SJ8" s="60"/>
      <c r="SK8" s="60"/>
      <c r="SL8" s="60"/>
      <c r="SM8" s="60"/>
      <c r="SN8" s="60"/>
      <c r="SO8" s="60"/>
      <c r="SP8" s="60"/>
      <c r="SQ8" s="60"/>
      <c r="SR8" s="60"/>
      <c r="SS8" s="60"/>
      <c r="ST8" s="60"/>
      <c r="SU8" s="60"/>
      <c r="SV8" s="60"/>
      <c r="SW8" s="60"/>
      <c r="SX8" s="60"/>
      <c r="SY8" s="60"/>
      <c r="SZ8" s="60"/>
      <c r="TA8" s="60"/>
      <c r="TB8" s="60"/>
      <c r="TC8" s="60"/>
      <c r="TD8" s="60"/>
      <c r="TE8" s="60"/>
      <c r="TF8" s="60"/>
      <c r="TG8" s="60"/>
      <c r="TH8" s="60"/>
      <c r="TI8" s="60"/>
      <c r="TJ8" s="60"/>
      <c r="TK8" s="60"/>
      <c r="TL8" s="60"/>
      <c r="TM8" s="60"/>
      <c r="TN8" s="60"/>
      <c r="TO8" s="60"/>
      <c r="TP8" s="60"/>
      <c r="TQ8" s="60"/>
      <c r="TR8" s="60"/>
      <c r="TS8" s="60"/>
      <c r="TT8" s="60"/>
      <c r="TU8" s="60"/>
      <c r="TV8" s="60"/>
      <c r="TW8" s="60"/>
      <c r="TX8" s="60"/>
      <c r="TY8" s="60"/>
      <c r="TZ8" s="60"/>
      <c r="UA8" s="60"/>
      <c r="UB8" s="60"/>
      <c r="UC8" s="60"/>
      <c r="UD8" s="60"/>
      <c r="UE8" s="60"/>
      <c r="UF8" s="60"/>
      <c r="UG8" s="60"/>
      <c r="UH8" s="60"/>
      <c r="UI8" s="60"/>
      <c r="UJ8" s="60"/>
      <c r="UK8" s="60"/>
      <c r="UL8" s="60"/>
      <c r="UM8" s="60"/>
      <c r="UN8" s="60"/>
      <c r="UO8" s="60"/>
      <c r="UP8" s="60"/>
      <c r="UQ8" s="60"/>
      <c r="UR8" s="60"/>
      <c r="US8" s="60"/>
      <c r="UT8" s="60"/>
      <c r="UU8" s="60"/>
      <c r="UV8" s="60"/>
      <c r="UW8" s="60"/>
      <c r="UX8" s="60"/>
      <c r="UY8" s="60"/>
      <c r="UZ8" s="60"/>
      <c r="VA8" s="60"/>
      <c r="VB8" s="60"/>
      <c r="VC8" s="60"/>
      <c r="VD8" s="60"/>
      <c r="VE8" s="60"/>
      <c r="VF8" s="60"/>
      <c r="VG8" s="60"/>
      <c r="VH8" s="60"/>
      <c r="VI8" s="60"/>
      <c r="VJ8" s="60"/>
      <c r="VK8" s="60"/>
      <c r="VL8" s="60"/>
      <c r="VM8" s="60"/>
      <c r="VN8" s="60"/>
      <c r="VO8" s="60"/>
      <c r="VP8" s="60"/>
      <c r="VQ8" s="60"/>
      <c r="VR8" s="60"/>
      <c r="VS8" s="60"/>
      <c r="VT8" s="60"/>
      <c r="VU8" s="60"/>
      <c r="VV8" s="60"/>
      <c r="VW8" s="60"/>
      <c r="VX8" s="60"/>
      <c r="VY8" s="60"/>
      <c r="VZ8" s="60"/>
      <c r="WA8" s="60"/>
      <c r="WB8" s="60"/>
      <c r="WC8" s="60"/>
      <c r="WD8" s="60"/>
      <c r="WE8" s="60"/>
      <c r="WF8" s="60"/>
      <c r="WG8" s="60"/>
      <c r="WH8" s="60"/>
      <c r="WI8" s="60"/>
      <c r="WJ8" s="60"/>
      <c r="WK8" s="60"/>
      <c r="WL8" s="60"/>
      <c r="WM8" s="60"/>
      <c r="WN8" s="60"/>
      <c r="WO8" s="60"/>
      <c r="WP8" s="60"/>
      <c r="WQ8" s="60"/>
      <c r="WR8" s="60"/>
      <c r="WS8" s="60"/>
      <c r="WT8" s="60"/>
      <c r="WU8" s="60"/>
      <c r="WV8" s="60"/>
      <c r="WW8" s="60"/>
      <c r="WX8" s="60"/>
      <c r="WY8" s="60"/>
      <c r="WZ8" s="60"/>
      <c r="XA8" s="60"/>
      <c r="XB8" s="60"/>
      <c r="XC8" s="60"/>
      <c r="XD8" s="60"/>
      <c r="XE8" s="60"/>
      <c r="XF8" s="60"/>
      <c r="XG8" s="60"/>
      <c r="XH8" s="60"/>
      <c r="XI8" s="60"/>
      <c r="XJ8" s="60"/>
      <c r="XK8" s="60"/>
      <c r="XL8" s="60"/>
      <c r="XM8" s="60"/>
      <c r="XN8" s="60"/>
      <c r="XO8" s="60"/>
      <c r="XP8" s="60"/>
      <c r="XQ8" s="60"/>
      <c r="XR8" s="60"/>
      <c r="XS8" s="60"/>
      <c r="XT8" s="60"/>
      <c r="XU8" s="60"/>
      <c r="XV8" s="60"/>
      <c r="XW8" s="60"/>
      <c r="XX8" s="60"/>
      <c r="XY8" s="60"/>
      <c r="XZ8" s="60"/>
      <c r="YA8" s="60"/>
      <c r="YB8" s="60"/>
      <c r="YC8" s="60"/>
      <c r="YD8" s="60"/>
      <c r="YE8" s="60"/>
      <c r="YF8" s="60"/>
      <c r="YG8" s="60"/>
      <c r="YH8" s="60"/>
      <c r="YI8" s="60"/>
      <c r="YJ8" s="60"/>
      <c r="YK8" s="60"/>
      <c r="YL8" s="60"/>
      <c r="YM8" s="60"/>
      <c r="YN8" s="60"/>
      <c r="YO8" s="60"/>
      <c r="YP8" s="60"/>
      <c r="YQ8" s="60"/>
      <c r="YR8" s="60"/>
      <c r="YS8" s="60"/>
      <c r="YT8" s="60"/>
      <c r="YU8" s="60"/>
      <c r="YV8" s="60"/>
      <c r="YW8" s="60"/>
      <c r="YX8" s="60"/>
      <c r="YY8" s="60"/>
      <c r="YZ8" s="60"/>
      <c r="ZA8" s="60"/>
      <c r="ZB8" s="60"/>
      <c r="ZC8" s="60"/>
      <c r="ZD8" s="60"/>
      <c r="ZE8" s="60"/>
      <c r="ZF8" s="60"/>
      <c r="ZG8" s="60"/>
      <c r="ZH8" s="60"/>
      <c r="ZI8" s="60"/>
      <c r="ZJ8" s="60"/>
      <c r="ZK8" s="60"/>
      <c r="ZL8" s="60"/>
      <c r="ZM8" s="60"/>
      <c r="ZN8" s="60"/>
      <c r="ZO8" s="60"/>
      <c r="ZP8" s="60"/>
      <c r="ZQ8" s="60"/>
      <c r="ZR8" s="60"/>
      <c r="ZS8" s="60"/>
      <c r="ZT8" s="60"/>
      <c r="ZU8" s="60"/>
      <c r="ZV8" s="60"/>
      <c r="ZW8" s="60"/>
      <c r="ZX8" s="60"/>
      <c r="ZY8" s="60"/>
      <c r="ZZ8" s="60"/>
      <c r="AAA8" s="60"/>
      <c r="AAB8" s="60"/>
      <c r="AAC8" s="60"/>
      <c r="AAD8" s="60"/>
      <c r="AAE8" s="60"/>
      <c r="AAF8" s="60"/>
      <c r="AAG8" s="60"/>
      <c r="AAH8" s="60"/>
      <c r="AAI8" s="60"/>
      <c r="AAJ8" s="60"/>
      <c r="AAK8" s="60"/>
      <c r="AAL8" s="60"/>
      <c r="AAM8" s="60"/>
      <c r="AAN8" s="60"/>
      <c r="AAO8" s="60"/>
      <c r="AAP8" s="60"/>
      <c r="AAQ8" s="60"/>
      <c r="AAR8" s="60"/>
      <c r="AAS8" s="60"/>
      <c r="AAT8" s="60"/>
      <c r="AAU8" s="60"/>
      <c r="AAV8" s="60"/>
      <c r="AAW8" s="60"/>
      <c r="AAX8" s="60"/>
      <c r="AAY8" s="60"/>
      <c r="AAZ8" s="60"/>
      <c r="ABA8" s="60"/>
      <c r="ABB8" s="60"/>
      <c r="ABC8" s="60"/>
      <c r="ABD8" s="60"/>
      <c r="ABE8" s="60"/>
      <c r="ABF8" s="60"/>
      <c r="ABG8" s="60"/>
      <c r="ABH8" s="60"/>
      <c r="ABI8" s="60"/>
      <c r="ABJ8" s="60"/>
      <c r="ABK8" s="60"/>
      <c r="ABL8" s="60"/>
      <c r="ABM8" s="60"/>
      <c r="ABN8" s="60"/>
      <c r="ABO8" s="60"/>
      <c r="ABP8" s="60"/>
      <c r="ABQ8" s="60"/>
      <c r="ABR8" s="60"/>
      <c r="ABS8" s="60"/>
      <c r="ABT8" s="60"/>
      <c r="ABU8" s="60"/>
      <c r="ABV8" s="60"/>
      <c r="ABW8" s="60"/>
      <c r="ABX8" s="60"/>
      <c r="ABY8" s="60"/>
      <c r="ABZ8" s="60"/>
      <c r="ACA8" s="60"/>
      <c r="ACB8" s="60"/>
      <c r="ACC8" s="60"/>
      <c r="ACD8" s="60"/>
      <c r="ACE8" s="60"/>
      <c r="ACF8" s="60"/>
      <c r="ACG8" s="60"/>
      <c r="ACH8" s="60"/>
      <c r="ACI8" s="60"/>
      <c r="ACJ8" s="60"/>
      <c r="ACK8" s="60"/>
      <c r="ACL8" s="60"/>
      <c r="ACM8" s="60"/>
      <c r="ACN8" s="60"/>
      <c r="ACO8" s="60"/>
      <c r="ACP8" s="60"/>
      <c r="ACQ8" s="60"/>
      <c r="ACR8" s="60"/>
      <c r="ACS8" s="60"/>
      <c r="ACT8" s="60"/>
      <c r="ACU8" s="60"/>
      <c r="ACV8" s="60"/>
      <c r="ACW8" s="60"/>
      <c r="ACX8" s="60"/>
      <c r="ACY8" s="60"/>
      <c r="ACZ8" s="60"/>
      <c r="ADA8" s="60"/>
      <c r="ADB8" s="60"/>
      <c r="ADC8" s="60"/>
      <c r="ADD8" s="60"/>
      <c r="ADE8" s="60"/>
      <c r="ADF8" s="60"/>
      <c r="ADG8" s="60"/>
      <c r="ADH8" s="60"/>
      <c r="ADI8" s="60"/>
      <c r="ADJ8" s="60"/>
      <c r="ADK8" s="60"/>
      <c r="ADL8" s="60"/>
      <c r="ADM8" s="60"/>
      <c r="ADN8" s="60"/>
      <c r="ADO8" s="60"/>
      <c r="ADP8" s="60"/>
      <c r="ADQ8" s="60"/>
      <c r="ADR8" s="60"/>
      <c r="ADS8" s="60"/>
      <c r="ADT8" s="60"/>
      <c r="ADU8" s="60"/>
      <c r="ADV8" s="60"/>
      <c r="ADW8" s="60"/>
      <c r="ADX8" s="60"/>
      <c r="ADY8" s="60"/>
      <c r="ADZ8" s="60"/>
      <c r="AEA8" s="60"/>
      <c r="AEB8" s="60"/>
      <c r="AEC8" s="60"/>
      <c r="AED8" s="60"/>
      <c r="AEE8" s="60"/>
      <c r="AEF8" s="60"/>
      <c r="AEG8" s="60"/>
      <c r="AEH8" s="60"/>
      <c r="AEI8" s="60"/>
      <c r="AEJ8" s="60"/>
      <c r="AEK8" s="60"/>
      <c r="AEL8" s="60"/>
      <c r="AEM8" s="60"/>
      <c r="AEN8" s="60"/>
      <c r="AEO8" s="60"/>
      <c r="AEP8" s="60"/>
      <c r="AEQ8" s="60"/>
      <c r="AER8" s="60"/>
      <c r="AES8" s="60"/>
      <c r="AET8" s="60"/>
      <c r="AEU8" s="60"/>
      <c r="AEV8" s="60"/>
      <c r="AEW8" s="60"/>
      <c r="AEX8" s="60"/>
      <c r="AEY8" s="60"/>
      <c r="AEZ8" s="60"/>
      <c r="AFA8" s="60"/>
      <c r="AFB8" s="60"/>
      <c r="AFC8" s="60"/>
      <c r="AFD8" s="60"/>
      <c r="AFE8" s="60"/>
      <c r="AFF8" s="60"/>
      <c r="AFG8" s="60"/>
      <c r="AFH8" s="60"/>
      <c r="AFI8" s="60"/>
      <c r="AFJ8" s="60"/>
      <c r="AFK8" s="60"/>
      <c r="AFL8" s="60"/>
      <c r="AFM8" s="60"/>
      <c r="AFN8" s="60"/>
      <c r="AFO8" s="60"/>
      <c r="AFP8" s="60"/>
      <c r="AFQ8" s="60"/>
      <c r="AFR8" s="60"/>
      <c r="AFS8" s="60"/>
      <c r="AFT8" s="60"/>
      <c r="AFU8" s="60"/>
      <c r="AFV8" s="60"/>
      <c r="AFW8" s="60"/>
      <c r="AFX8" s="60"/>
      <c r="AFY8" s="60"/>
      <c r="AFZ8" s="60"/>
      <c r="AGA8" s="60"/>
      <c r="AGB8" s="60"/>
      <c r="AGC8" s="60"/>
      <c r="AGD8" s="60"/>
      <c r="AGE8" s="60"/>
      <c r="AGF8" s="60"/>
      <c r="AGG8" s="60"/>
      <c r="AGH8" s="60"/>
      <c r="AGI8" s="60"/>
      <c r="AGJ8" s="60"/>
      <c r="AGK8" s="60"/>
      <c r="AGL8" s="60"/>
      <c r="AGM8" s="60"/>
      <c r="AGN8" s="60"/>
      <c r="AGO8" s="60"/>
      <c r="AGP8" s="60"/>
      <c r="AGQ8" s="60"/>
      <c r="AGR8" s="60"/>
      <c r="AGS8" s="60"/>
      <c r="AGT8" s="60"/>
      <c r="AGU8" s="60"/>
      <c r="AGV8" s="60"/>
      <c r="AGW8" s="60"/>
      <c r="AGX8" s="60"/>
      <c r="AGY8" s="60"/>
      <c r="AGZ8" s="60"/>
      <c r="AHA8" s="60"/>
      <c r="AHB8" s="60"/>
      <c r="AHC8" s="60"/>
      <c r="AHD8" s="60"/>
      <c r="AHE8" s="60"/>
      <c r="AHF8" s="60"/>
      <c r="AHG8" s="60"/>
      <c r="AHH8" s="60"/>
      <c r="AHI8" s="60"/>
      <c r="AHJ8" s="60"/>
      <c r="AHK8" s="60"/>
      <c r="AHL8" s="60"/>
      <c r="AHM8" s="60"/>
      <c r="AHN8" s="60"/>
      <c r="AHO8" s="60"/>
      <c r="AHP8" s="60"/>
      <c r="AHQ8" s="60"/>
      <c r="AHR8" s="60"/>
      <c r="AHS8" s="60"/>
      <c r="AHT8" s="60"/>
      <c r="AHU8" s="60"/>
      <c r="AHV8" s="60"/>
      <c r="AHW8" s="60"/>
      <c r="AHX8" s="60"/>
      <c r="AHY8" s="60"/>
      <c r="AHZ8" s="60"/>
      <c r="AIA8" s="60"/>
      <c r="AIB8" s="60"/>
      <c r="AIC8" s="60"/>
      <c r="AID8" s="60"/>
      <c r="AIE8" s="60"/>
      <c r="AIF8" s="60"/>
      <c r="AIG8" s="60"/>
      <c r="AIH8" s="60"/>
      <c r="AII8" s="60"/>
      <c r="AIJ8" s="60"/>
      <c r="AIK8" s="60"/>
      <c r="AIL8" s="60"/>
      <c r="AIM8" s="60"/>
      <c r="AIN8" s="60"/>
      <c r="AIO8" s="60"/>
      <c r="AIP8" s="60"/>
      <c r="AIQ8" s="60"/>
      <c r="AIR8" s="60"/>
      <c r="AIS8" s="60"/>
      <c r="AIT8" s="60"/>
      <c r="AIU8" s="60"/>
      <c r="AIV8" s="60"/>
      <c r="AIW8" s="60"/>
      <c r="AIX8" s="60"/>
      <c r="AIY8" s="60"/>
      <c r="AIZ8" s="60"/>
      <c r="AJA8" s="60"/>
      <c r="AJB8" s="60"/>
      <c r="AJC8" s="60"/>
      <c r="AJD8" s="60"/>
      <c r="AJE8" s="60"/>
      <c r="AJF8" s="60"/>
      <c r="AJG8" s="60"/>
      <c r="AJH8" s="60"/>
      <c r="AJI8" s="60"/>
      <c r="AJJ8" s="60"/>
      <c r="AJK8" s="60"/>
      <c r="AJL8" s="60"/>
      <c r="AJM8" s="60"/>
      <c r="AJN8" s="60"/>
      <c r="AJO8" s="60"/>
      <c r="AJP8" s="60"/>
      <c r="AJQ8" s="60"/>
      <c r="AJR8" s="60"/>
      <c r="AJS8" s="60"/>
      <c r="AJT8" s="60"/>
      <c r="AJU8" s="60"/>
      <c r="AJV8" s="60"/>
      <c r="AJW8" s="60"/>
      <c r="AJX8" s="60"/>
      <c r="AJY8" s="60"/>
      <c r="AJZ8" s="60"/>
      <c r="AKA8" s="60"/>
      <c r="AKB8" s="60"/>
      <c r="AKC8" s="60"/>
      <c r="AKD8" s="60"/>
      <c r="AKE8" s="60"/>
      <c r="AKF8" s="60"/>
      <c r="AKG8" s="60"/>
      <c r="AKH8" s="60"/>
      <c r="AKI8" s="60"/>
      <c r="AKJ8" s="60"/>
      <c r="AKK8" s="60"/>
      <c r="AKL8" s="60"/>
      <c r="AKM8" s="60"/>
      <c r="AKN8" s="60"/>
      <c r="AKO8" s="60"/>
      <c r="AKP8" s="60"/>
      <c r="AKQ8" s="60"/>
      <c r="AKR8" s="60"/>
      <c r="AKS8" s="60"/>
      <c r="AKT8" s="60"/>
      <c r="AKU8" s="60"/>
      <c r="AKV8" s="60"/>
      <c r="AKW8" s="60"/>
      <c r="AKX8" s="60"/>
      <c r="AKY8" s="60"/>
      <c r="AKZ8" s="60"/>
      <c r="ALA8" s="60"/>
      <c r="ALB8" s="60"/>
      <c r="ALC8" s="60"/>
      <c r="ALD8" s="60"/>
      <c r="ALE8" s="60"/>
      <c r="ALF8" s="60"/>
      <c r="ALG8" s="60"/>
      <c r="ALH8" s="60"/>
      <c r="ALI8" s="60"/>
      <c r="ALJ8" s="60"/>
      <c r="ALK8" s="60"/>
      <c r="ALL8" s="60"/>
      <c r="ALM8" s="60"/>
      <c r="ALN8" s="60"/>
      <c r="ALO8" s="60"/>
      <c r="ALP8" s="60"/>
      <c r="ALQ8" s="60"/>
      <c r="ALR8" s="60"/>
      <c r="ALS8" s="60"/>
      <c r="ALT8" s="60"/>
      <c r="ALU8" s="60"/>
      <c r="ALV8" s="60"/>
      <c r="ALW8" s="60"/>
      <c r="ALX8" s="60"/>
      <c r="ALY8" s="60"/>
      <c r="ALZ8" s="60"/>
      <c r="AMA8" s="60"/>
      <c r="AMB8" s="60"/>
      <c r="AMC8" s="60"/>
      <c r="AMD8" s="60"/>
      <c r="AME8" s="60"/>
      <c r="AMF8" s="60"/>
      <c r="AMG8" s="60"/>
      <c r="AMH8" s="60"/>
      <c r="AMI8" s="60"/>
      <c r="AMJ8" s="60"/>
      <c r="AMK8" s="60"/>
      <c r="AML8" s="60"/>
      <c r="AMM8" s="60"/>
      <c r="AMN8" s="60"/>
      <c r="AMO8" s="60"/>
      <c r="AMP8" s="60"/>
      <c r="AMQ8" s="60"/>
      <c r="AMR8" s="60"/>
      <c r="AMS8" s="60"/>
      <c r="AMT8" s="60"/>
      <c r="AMU8" s="60"/>
      <c r="AMV8" s="60"/>
      <c r="AMW8" s="60"/>
      <c r="AMX8" s="60"/>
      <c r="AMY8" s="60"/>
      <c r="AMZ8" s="60"/>
      <c r="ANA8" s="60"/>
      <c r="ANB8" s="60"/>
      <c r="ANC8" s="60"/>
      <c r="AND8" s="60"/>
      <c r="ANE8" s="60"/>
      <c r="ANF8" s="60"/>
      <c r="ANG8" s="60"/>
      <c r="ANH8" s="60"/>
      <c r="ANI8" s="60"/>
      <c r="ANJ8" s="60"/>
      <c r="ANK8" s="60"/>
      <c r="ANL8" s="60"/>
      <c r="ANM8" s="60"/>
      <c r="ANN8" s="60"/>
      <c r="ANO8" s="60"/>
      <c r="ANP8" s="60"/>
      <c r="ANQ8" s="60"/>
      <c r="ANR8" s="60"/>
      <c r="ANS8" s="60"/>
      <c r="ANT8" s="60"/>
      <c r="ANU8" s="60"/>
      <c r="ANV8" s="60"/>
      <c r="ANW8" s="60"/>
      <c r="ANX8" s="60"/>
      <c r="ANY8" s="60"/>
      <c r="ANZ8" s="60"/>
      <c r="AOA8" s="60"/>
      <c r="AOB8" s="60"/>
      <c r="AOC8" s="60"/>
      <c r="AOD8" s="60"/>
      <c r="AOE8" s="60"/>
      <c r="AOF8" s="60"/>
      <c r="AOG8" s="60"/>
      <c r="AOH8" s="60"/>
      <c r="AOI8" s="60"/>
      <c r="AOJ8" s="60"/>
      <c r="AOK8" s="60"/>
      <c r="AOL8" s="60"/>
      <c r="AOM8" s="60"/>
      <c r="AON8" s="60"/>
      <c r="AOO8" s="60"/>
      <c r="AOP8" s="60"/>
      <c r="AOQ8" s="60"/>
      <c r="AOR8" s="60"/>
      <c r="AOS8" s="60"/>
      <c r="AOT8" s="60"/>
      <c r="AOU8" s="60"/>
      <c r="AOV8" s="60"/>
      <c r="AOW8" s="60"/>
      <c r="AOX8" s="60"/>
      <c r="AOY8" s="60"/>
      <c r="AOZ8" s="60"/>
      <c r="APA8" s="60"/>
      <c r="APB8" s="60"/>
      <c r="APC8" s="60"/>
      <c r="APD8" s="60"/>
      <c r="APE8" s="60"/>
      <c r="APF8" s="60"/>
      <c r="APG8" s="60"/>
      <c r="APH8" s="60"/>
      <c r="API8" s="60"/>
      <c r="APJ8" s="60"/>
      <c r="APK8" s="60"/>
      <c r="APL8" s="60"/>
      <c r="APM8" s="60"/>
      <c r="APN8" s="60"/>
      <c r="APO8" s="60"/>
      <c r="APP8" s="60"/>
      <c r="APQ8" s="60"/>
      <c r="APR8" s="60"/>
      <c r="APS8" s="60"/>
      <c r="APT8" s="60"/>
      <c r="APU8" s="60"/>
      <c r="APV8" s="60"/>
      <c r="APW8" s="60"/>
      <c r="APX8" s="60"/>
      <c r="APY8" s="60"/>
      <c r="APZ8" s="60"/>
      <c r="AQA8" s="60"/>
      <c r="AQB8" s="60"/>
      <c r="AQC8" s="60"/>
      <c r="AQD8" s="60"/>
      <c r="AQE8" s="60"/>
      <c r="AQF8" s="60"/>
      <c r="AQG8" s="60"/>
      <c r="AQH8" s="60"/>
      <c r="AQI8" s="60"/>
      <c r="AQJ8" s="60"/>
      <c r="AQK8" s="60"/>
      <c r="AQL8" s="60"/>
      <c r="AQM8" s="60"/>
      <c r="AQN8" s="60"/>
      <c r="AQO8" s="60"/>
      <c r="AQP8" s="60"/>
      <c r="AQQ8" s="60"/>
      <c r="AQR8" s="60"/>
      <c r="AQS8" s="60"/>
      <c r="AQT8" s="60"/>
      <c r="AQU8" s="60"/>
      <c r="AQV8" s="60"/>
      <c r="AQW8" s="60"/>
      <c r="AQX8" s="60"/>
      <c r="AQY8" s="60"/>
      <c r="AQZ8" s="60"/>
      <c r="ARA8" s="60"/>
      <c r="ARB8" s="60"/>
      <c r="ARC8" s="60"/>
      <c r="ARD8" s="60"/>
      <c r="ARE8" s="60"/>
      <c r="ARF8" s="60"/>
      <c r="ARG8" s="60"/>
      <c r="ARH8" s="60"/>
      <c r="ARI8" s="60"/>
      <c r="ARJ8" s="60"/>
      <c r="ARK8" s="60"/>
      <c r="ARL8" s="60"/>
      <c r="ARM8" s="60"/>
      <c r="ARN8" s="60"/>
      <c r="ARO8" s="60"/>
      <c r="ARP8" s="60"/>
      <c r="ARQ8" s="60"/>
      <c r="ARR8" s="60"/>
      <c r="ARS8" s="60"/>
      <c r="ART8" s="60"/>
      <c r="ARU8" s="60"/>
      <c r="ARV8" s="60"/>
      <c r="ARW8" s="60"/>
      <c r="ARX8" s="60"/>
      <c r="ARY8" s="60"/>
      <c r="ARZ8" s="60"/>
      <c r="ASA8" s="60"/>
      <c r="ASB8" s="60"/>
      <c r="ASC8" s="60"/>
      <c r="ASD8" s="60"/>
      <c r="ASE8" s="60"/>
      <c r="ASF8" s="60"/>
      <c r="ASG8" s="60"/>
      <c r="ASH8" s="60"/>
      <c r="ASI8" s="60"/>
      <c r="ASJ8" s="60"/>
      <c r="ASK8" s="60"/>
      <c r="ASL8" s="60"/>
      <c r="ASM8" s="60"/>
      <c r="ASN8" s="60"/>
      <c r="ASO8" s="60"/>
      <c r="ASP8" s="60"/>
      <c r="ASQ8" s="60"/>
      <c r="ASR8" s="60"/>
      <c r="ASS8" s="60"/>
      <c r="AST8" s="60"/>
      <c r="ASU8" s="60"/>
      <c r="ASV8" s="60"/>
      <c r="ASW8" s="60"/>
      <c r="ASX8" s="60"/>
      <c r="ASY8" s="60"/>
      <c r="ASZ8" s="60"/>
      <c r="ATA8" s="60"/>
      <c r="ATB8" s="60"/>
      <c r="ATC8" s="60"/>
      <c r="ATD8" s="60"/>
      <c r="ATE8" s="60"/>
      <c r="ATF8" s="60"/>
      <c r="ATG8" s="60"/>
      <c r="ATH8" s="60"/>
      <c r="ATI8" s="60"/>
      <c r="ATJ8" s="60"/>
      <c r="ATK8" s="60"/>
      <c r="ATL8" s="60"/>
      <c r="ATM8" s="60"/>
      <c r="ATN8" s="60"/>
      <c r="ATO8" s="60"/>
      <c r="ATP8" s="60"/>
      <c r="ATQ8" s="60"/>
      <c r="ATR8" s="60"/>
      <c r="ATS8" s="60"/>
      <c r="ATT8" s="60"/>
      <c r="ATU8" s="60"/>
      <c r="ATV8" s="60"/>
      <c r="ATW8" s="60"/>
      <c r="ATX8" s="60"/>
      <c r="ATY8" s="60"/>
      <c r="ATZ8" s="60"/>
      <c r="AUA8" s="60"/>
      <c r="AUB8" s="60"/>
      <c r="AUC8" s="60"/>
      <c r="AUD8" s="60"/>
      <c r="AUE8" s="60"/>
      <c r="AUF8" s="60"/>
      <c r="AUG8" s="60"/>
      <c r="AUH8" s="60"/>
      <c r="AUI8" s="60"/>
      <c r="AUJ8" s="60"/>
      <c r="AUK8" s="60"/>
      <c r="AUL8" s="60"/>
      <c r="AUM8" s="60"/>
      <c r="AUN8" s="60"/>
      <c r="AUO8" s="60"/>
      <c r="AUP8" s="60"/>
      <c r="AUQ8" s="60"/>
      <c r="AUR8" s="60"/>
      <c r="AUS8" s="60"/>
      <c r="AUT8" s="60"/>
      <c r="AUU8" s="60"/>
      <c r="AUV8" s="60"/>
      <c r="AUW8" s="60"/>
      <c r="AUX8" s="60"/>
      <c r="AUY8" s="60"/>
      <c r="AUZ8" s="60"/>
      <c r="AVA8" s="60"/>
      <c r="AVB8" s="60"/>
      <c r="AVC8" s="60"/>
      <c r="AVD8" s="60"/>
      <c r="AVE8" s="60"/>
      <c r="AVF8" s="60"/>
      <c r="AVG8" s="60"/>
      <c r="AVH8" s="60"/>
      <c r="AVI8" s="60"/>
      <c r="AVJ8" s="60"/>
      <c r="AVK8" s="60"/>
      <c r="AVL8" s="60"/>
      <c r="AVM8" s="60"/>
      <c r="AVN8" s="60"/>
      <c r="AVO8" s="60"/>
      <c r="AVP8" s="60"/>
      <c r="AVQ8" s="60"/>
      <c r="AVR8" s="60"/>
      <c r="AVS8" s="60"/>
      <c r="AVT8" s="60"/>
      <c r="AVU8" s="60"/>
      <c r="AVV8" s="60"/>
      <c r="AVW8" s="60"/>
      <c r="AVX8" s="60"/>
      <c r="AVY8" s="60"/>
      <c r="AVZ8" s="60"/>
      <c r="AWA8" s="60"/>
      <c r="AWB8" s="60"/>
      <c r="AWC8" s="60"/>
      <c r="AWD8" s="60"/>
      <c r="AWE8" s="60"/>
      <c r="AWF8" s="60"/>
      <c r="AWG8" s="60"/>
      <c r="AWH8" s="60"/>
      <c r="AWI8" s="60"/>
      <c r="AWJ8" s="60"/>
      <c r="AWK8" s="60"/>
      <c r="AWL8" s="60"/>
      <c r="AWM8" s="60"/>
      <c r="AWN8" s="60"/>
      <c r="AWO8" s="60"/>
      <c r="AWP8" s="60"/>
      <c r="AWQ8" s="60"/>
      <c r="AWR8" s="60"/>
      <c r="AWS8" s="60"/>
      <c r="AWT8" s="60"/>
      <c r="AWU8" s="60"/>
      <c r="AWV8" s="60"/>
      <c r="AWW8" s="60"/>
      <c r="AWX8" s="60"/>
      <c r="AWY8" s="60"/>
      <c r="AWZ8" s="60"/>
      <c r="AXA8" s="60"/>
      <c r="AXB8" s="60"/>
      <c r="AXC8" s="60"/>
      <c r="AXD8" s="60"/>
      <c r="AXE8" s="60"/>
      <c r="AXF8" s="60"/>
      <c r="AXG8" s="60"/>
      <c r="AXH8" s="60"/>
      <c r="AXI8" s="60"/>
      <c r="AXJ8" s="60"/>
      <c r="AXK8" s="60"/>
      <c r="AXL8" s="60"/>
      <c r="AXM8" s="60"/>
      <c r="AXN8" s="60"/>
      <c r="AXO8" s="60"/>
      <c r="AXP8" s="60"/>
      <c r="AXQ8" s="60"/>
      <c r="AXR8" s="60"/>
      <c r="AXS8" s="60"/>
      <c r="AXT8" s="60"/>
      <c r="AXU8" s="60"/>
      <c r="AXV8" s="60"/>
      <c r="AXW8" s="60"/>
      <c r="AXX8" s="60"/>
      <c r="AXY8" s="60"/>
      <c r="AXZ8" s="60"/>
      <c r="AYA8" s="60"/>
      <c r="AYB8" s="60"/>
      <c r="AYC8" s="60"/>
      <c r="AYD8" s="60"/>
      <c r="AYE8" s="60"/>
      <c r="AYF8" s="60"/>
      <c r="AYG8" s="60"/>
      <c r="AYH8" s="60"/>
      <c r="AYI8" s="60"/>
      <c r="AYJ8" s="60"/>
      <c r="AYK8" s="60"/>
      <c r="AYL8" s="60"/>
      <c r="AYM8" s="60"/>
      <c r="AYN8" s="60"/>
      <c r="AYO8" s="60"/>
      <c r="AYP8" s="60"/>
      <c r="AYQ8" s="60"/>
      <c r="AYR8" s="60"/>
      <c r="AYS8" s="60"/>
      <c r="AYT8" s="60"/>
      <c r="AYU8" s="60"/>
      <c r="AYV8" s="60"/>
      <c r="AYW8" s="60"/>
      <c r="AYX8" s="60"/>
      <c r="AYY8" s="60"/>
      <c r="AYZ8" s="60"/>
      <c r="AZA8" s="60"/>
      <c r="AZB8" s="60"/>
      <c r="AZC8" s="60"/>
      <c r="AZD8" s="60"/>
      <c r="AZE8" s="60"/>
      <c r="AZF8" s="60"/>
      <c r="AZG8" s="60"/>
      <c r="AZH8" s="60"/>
      <c r="AZI8" s="60"/>
      <c r="AZJ8" s="60"/>
      <c r="AZK8" s="60"/>
      <c r="AZL8" s="60"/>
      <c r="AZM8" s="60"/>
      <c r="AZN8" s="60"/>
      <c r="AZO8" s="60"/>
      <c r="AZP8" s="60"/>
      <c r="AZQ8" s="60"/>
      <c r="AZR8" s="60"/>
      <c r="AZS8" s="60"/>
      <c r="AZT8" s="60"/>
      <c r="AZU8" s="60"/>
      <c r="AZV8" s="60"/>
      <c r="AZW8" s="60"/>
      <c r="AZX8" s="60"/>
      <c r="AZY8" s="60"/>
      <c r="AZZ8" s="60"/>
      <c r="BAA8" s="60"/>
      <c r="BAB8" s="60"/>
      <c r="BAC8" s="60"/>
      <c r="BAD8" s="60"/>
      <c r="BAE8" s="60"/>
      <c r="BAF8" s="60"/>
      <c r="BAG8" s="60"/>
      <c r="BAH8" s="60"/>
      <c r="BAI8" s="60"/>
      <c r="BAJ8" s="60"/>
      <c r="BAK8" s="60"/>
      <c r="BAL8" s="60"/>
      <c r="BAM8" s="60"/>
      <c r="BAN8" s="60"/>
      <c r="BAO8" s="60"/>
      <c r="BAP8" s="60"/>
      <c r="BAQ8" s="60"/>
      <c r="BAR8" s="60"/>
      <c r="BAS8" s="60"/>
      <c r="BAT8" s="60"/>
      <c r="BAU8" s="60"/>
      <c r="BAV8" s="60"/>
      <c r="BAW8" s="60"/>
      <c r="BAX8" s="60"/>
      <c r="BAY8" s="60"/>
      <c r="BAZ8" s="60"/>
      <c r="BBA8" s="60"/>
      <c r="BBB8" s="60"/>
      <c r="BBC8" s="60"/>
      <c r="BBD8" s="60"/>
      <c r="BBE8" s="60"/>
      <c r="BBF8" s="60"/>
      <c r="BBG8" s="60"/>
      <c r="BBH8" s="60"/>
      <c r="BBI8" s="60"/>
      <c r="BBJ8" s="60"/>
      <c r="BBK8" s="60"/>
      <c r="BBL8" s="60"/>
      <c r="BBM8" s="60"/>
      <c r="BBN8" s="60"/>
      <c r="BBO8" s="60"/>
      <c r="BBP8" s="60"/>
      <c r="BBQ8" s="60"/>
      <c r="BBR8" s="60"/>
      <c r="BBS8" s="60"/>
      <c r="BBT8" s="60"/>
      <c r="BBU8" s="60"/>
      <c r="BBV8" s="60"/>
      <c r="BBW8" s="60"/>
      <c r="BBX8" s="60"/>
      <c r="BBY8" s="60"/>
      <c r="BBZ8" s="60"/>
      <c r="BCA8" s="60"/>
      <c r="BCB8" s="60"/>
      <c r="BCC8" s="60"/>
      <c r="BCD8" s="60"/>
      <c r="BCE8" s="60"/>
      <c r="BCF8" s="60"/>
      <c r="BCG8" s="60"/>
      <c r="BCH8" s="60"/>
      <c r="BCI8" s="60"/>
      <c r="BCJ8" s="60"/>
      <c r="BCK8" s="60"/>
      <c r="BCL8" s="60"/>
      <c r="BCM8" s="60"/>
      <c r="BCN8" s="60"/>
      <c r="BCO8" s="60"/>
      <c r="BCP8" s="60"/>
      <c r="BCQ8" s="60"/>
      <c r="BCR8" s="60"/>
      <c r="BCS8" s="60"/>
      <c r="BCT8" s="60"/>
      <c r="BCU8" s="60"/>
      <c r="BCV8" s="60"/>
      <c r="BCW8" s="60"/>
      <c r="BCX8" s="60"/>
      <c r="BCY8" s="60"/>
      <c r="BCZ8" s="60"/>
      <c r="BDA8" s="60"/>
      <c r="BDB8" s="60"/>
      <c r="BDC8" s="60"/>
      <c r="BDD8" s="60"/>
      <c r="BDE8" s="60"/>
      <c r="BDF8" s="60"/>
      <c r="BDG8" s="60"/>
      <c r="BDH8" s="60"/>
      <c r="BDI8" s="60"/>
      <c r="BDJ8" s="60"/>
      <c r="BDK8" s="60"/>
      <c r="BDL8" s="60"/>
      <c r="BDM8" s="60"/>
      <c r="BDN8" s="60"/>
      <c r="BDO8" s="60"/>
      <c r="BDP8" s="60"/>
      <c r="BDQ8" s="60"/>
      <c r="BDR8" s="60"/>
      <c r="BDS8" s="60"/>
      <c r="BDT8" s="60"/>
      <c r="BDU8" s="60"/>
      <c r="BDV8" s="60"/>
      <c r="BDW8" s="60"/>
      <c r="BDX8" s="60"/>
      <c r="BDY8" s="60"/>
      <c r="BDZ8" s="60"/>
      <c r="BEA8" s="60"/>
      <c r="BEB8" s="60"/>
      <c r="BEC8" s="60"/>
      <c r="BED8" s="60"/>
      <c r="BEE8" s="60"/>
      <c r="BEF8" s="60"/>
      <c r="BEG8" s="60"/>
      <c r="BEH8" s="60"/>
      <c r="BEI8" s="60"/>
      <c r="BEJ8" s="60"/>
      <c r="BEK8" s="60"/>
      <c r="BEL8" s="60"/>
      <c r="BEM8" s="60"/>
      <c r="BEN8" s="60"/>
      <c r="BEO8" s="60"/>
      <c r="BEP8" s="60"/>
      <c r="BEQ8" s="60"/>
      <c r="BER8" s="60"/>
      <c r="BES8" s="60"/>
      <c r="BET8" s="60"/>
      <c r="BEU8" s="60"/>
      <c r="BEV8" s="60"/>
      <c r="BEW8" s="60"/>
      <c r="BEX8" s="60"/>
      <c r="BEY8" s="60"/>
      <c r="BEZ8" s="60"/>
      <c r="BFA8" s="60"/>
      <c r="BFB8" s="60"/>
      <c r="BFC8" s="60"/>
      <c r="BFD8" s="60"/>
      <c r="BFE8" s="60"/>
      <c r="BFF8" s="60"/>
      <c r="BFG8" s="60"/>
      <c r="BFH8" s="60"/>
      <c r="BFI8" s="60"/>
      <c r="BFJ8" s="60"/>
      <c r="BFK8" s="60"/>
      <c r="BFL8" s="60"/>
      <c r="BFM8" s="60"/>
      <c r="BFN8" s="60"/>
      <c r="BFO8" s="60"/>
      <c r="BFP8" s="60"/>
      <c r="BFQ8" s="60"/>
      <c r="BFR8" s="60"/>
      <c r="BFS8" s="60"/>
      <c r="BFT8" s="60"/>
      <c r="BFU8" s="60"/>
      <c r="BFV8" s="60"/>
      <c r="BFW8" s="60"/>
      <c r="BFX8" s="60"/>
      <c r="BFY8" s="60"/>
      <c r="BFZ8" s="60"/>
      <c r="BGA8" s="60"/>
      <c r="BGB8" s="60"/>
      <c r="BGC8" s="60"/>
      <c r="BGD8" s="60"/>
      <c r="BGE8" s="60"/>
      <c r="BGF8" s="60"/>
      <c r="BGG8" s="60"/>
      <c r="BGH8" s="60"/>
      <c r="BGI8" s="60"/>
      <c r="BGJ8" s="60"/>
      <c r="BGK8" s="60"/>
      <c r="BGL8" s="60"/>
      <c r="BGM8" s="60"/>
      <c r="BGN8" s="60"/>
      <c r="BGO8" s="60"/>
      <c r="BGP8" s="60"/>
      <c r="BGQ8" s="60"/>
      <c r="BGR8" s="60"/>
      <c r="BGS8" s="60"/>
      <c r="BGT8" s="60"/>
      <c r="BGU8" s="60"/>
      <c r="BGV8" s="60"/>
      <c r="BGW8" s="60"/>
      <c r="BGX8" s="60"/>
      <c r="BGY8" s="60"/>
      <c r="BGZ8" s="60"/>
      <c r="BHA8" s="60"/>
      <c r="BHB8" s="60"/>
      <c r="BHC8" s="60"/>
      <c r="BHD8" s="60"/>
      <c r="BHE8" s="60"/>
      <c r="BHF8" s="60"/>
      <c r="BHG8" s="60"/>
      <c r="BHH8" s="60"/>
      <c r="BHI8" s="60"/>
      <c r="BHJ8" s="60"/>
      <c r="BHK8" s="60"/>
      <c r="BHL8" s="60"/>
      <c r="BHM8" s="60"/>
      <c r="BHN8" s="60"/>
      <c r="BHO8" s="60"/>
      <c r="BHP8" s="60"/>
      <c r="BHQ8" s="60"/>
      <c r="BHR8" s="60"/>
      <c r="BHS8" s="60"/>
      <c r="BHT8" s="60"/>
      <c r="BHU8" s="60"/>
      <c r="BHV8" s="60"/>
      <c r="BHW8" s="60"/>
      <c r="BHX8" s="60"/>
      <c r="BHY8" s="60"/>
      <c r="BHZ8" s="60"/>
      <c r="BIA8" s="60"/>
      <c r="BIB8" s="60"/>
      <c r="BIC8" s="60"/>
      <c r="BID8" s="60"/>
      <c r="BIE8" s="60"/>
      <c r="BIF8" s="60"/>
      <c r="BIG8" s="60"/>
      <c r="BIH8" s="60"/>
      <c r="BII8" s="60"/>
      <c r="BIJ8" s="60"/>
      <c r="BIK8" s="60"/>
      <c r="BIL8" s="60"/>
      <c r="BIM8" s="60"/>
      <c r="BIN8" s="60"/>
      <c r="BIO8" s="60"/>
      <c r="BIP8" s="60"/>
      <c r="BIQ8" s="60"/>
      <c r="BIR8" s="60"/>
      <c r="BIS8" s="60"/>
      <c r="BIT8" s="60"/>
      <c r="BIU8" s="60"/>
      <c r="BIV8" s="60"/>
      <c r="BIW8" s="60"/>
      <c r="BIX8" s="60"/>
      <c r="BIY8" s="60"/>
      <c r="BIZ8" s="60"/>
      <c r="BJA8" s="60"/>
      <c r="BJB8" s="60"/>
      <c r="BJC8" s="60"/>
      <c r="BJD8" s="60"/>
      <c r="BJE8" s="60"/>
      <c r="BJF8" s="60"/>
      <c r="BJG8" s="60"/>
      <c r="BJH8" s="60"/>
      <c r="BJI8" s="60"/>
      <c r="BJJ8" s="60"/>
      <c r="BJK8" s="60"/>
      <c r="BJL8" s="60"/>
      <c r="BJM8" s="60"/>
      <c r="BJN8" s="60"/>
      <c r="BJO8" s="60"/>
      <c r="BJP8" s="60"/>
      <c r="BJQ8" s="60"/>
      <c r="BJR8" s="60"/>
      <c r="BJS8" s="60"/>
      <c r="BJT8" s="60"/>
      <c r="BJU8" s="60"/>
      <c r="BJV8" s="60"/>
      <c r="BJW8" s="60"/>
      <c r="BJX8" s="60"/>
      <c r="BJY8" s="60"/>
      <c r="BJZ8" s="60"/>
      <c r="BKA8" s="60"/>
      <c r="BKB8" s="60"/>
      <c r="BKC8" s="60"/>
      <c r="BKD8" s="60"/>
      <c r="BKE8" s="60"/>
      <c r="BKF8" s="60"/>
      <c r="BKG8" s="60"/>
      <c r="BKH8" s="60"/>
      <c r="BKI8" s="60"/>
      <c r="BKJ8" s="60"/>
      <c r="BKK8" s="60"/>
      <c r="BKL8" s="60"/>
      <c r="BKM8" s="60"/>
      <c r="BKN8" s="60"/>
      <c r="BKO8" s="60"/>
      <c r="BKP8" s="60"/>
      <c r="BKQ8" s="60"/>
      <c r="BKR8" s="60"/>
      <c r="BKS8" s="60"/>
      <c r="BKT8" s="60"/>
      <c r="BKU8" s="60"/>
      <c r="BKV8" s="60"/>
      <c r="BKW8" s="60"/>
      <c r="BKX8" s="60"/>
      <c r="BKY8" s="60"/>
      <c r="BKZ8" s="60"/>
      <c r="BLA8" s="60"/>
      <c r="BLB8" s="60"/>
      <c r="BLC8" s="60"/>
      <c r="BLD8" s="60"/>
      <c r="BLE8" s="60"/>
      <c r="BLF8" s="60"/>
      <c r="BLG8" s="60"/>
      <c r="BLH8" s="60"/>
      <c r="BLI8" s="60"/>
      <c r="BLJ8" s="60"/>
      <c r="BLK8" s="60"/>
      <c r="BLL8" s="60"/>
      <c r="BLM8" s="60"/>
      <c r="BLN8" s="60"/>
      <c r="BLO8" s="60"/>
      <c r="BLP8" s="60"/>
      <c r="BLQ8" s="60"/>
      <c r="BLR8" s="60"/>
      <c r="BLS8" s="60"/>
      <c r="BLT8" s="60"/>
      <c r="BLU8" s="60"/>
      <c r="BLV8" s="60"/>
      <c r="BLW8" s="60"/>
      <c r="BLX8" s="60"/>
      <c r="BLY8" s="60"/>
      <c r="BLZ8" s="60"/>
      <c r="BMA8" s="60"/>
      <c r="BMB8" s="60"/>
      <c r="BMC8" s="60"/>
      <c r="BMD8" s="60"/>
      <c r="BME8" s="60"/>
      <c r="BMF8" s="60"/>
      <c r="BMG8" s="60"/>
      <c r="BMH8" s="60"/>
      <c r="BMI8" s="60"/>
      <c r="BMJ8" s="60"/>
      <c r="BMK8" s="60"/>
      <c r="BML8" s="60"/>
      <c r="BMM8" s="60"/>
      <c r="BMN8" s="60"/>
      <c r="BMO8" s="60"/>
      <c r="BMP8" s="60"/>
      <c r="BMQ8" s="60"/>
      <c r="BMR8" s="60"/>
      <c r="BMS8" s="60"/>
      <c r="BMT8" s="60"/>
      <c r="BMU8" s="60"/>
      <c r="BMV8" s="60"/>
      <c r="BMW8" s="60"/>
      <c r="BMX8" s="60"/>
      <c r="BMY8" s="60"/>
      <c r="BMZ8" s="60"/>
      <c r="BNA8" s="60"/>
      <c r="BNB8" s="60"/>
      <c r="BNC8" s="60"/>
      <c r="BND8" s="60"/>
      <c r="BNE8" s="60"/>
      <c r="BNF8" s="60"/>
      <c r="BNG8" s="60"/>
      <c r="BNH8" s="60"/>
      <c r="BNI8" s="60"/>
      <c r="BNJ8" s="60"/>
      <c r="BNK8" s="60"/>
      <c r="BNL8" s="60"/>
      <c r="BNM8" s="60"/>
      <c r="BNN8" s="60"/>
      <c r="BNO8" s="60"/>
      <c r="BNP8" s="60"/>
      <c r="BNQ8" s="60"/>
      <c r="BNR8" s="60"/>
      <c r="BNS8" s="60"/>
      <c r="BNT8" s="60"/>
      <c r="BNU8" s="60"/>
      <c r="BNV8" s="60"/>
      <c r="BNW8" s="60"/>
      <c r="BNX8" s="60"/>
      <c r="BNY8" s="60"/>
      <c r="BNZ8" s="60"/>
      <c r="BOA8" s="60"/>
      <c r="BOB8" s="60"/>
      <c r="BOC8" s="60"/>
      <c r="BOD8" s="60"/>
      <c r="BOE8" s="60"/>
      <c r="BOF8" s="60"/>
      <c r="BOG8" s="60"/>
      <c r="BOH8" s="60"/>
      <c r="BOI8" s="60"/>
      <c r="BOJ8" s="60"/>
      <c r="BOK8" s="60"/>
      <c r="BOL8" s="60"/>
      <c r="BOM8" s="60"/>
      <c r="BON8" s="60"/>
      <c r="BOO8" s="60"/>
      <c r="BOP8" s="60"/>
      <c r="BOQ8" s="60"/>
      <c r="BOR8" s="60"/>
      <c r="BOS8" s="60"/>
      <c r="BOT8" s="60"/>
      <c r="BOU8" s="60"/>
      <c r="BOV8" s="60"/>
      <c r="BOW8" s="60"/>
      <c r="BOX8" s="60"/>
      <c r="BOY8" s="60"/>
      <c r="BOZ8" s="60"/>
      <c r="BPA8" s="60"/>
      <c r="BPB8" s="60"/>
      <c r="BPC8" s="60"/>
      <c r="BPD8" s="60"/>
      <c r="BPE8" s="60"/>
      <c r="BPF8" s="60"/>
      <c r="BPG8" s="60"/>
      <c r="BPH8" s="60"/>
      <c r="BPI8" s="60"/>
      <c r="BPJ8" s="60"/>
      <c r="BPK8" s="60"/>
      <c r="BPL8" s="60"/>
      <c r="BPM8" s="60"/>
      <c r="BPN8" s="60"/>
      <c r="BPO8" s="60"/>
      <c r="BPP8" s="60"/>
      <c r="BPQ8" s="60"/>
      <c r="BPR8" s="60"/>
      <c r="BPS8" s="60"/>
      <c r="BPT8" s="60"/>
      <c r="BPU8" s="60"/>
      <c r="BPV8" s="60"/>
      <c r="BPW8" s="60"/>
      <c r="BPX8" s="60"/>
      <c r="BPY8" s="60"/>
      <c r="BPZ8" s="60"/>
      <c r="BQA8" s="60"/>
      <c r="BQB8" s="60"/>
      <c r="BQC8" s="60"/>
      <c r="BQD8" s="60"/>
      <c r="BQE8" s="60"/>
      <c r="BQF8" s="60"/>
      <c r="BQG8" s="60"/>
      <c r="BQH8" s="60"/>
      <c r="BQI8" s="60"/>
      <c r="BQJ8" s="60"/>
      <c r="BQK8" s="60"/>
      <c r="BQL8" s="60"/>
      <c r="BQM8" s="60"/>
      <c r="BQN8" s="60"/>
      <c r="BQO8" s="60"/>
      <c r="BQP8" s="60"/>
      <c r="BQQ8" s="60"/>
      <c r="BQR8" s="60"/>
      <c r="BQS8" s="60"/>
      <c r="BQT8" s="60"/>
      <c r="BQU8" s="60"/>
      <c r="BQV8" s="60"/>
      <c r="BQW8" s="60"/>
      <c r="BQX8" s="60"/>
      <c r="BQY8" s="60"/>
      <c r="BQZ8" s="60"/>
      <c r="BRA8" s="60"/>
      <c r="BRB8" s="60"/>
      <c r="BRC8" s="60"/>
      <c r="BRD8" s="60"/>
      <c r="BRE8" s="60"/>
      <c r="BRF8" s="60"/>
      <c r="BRG8" s="60"/>
      <c r="BRH8" s="60"/>
      <c r="BRI8" s="60"/>
      <c r="BRJ8" s="60"/>
      <c r="BRK8" s="60"/>
      <c r="BRL8" s="60"/>
      <c r="BRM8" s="60"/>
      <c r="BRN8" s="60"/>
      <c r="BRO8" s="60"/>
      <c r="BRP8" s="60"/>
      <c r="BRQ8" s="60"/>
      <c r="BRR8" s="60"/>
      <c r="BRS8" s="60"/>
      <c r="BRT8" s="60"/>
      <c r="BRU8" s="60"/>
      <c r="BRV8" s="60"/>
      <c r="BRW8" s="60"/>
      <c r="BRX8" s="60"/>
      <c r="BRY8" s="60"/>
      <c r="BRZ8" s="60"/>
      <c r="BSA8" s="60"/>
      <c r="BSB8" s="60"/>
      <c r="BSC8" s="60"/>
      <c r="BSD8" s="60"/>
      <c r="BSE8" s="60"/>
      <c r="BSF8" s="60"/>
      <c r="BSG8" s="60"/>
      <c r="BSH8" s="60"/>
      <c r="BSI8" s="60"/>
      <c r="BSJ8" s="60"/>
      <c r="BSK8" s="60"/>
      <c r="BSL8" s="60"/>
      <c r="BSM8" s="60"/>
      <c r="BSN8" s="60"/>
      <c r="BSO8" s="60"/>
      <c r="BSP8" s="60"/>
      <c r="BSQ8" s="60"/>
      <c r="BSR8" s="60"/>
      <c r="BSS8" s="60"/>
      <c r="BST8" s="60"/>
      <c r="BSU8" s="60"/>
      <c r="BSV8" s="60"/>
      <c r="BSW8" s="60"/>
      <c r="BSX8" s="60"/>
      <c r="BSY8" s="60"/>
      <c r="BSZ8" s="60"/>
      <c r="BTA8" s="60"/>
      <c r="BTB8" s="60"/>
      <c r="BTC8" s="60"/>
      <c r="BTD8" s="60"/>
      <c r="BTE8" s="60"/>
      <c r="BTF8" s="60"/>
      <c r="BTG8" s="60"/>
      <c r="BTH8" s="60"/>
      <c r="BTI8" s="60"/>
      <c r="BTJ8" s="60"/>
      <c r="BTK8" s="60"/>
      <c r="BTL8" s="60"/>
      <c r="BTM8" s="60"/>
      <c r="BTN8" s="60"/>
      <c r="BTO8" s="60"/>
      <c r="BTP8" s="60"/>
      <c r="BTQ8" s="60"/>
      <c r="BTR8" s="60"/>
      <c r="BTS8" s="60"/>
      <c r="BTT8" s="60"/>
      <c r="BTU8" s="60"/>
      <c r="BTV8" s="60"/>
      <c r="BTW8" s="60"/>
      <c r="BTX8" s="60"/>
      <c r="BTY8" s="60"/>
      <c r="BTZ8" s="60"/>
      <c r="BUA8" s="60"/>
      <c r="BUB8" s="60"/>
      <c r="BUC8" s="60"/>
      <c r="BUD8" s="60"/>
      <c r="BUE8" s="60"/>
      <c r="BUF8" s="60"/>
      <c r="BUG8" s="60"/>
      <c r="BUH8" s="60"/>
      <c r="BUI8" s="60"/>
      <c r="BUJ8" s="60"/>
      <c r="BUK8" s="60"/>
      <c r="BUL8" s="60"/>
      <c r="BUM8" s="60"/>
      <c r="BUN8" s="60"/>
      <c r="BUO8" s="60"/>
      <c r="BUP8" s="60"/>
      <c r="BUQ8" s="60"/>
      <c r="BUR8" s="60"/>
      <c r="BUS8" s="60"/>
      <c r="BUT8" s="60"/>
      <c r="BUU8" s="60"/>
      <c r="BUV8" s="60"/>
      <c r="BUW8" s="60"/>
      <c r="BUX8" s="60"/>
      <c r="BUY8" s="60"/>
      <c r="BUZ8" s="60"/>
      <c r="BVA8" s="60"/>
      <c r="BVB8" s="60"/>
      <c r="BVC8" s="60"/>
      <c r="BVD8" s="60"/>
      <c r="BVE8" s="60"/>
      <c r="BVF8" s="60"/>
      <c r="BVG8" s="60"/>
      <c r="BVH8" s="60"/>
      <c r="BVI8" s="60"/>
      <c r="BVJ8" s="60"/>
      <c r="BVK8" s="60"/>
      <c r="BVL8" s="60"/>
      <c r="BVM8" s="60"/>
      <c r="BVN8" s="60"/>
      <c r="BVO8" s="60"/>
      <c r="BVP8" s="60"/>
      <c r="BVQ8" s="60"/>
      <c r="BVR8" s="60"/>
      <c r="BVS8" s="60"/>
      <c r="BVT8" s="60"/>
      <c r="BVU8" s="60"/>
      <c r="BVV8" s="60"/>
      <c r="BVW8" s="60"/>
      <c r="BVX8" s="60"/>
      <c r="BVY8" s="60"/>
      <c r="BVZ8" s="60"/>
      <c r="BWA8" s="60"/>
      <c r="BWB8" s="60"/>
      <c r="BWC8" s="60"/>
      <c r="BWD8" s="60"/>
      <c r="BWE8" s="60"/>
      <c r="BWF8" s="60"/>
      <c r="BWG8" s="60"/>
      <c r="BWH8" s="60"/>
      <c r="BWI8" s="60"/>
      <c r="BWJ8" s="60"/>
      <c r="BWK8" s="60"/>
      <c r="BWL8" s="60"/>
      <c r="BWM8" s="60"/>
      <c r="BWN8" s="60"/>
      <c r="BWO8" s="60"/>
      <c r="BWP8" s="60"/>
      <c r="BWQ8" s="60"/>
      <c r="BWR8" s="60"/>
      <c r="BWS8" s="60"/>
      <c r="BWT8" s="60"/>
      <c r="BWU8" s="60"/>
      <c r="BWV8" s="60"/>
      <c r="BWW8" s="60"/>
      <c r="BWX8" s="60"/>
      <c r="BWY8" s="60"/>
      <c r="BWZ8" s="60"/>
      <c r="BXA8" s="60"/>
      <c r="BXB8" s="60"/>
      <c r="BXC8" s="60"/>
      <c r="BXD8" s="60"/>
      <c r="BXE8" s="60"/>
      <c r="BXF8" s="60"/>
      <c r="BXG8" s="60"/>
      <c r="BXH8" s="60"/>
      <c r="BXI8" s="60"/>
      <c r="BXJ8" s="60"/>
      <c r="BXK8" s="60"/>
      <c r="BXL8" s="60"/>
      <c r="BXM8" s="60"/>
      <c r="BXN8" s="60"/>
      <c r="BXO8" s="60"/>
      <c r="BXP8" s="60"/>
      <c r="BXQ8" s="60"/>
      <c r="BXR8" s="60"/>
      <c r="BXS8" s="60"/>
      <c r="BXT8" s="60"/>
      <c r="BXU8" s="60"/>
      <c r="BXV8" s="60"/>
      <c r="BXW8" s="60"/>
      <c r="BXX8" s="60"/>
      <c r="BXY8" s="60"/>
      <c r="BXZ8" s="60"/>
      <c r="BYA8" s="60"/>
      <c r="BYB8" s="60"/>
      <c r="BYC8" s="60"/>
      <c r="BYD8" s="60"/>
      <c r="BYE8" s="60"/>
      <c r="BYF8" s="60"/>
      <c r="BYG8" s="60"/>
      <c r="BYH8" s="60"/>
      <c r="BYI8" s="60"/>
      <c r="BYJ8" s="60"/>
      <c r="BYK8" s="60"/>
      <c r="BYL8" s="60"/>
      <c r="BYM8" s="60"/>
      <c r="BYN8" s="60"/>
      <c r="BYO8" s="60"/>
      <c r="BYP8" s="60"/>
      <c r="BYQ8" s="60"/>
      <c r="BYR8" s="60"/>
      <c r="BYS8" s="60"/>
      <c r="BYT8" s="60"/>
      <c r="BYU8" s="60"/>
      <c r="BYV8" s="60"/>
      <c r="BYW8" s="60"/>
      <c r="BYX8" s="60"/>
      <c r="BYY8" s="60"/>
      <c r="BYZ8" s="60"/>
      <c r="BZA8" s="60"/>
      <c r="BZB8" s="60"/>
      <c r="BZC8" s="60"/>
      <c r="BZD8" s="60"/>
      <c r="BZE8" s="60"/>
      <c r="BZF8" s="60"/>
      <c r="BZG8" s="60"/>
      <c r="BZH8" s="60"/>
      <c r="BZI8" s="60"/>
      <c r="BZJ8" s="60"/>
      <c r="BZK8" s="60"/>
      <c r="BZL8" s="60"/>
      <c r="BZM8" s="60"/>
      <c r="BZN8" s="60"/>
      <c r="BZO8" s="60"/>
      <c r="BZP8" s="60"/>
      <c r="BZQ8" s="60"/>
      <c r="BZR8" s="60"/>
      <c r="BZS8" s="60"/>
      <c r="BZT8" s="60"/>
      <c r="BZU8" s="60"/>
      <c r="BZV8" s="60"/>
      <c r="BZW8" s="60"/>
      <c r="BZX8" s="60"/>
      <c r="BZY8" s="60"/>
      <c r="BZZ8" s="60"/>
      <c r="CAA8" s="60"/>
      <c r="CAB8" s="60"/>
      <c r="CAC8" s="60"/>
      <c r="CAD8" s="60"/>
      <c r="CAE8" s="60"/>
      <c r="CAF8" s="60"/>
      <c r="CAG8" s="60"/>
      <c r="CAH8" s="60"/>
      <c r="CAI8" s="60"/>
      <c r="CAJ8" s="60"/>
      <c r="CAK8" s="60"/>
      <c r="CAL8" s="60"/>
      <c r="CAM8" s="60"/>
      <c r="CAN8" s="60"/>
      <c r="CAO8" s="60"/>
      <c r="CAP8" s="60"/>
      <c r="CAQ8" s="60"/>
      <c r="CAR8" s="60"/>
      <c r="CAS8" s="60"/>
      <c r="CAT8" s="60"/>
      <c r="CAU8" s="60"/>
      <c r="CAV8" s="60"/>
      <c r="CAW8" s="60"/>
      <c r="CAX8" s="60"/>
      <c r="CAY8" s="60"/>
      <c r="CAZ8" s="60"/>
      <c r="CBA8" s="60"/>
      <c r="CBB8" s="60"/>
      <c r="CBC8" s="60"/>
      <c r="CBD8" s="60"/>
      <c r="CBE8" s="60"/>
      <c r="CBF8" s="60"/>
      <c r="CBG8" s="60"/>
      <c r="CBH8" s="60"/>
      <c r="CBI8" s="60"/>
      <c r="CBJ8" s="60"/>
      <c r="CBK8" s="60"/>
      <c r="CBL8" s="60"/>
      <c r="CBM8" s="60"/>
      <c r="CBN8" s="60"/>
      <c r="CBO8" s="60"/>
      <c r="CBP8" s="60"/>
      <c r="CBQ8" s="60"/>
      <c r="CBR8" s="60"/>
      <c r="CBS8" s="60"/>
      <c r="CBT8" s="60"/>
      <c r="CBU8" s="60"/>
      <c r="CBV8" s="60"/>
      <c r="CBW8" s="60"/>
      <c r="CBX8" s="60"/>
      <c r="CBY8" s="60"/>
      <c r="CBZ8" s="60"/>
      <c r="CCA8" s="60"/>
      <c r="CCB8" s="60"/>
      <c r="CCC8" s="60"/>
      <c r="CCD8" s="60"/>
      <c r="CCE8" s="60"/>
      <c r="CCF8" s="60"/>
      <c r="CCG8" s="60"/>
      <c r="CCH8" s="60"/>
      <c r="CCI8" s="60"/>
      <c r="CCJ8" s="60"/>
      <c r="CCK8" s="60"/>
      <c r="CCL8" s="60"/>
      <c r="CCM8" s="60"/>
      <c r="CCN8" s="60"/>
      <c r="CCO8" s="60"/>
      <c r="CCP8" s="60"/>
      <c r="CCQ8" s="60"/>
      <c r="CCR8" s="60"/>
      <c r="CCS8" s="60"/>
      <c r="CCT8" s="60"/>
      <c r="CCU8" s="60"/>
      <c r="CCV8" s="60"/>
      <c r="CCW8" s="60"/>
      <c r="CCX8" s="60"/>
      <c r="CCY8" s="60"/>
      <c r="CCZ8" s="60"/>
      <c r="CDA8" s="60"/>
      <c r="CDB8" s="60"/>
      <c r="CDC8" s="60"/>
      <c r="CDD8" s="60"/>
      <c r="CDE8" s="60"/>
      <c r="CDF8" s="60"/>
      <c r="CDG8" s="60"/>
      <c r="CDH8" s="60"/>
      <c r="CDI8" s="60"/>
      <c r="CDJ8" s="60"/>
      <c r="CDK8" s="60"/>
      <c r="CDL8" s="60"/>
      <c r="CDM8" s="60"/>
      <c r="CDN8" s="60"/>
      <c r="CDO8" s="60"/>
      <c r="CDP8" s="60"/>
      <c r="CDQ8" s="60"/>
      <c r="CDR8" s="60"/>
      <c r="CDS8" s="60"/>
      <c r="CDT8" s="60"/>
      <c r="CDU8" s="60"/>
      <c r="CDV8" s="60"/>
      <c r="CDW8" s="60"/>
      <c r="CDX8" s="60"/>
      <c r="CDY8" s="60"/>
      <c r="CDZ8" s="60"/>
      <c r="CEA8" s="60"/>
      <c r="CEB8" s="60"/>
      <c r="CEC8" s="60"/>
      <c r="CED8" s="60"/>
      <c r="CEE8" s="60"/>
      <c r="CEF8" s="60"/>
      <c r="CEG8" s="60"/>
      <c r="CEH8" s="60"/>
      <c r="CEI8" s="60"/>
      <c r="CEJ8" s="60"/>
      <c r="CEK8" s="60"/>
      <c r="CEL8" s="60"/>
      <c r="CEM8" s="60"/>
      <c r="CEN8" s="60"/>
      <c r="CEO8" s="60"/>
      <c r="CEP8" s="60"/>
      <c r="CEQ8" s="60"/>
      <c r="CER8" s="60"/>
      <c r="CES8" s="60"/>
      <c r="CET8" s="60"/>
      <c r="CEU8" s="60"/>
      <c r="CEV8" s="60"/>
      <c r="CEW8" s="60"/>
      <c r="CEX8" s="60"/>
      <c r="CEY8" s="60"/>
      <c r="CEZ8" s="60"/>
      <c r="CFA8" s="60"/>
      <c r="CFB8" s="60"/>
      <c r="CFC8" s="60"/>
      <c r="CFD8" s="60"/>
      <c r="CFE8" s="60"/>
      <c r="CFF8" s="60"/>
      <c r="CFG8" s="60"/>
      <c r="CFH8" s="60"/>
      <c r="CFI8" s="60"/>
      <c r="CFJ8" s="60"/>
      <c r="CFK8" s="60"/>
      <c r="CFL8" s="60"/>
      <c r="CFM8" s="60"/>
      <c r="CFN8" s="60"/>
      <c r="CFO8" s="60"/>
      <c r="CFP8" s="60"/>
      <c r="CFQ8" s="60"/>
      <c r="CFR8" s="60"/>
      <c r="CFS8" s="60"/>
      <c r="CFT8" s="60"/>
      <c r="CFU8" s="60"/>
      <c r="CFV8" s="60"/>
      <c r="CFW8" s="60"/>
      <c r="CFX8" s="60"/>
      <c r="CFY8" s="60"/>
      <c r="CFZ8" s="60"/>
      <c r="CGA8" s="60"/>
      <c r="CGB8" s="60"/>
      <c r="CGC8" s="60"/>
      <c r="CGD8" s="60"/>
      <c r="CGE8" s="60"/>
      <c r="CGF8" s="60"/>
      <c r="CGG8" s="60"/>
      <c r="CGH8" s="60"/>
      <c r="CGI8" s="60"/>
      <c r="CGJ8" s="60"/>
      <c r="CGK8" s="60"/>
      <c r="CGL8" s="60"/>
      <c r="CGM8" s="60"/>
      <c r="CGN8" s="60"/>
      <c r="CGO8" s="60"/>
      <c r="CGP8" s="60"/>
      <c r="CGQ8" s="60"/>
      <c r="CGR8" s="60"/>
      <c r="CGS8" s="60"/>
      <c r="CGT8" s="60"/>
      <c r="CGU8" s="60"/>
      <c r="CGV8" s="60"/>
      <c r="CGW8" s="60"/>
      <c r="CGX8" s="60"/>
      <c r="CGY8" s="60"/>
      <c r="CGZ8" s="60"/>
      <c r="CHA8" s="60"/>
      <c r="CHB8" s="60"/>
      <c r="CHC8" s="60"/>
      <c r="CHD8" s="60"/>
      <c r="CHE8" s="60"/>
      <c r="CHF8" s="60"/>
      <c r="CHG8" s="60"/>
      <c r="CHH8" s="60"/>
      <c r="CHI8" s="60"/>
      <c r="CHJ8" s="60"/>
      <c r="CHK8" s="60"/>
      <c r="CHL8" s="60"/>
      <c r="CHM8" s="60"/>
      <c r="CHN8" s="60"/>
      <c r="CHO8" s="60"/>
      <c r="CHP8" s="60"/>
      <c r="CHQ8" s="60"/>
      <c r="CHR8" s="60"/>
      <c r="CHS8" s="60"/>
      <c r="CHT8" s="60"/>
      <c r="CHU8" s="60"/>
      <c r="CHV8" s="60"/>
      <c r="CHW8" s="60"/>
      <c r="CHX8" s="60"/>
      <c r="CHY8" s="60"/>
      <c r="CHZ8" s="60"/>
      <c r="CIA8" s="60"/>
      <c r="CIB8" s="60"/>
      <c r="CIC8" s="60"/>
      <c r="CID8" s="60"/>
      <c r="CIE8" s="60"/>
      <c r="CIF8" s="60"/>
      <c r="CIG8" s="60"/>
      <c r="CIH8" s="60"/>
      <c r="CII8" s="60"/>
      <c r="CIJ8" s="60"/>
      <c r="CIK8" s="60"/>
      <c r="CIL8" s="60"/>
      <c r="CIM8" s="60"/>
      <c r="CIN8" s="60"/>
      <c r="CIO8" s="60"/>
      <c r="CIP8" s="60"/>
      <c r="CIQ8" s="60"/>
      <c r="CIR8" s="60"/>
      <c r="CIS8" s="60"/>
      <c r="CIT8" s="60"/>
      <c r="CIU8" s="60"/>
      <c r="CIV8" s="60"/>
      <c r="CIW8" s="60"/>
      <c r="CIX8" s="60"/>
      <c r="CIY8" s="60"/>
      <c r="CIZ8" s="60"/>
      <c r="CJA8" s="60"/>
      <c r="CJB8" s="60"/>
      <c r="CJC8" s="60"/>
      <c r="CJD8" s="60"/>
      <c r="CJE8" s="60"/>
      <c r="CJF8" s="60"/>
      <c r="CJG8" s="60"/>
      <c r="CJH8" s="60"/>
      <c r="CJI8" s="60"/>
      <c r="CJJ8" s="60"/>
      <c r="CJK8" s="60"/>
      <c r="CJL8" s="60"/>
      <c r="CJM8" s="60"/>
      <c r="CJN8" s="60"/>
      <c r="CJO8" s="60"/>
      <c r="CJP8" s="60"/>
      <c r="CJQ8" s="60"/>
      <c r="CJR8" s="60"/>
      <c r="CJS8" s="60"/>
      <c r="CJT8" s="60"/>
      <c r="CJU8" s="60"/>
      <c r="CJV8" s="60"/>
      <c r="CJW8" s="60"/>
      <c r="CJX8" s="60"/>
      <c r="CJY8" s="60"/>
      <c r="CJZ8" s="60"/>
      <c r="CKA8" s="60"/>
      <c r="CKB8" s="60"/>
      <c r="CKC8" s="60"/>
      <c r="CKD8" s="60"/>
      <c r="CKE8" s="60"/>
      <c r="CKF8" s="60"/>
      <c r="CKG8" s="60"/>
      <c r="CKH8" s="60"/>
      <c r="CKI8" s="60"/>
      <c r="CKJ8" s="60"/>
      <c r="CKK8" s="60"/>
      <c r="CKL8" s="60"/>
      <c r="CKM8" s="60"/>
      <c r="CKN8" s="60"/>
      <c r="CKO8" s="60"/>
      <c r="CKP8" s="60"/>
      <c r="CKQ8" s="60"/>
      <c r="CKR8" s="60"/>
      <c r="CKS8" s="60"/>
      <c r="CKT8" s="60"/>
      <c r="CKU8" s="60"/>
      <c r="CKV8" s="60"/>
      <c r="CKW8" s="60"/>
      <c r="CKX8" s="60"/>
      <c r="CKY8" s="60"/>
      <c r="CKZ8" s="60"/>
      <c r="CLA8" s="60"/>
      <c r="CLB8" s="60"/>
      <c r="CLC8" s="60"/>
      <c r="CLD8" s="60"/>
      <c r="CLE8" s="60"/>
      <c r="CLF8" s="60"/>
      <c r="CLG8" s="60"/>
      <c r="CLH8" s="60"/>
      <c r="CLI8" s="60"/>
      <c r="CLJ8" s="60"/>
      <c r="CLK8" s="60"/>
      <c r="CLL8" s="60"/>
      <c r="CLM8" s="60"/>
      <c r="CLN8" s="60"/>
      <c r="CLO8" s="60"/>
      <c r="CLP8" s="60"/>
      <c r="CLQ8" s="60"/>
      <c r="CLR8" s="60"/>
      <c r="CLS8" s="60"/>
      <c r="CLT8" s="60"/>
      <c r="CLU8" s="60"/>
      <c r="CLV8" s="60"/>
      <c r="CLW8" s="60"/>
      <c r="CLX8" s="60"/>
      <c r="CLY8" s="60"/>
      <c r="CLZ8" s="60"/>
      <c r="CMA8" s="60"/>
      <c r="CMB8" s="60"/>
      <c r="CMC8" s="60"/>
      <c r="CMD8" s="60"/>
      <c r="CME8" s="60"/>
      <c r="CMF8" s="60"/>
      <c r="CMG8" s="60"/>
      <c r="CMH8" s="60"/>
      <c r="CMI8" s="60"/>
      <c r="CMJ8" s="60"/>
      <c r="CMK8" s="60"/>
      <c r="CML8" s="60"/>
      <c r="CMM8" s="60"/>
      <c r="CMN8" s="60"/>
      <c r="CMO8" s="60"/>
      <c r="CMP8" s="60"/>
      <c r="CMQ8" s="60"/>
      <c r="CMR8" s="60"/>
      <c r="CMS8" s="60"/>
      <c r="CMT8" s="60"/>
      <c r="CMU8" s="60"/>
      <c r="CMV8" s="60"/>
      <c r="CMW8" s="60"/>
      <c r="CMX8" s="60"/>
      <c r="CMY8" s="60"/>
      <c r="CMZ8" s="60"/>
      <c r="CNA8" s="60"/>
      <c r="CNB8" s="60"/>
      <c r="CNC8" s="60"/>
      <c r="CND8" s="60"/>
      <c r="CNE8" s="60"/>
      <c r="CNF8" s="60"/>
      <c r="CNG8" s="60"/>
      <c r="CNH8" s="60"/>
      <c r="CNI8" s="60"/>
      <c r="CNJ8" s="60"/>
      <c r="CNK8" s="60"/>
      <c r="CNL8" s="60"/>
      <c r="CNM8" s="60"/>
      <c r="CNN8" s="60"/>
      <c r="CNO8" s="60"/>
      <c r="CNP8" s="60"/>
      <c r="CNQ8" s="60"/>
      <c r="CNR8" s="60"/>
      <c r="CNS8" s="60"/>
      <c r="CNT8" s="60"/>
      <c r="CNU8" s="60"/>
      <c r="CNV8" s="60"/>
      <c r="CNW8" s="60"/>
      <c r="CNX8" s="60"/>
      <c r="CNY8" s="60"/>
      <c r="CNZ8" s="60"/>
      <c r="COA8" s="60"/>
      <c r="COB8" s="60"/>
      <c r="COC8" s="60"/>
      <c r="COD8" s="60"/>
      <c r="COE8" s="60"/>
      <c r="COF8" s="60"/>
      <c r="COG8" s="60"/>
      <c r="COH8" s="60"/>
      <c r="COI8" s="60"/>
      <c r="COJ8" s="60"/>
      <c r="COK8" s="60"/>
      <c r="COL8" s="60"/>
      <c r="COM8" s="60"/>
      <c r="CON8" s="60"/>
      <c r="COO8" s="60"/>
      <c r="COP8" s="60"/>
      <c r="COQ8" s="60"/>
      <c r="COR8" s="60"/>
      <c r="COS8" s="60"/>
      <c r="COT8" s="60"/>
      <c r="COU8" s="60"/>
      <c r="COV8" s="60"/>
      <c r="COW8" s="60"/>
      <c r="COX8" s="60"/>
      <c r="COY8" s="60"/>
      <c r="COZ8" s="60"/>
      <c r="CPA8" s="60"/>
      <c r="CPB8" s="60"/>
      <c r="CPC8" s="60"/>
      <c r="CPD8" s="60"/>
      <c r="CPE8" s="60"/>
      <c r="CPF8" s="60"/>
      <c r="CPG8" s="60"/>
      <c r="CPH8" s="60"/>
      <c r="CPI8" s="60"/>
      <c r="CPJ8" s="60"/>
      <c r="CPK8" s="60"/>
      <c r="CPL8" s="60"/>
      <c r="CPM8" s="60"/>
      <c r="CPN8" s="60"/>
      <c r="CPO8" s="60"/>
      <c r="CPP8" s="60"/>
      <c r="CPQ8" s="60"/>
      <c r="CPR8" s="60"/>
      <c r="CPS8" s="60"/>
      <c r="CPT8" s="60"/>
      <c r="CPU8" s="60"/>
      <c r="CPV8" s="60"/>
      <c r="CPW8" s="60"/>
      <c r="CPX8" s="60"/>
      <c r="CPY8" s="60"/>
      <c r="CPZ8" s="60"/>
      <c r="CQA8" s="60"/>
      <c r="CQB8" s="60"/>
      <c r="CQC8" s="60"/>
      <c r="CQD8" s="60"/>
      <c r="CQE8" s="60"/>
      <c r="CQF8" s="60"/>
      <c r="CQG8" s="60"/>
      <c r="CQH8" s="60"/>
      <c r="CQI8" s="60"/>
      <c r="CQJ8" s="60"/>
      <c r="CQK8" s="60"/>
      <c r="CQL8" s="60"/>
      <c r="CQM8" s="60"/>
      <c r="CQN8" s="60"/>
      <c r="CQO8" s="60"/>
      <c r="CQP8" s="60"/>
      <c r="CQQ8" s="60"/>
      <c r="CQR8" s="60"/>
      <c r="CQS8" s="60"/>
      <c r="CQT8" s="60"/>
      <c r="CQU8" s="60"/>
      <c r="CQV8" s="60"/>
      <c r="CQW8" s="60"/>
      <c r="CQX8" s="60"/>
      <c r="CQY8" s="60"/>
      <c r="CQZ8" s="60"/>
      <c r="CRA8" s="60"/>
      <c r="CRB8" s="60"/>
      <c r="CRC8" s="60"/>
      <c r="CRD8" s="60"/>
      <c r="CRE8" s="60"/>
      <c r="CRF8" s="60"/>
      <c r="CRG8" s="60"/>
      <c r="CRH8" s="60"/>
      <c r="CRI8" s="60"/>
      <c r="CRJ8" s="60"/>
      <c r="CRK8" s="60"/>
      <c r="CRL8" s="60"/>
      <c r="CRM8" s="60"/>
      <c r="CRN8" s="60"/>
      <c r="CRO8" s="60"/>
      <c r="CRP8" s="60"/>
      <c r="CRQ8" s="60"/>
      <c r="CRR8" s="60"/>
      <c r="CRS8" s="60"/>
      <c r="CRT8" s="60"/>
      <c r="CRU8" s="60"/>
      <c r="CRV8" s="60"/>
      <c r="CRW8" s="60"/>
      <c r="CRX8" s="60"/>
      <c r="CRY8" s="60"/>
      <c r="CRZ8" s="60"/>
      <c r="CSA8" s="60"/>
      <c r="CSB8" s="60"/>
      <c r="CSC8" s="60"/>
      <c r="CSD8" s="60"/>
      <c r="CSE8" s="60"/>
      <c r="CSF8" s="60"/>
      <c r="CSG8" s="60"/>
      <c r="CSH8" s="60"/>
      <c r="CSI8" s="60"/>
      <c r="CSJ8" s="60"/>
      <c r="CSK8" s="60"/>
      <c r="CSL8" s="60"/>
      <c r="CSM8" s="60"/>
      <c r="CSN8" s="60"/>
      <c r="CSO8" s="60"/>
      <c r="CSP8" s="60"/>
      <c r="CSQ8" s="60"/>
      <c r="CSR8" s="60"/>
      <c r="CSS8" s="60"/>
      <c r="CST8" s="60"/>
      <c r="CSU8" s="60"/>
      <c r="CSV8" s="60"/>
      <c r="CSW8" s="60"/>
      <c r="CSX8" s="60"/>
      <c r="CSY8" s="60"/>
      <c r="CSZ8" s="60"/>
      <c r="CTA8" s="60"/>
      <c r="CTB8" s="60"/>
      <c r="CTC8" s="60"/>
      <c r="CTD8" s="60"/>
      <c r="CTE8" s="60"/>
      <c r="CTF8" s="60"/>
      <c r="CTG8" s="60"/>
      <c r="CTH8" s="60"/>
      <c r="CTI8" s="60"/>
      <c r="CTJ8" s="60"/>
      <c r="CTK8" s="60"/>
      <c r="CTL8" s="60"/>
      <c r="CTM8" s="60"/>
      <c r="CTN8" s="60"/>
      <c r="CTO8" s="60"/>
      <c r="CTP8" s="60"/>
      <c r="CTQ8" s="60"/>
      <c r="CTR8" s="60"/>
      <c r="CTS8" s="60"/>
      <c r="CTT8" s="60"/>
      <c r="CTU8" s="60"/>
      <c r="CTV8" s="60"/>
      <c r="CTW8" s="60"/>
      <c r="CTX8" s="60"/>
      <c r="CTY8" s="60"/>
      <c r="CTZ8" s="60"/>
      <c r="CUA8" s="60"/>
      <c r="CUB8" s="60"/>
      <c r="CUC8" s="60"/>
      <c r="CUD8" s="60"/>
      <c r="CUE8" s="60"/>
      <c r="CUF8" s="60"/>
      <c r="CUG8" s="60"/>
      <c r="CUH8" s="60"/>
      <c r="CUI8" s="60"/>
      <c r="CUJ8" s="60"/>
      <c r="CUK8" s="60"/>
      <c r="CUL8" s="60"/>
      <c r="CUM8" s="60"/>
      <c r="CUN8" s="60"/>
      <c r="CUO8" s="60"/>
      <c r="CUP8" s="60"/>
      <c r="CUQ8" s="60"/>
      <c r="CUR8" s="60"/>
      <c r="CUS8" s="60"/>
      <c r="CUT8" s="60"/>
      <c r="CUU8" s="60"/>
      <c r="CUV8" s="60"/>
      <c r="CUW8" s="60"/>
      <c r="CUX8" s="60"/>
      <c r="CUY8" s="60"/>
      <c r="CUZ8" s="60"/>
      <c r="CVA8" s="60"/>
      <c r="CVB8" s="60"/>
      <c r="CVC8" s="60"/>
      <c r="CVD8" s="60"/>
      <c r="CVE8" s="60"/>
      <c r="CVF8" s="60"/>
      <c r="CVG8" s="60"/>
      <c r="CVH8" s="60"/>
      <c r="CVI8" s="60"/>
      <c r="CVJ8" s="60"/>
      <c r="CVK8" s="60"/>
      <c r="CVL8" s="60"/>
      <c r="CVM8" s="60"/>
      <c r="CVN8" s="60"/>
      <c r="CVO8" s="60"/>
      <c r="CVP8" s="60"/>
      <c r="CVQ8" s="60"/>
      <c r="CVR8" s="60"/>
      <c r="CVS8" s="60"/>
      <c r="CVT8" s="60"/>
      <c r="CVU8" s="60"/>
      <c r="CVV8" s="60"/>
      <c r="CVW8" s="60"/>
      <c r="CVX8" s="60"/>
      <c r="CVY8" s="60"/>
      <c r="CVZ8" s="60"/>
      <c r="CWA8" s="60"/>
      <c r="CWB8" s="60"/>
      <c r="CWC8" s="60"/>
      <c r="CWD8" s="60"/>
      <c r="CWE8" s="60"/>
      <c r="CWF8" s="60"/>
      <c r="CWG8" s="60"/>
      <c r="CWH8" s="60"/>
      <c r="CWI8" s="60"/>
      <c r="CWJ8" s="60"/>
      <c r="CWK8" s="60"/>
      <c r="CWL8" s="60"/>
      <c r="CWM8" s="60"/>
      <c r="CWN8" s="60"/>
      <c r="CWO8" s="60"/>
      <c r="CWP8" s="60"/>
      <c r="CWQ8" s="60"/>
      <c r="CWR8" s="60"/>
      <c r="CWS8" s="60"/>
      <c r="CWT8" s="60"/>
      <c r="CWU8" s="60"/>
      <c r="CWV8" s="60"/>
      <c r="CWW8" s="60"/>
      <c r="CWX8" s="60"/>
      <c r="CWY8" s="60"/>
      <c r="CWZ8" s="60"/>
      <c r="CXA8" s="60"/>
      <c r="CXB8" s="60"/>
      <c r="CXC8" s="60"/>
      <c r="CXD8" s="60"/>
      <c r="CXE8" s="60"/>
      <c r="CXF8" s="60"/>
      <c r="CXG8" s="60"/>
      <c r="CXH8" s="60"/>
      <c r="CXI8" s="60"/>
      <c r="CXJ8" s="60"/>
      <c r="CXK8" s="60"/>
      <c r="CXL8" s="60"/>
      <c r="CXM8" s="60"/>
      <c r="CXN8" s="60"/>
      <c r="CXO8" s="60"/>
      <c r="CXP8" s="60"/>
      <c r="CXQ8" s="60"/>
      <c r="CXR8" s="60"/>
      <c r="CXS8" s="60"/>
      <c r="CXT8" s="60"/>
      <c r="CXU8" s="60"/>
      <c r="CXV8" s="60"/>
      <c r="CXW8" s="60"/>
      <c r="CXX8" s="60"/>
      <c r="CXY8" s="60"/>
      <c r="CXZ8" s="60"/>
      <c r="CYA8" s="60"/>
      <c r="CYB8" s="60"/>
      <c r="CYC8" s="60"/>
      <c r="CYD8" s="60"/>
      <c r="CYE8" s="60"/>
      <c r="CYF8" s="60"/>
      <c r="CYG8" s="60"/>
      <c r="CYH8" s="60"/>
      <c r="CYI8" s="60"/>
      <c r="CYJ8" s="60"/>
      <c r="CYK8" s="60"/>
      <c r="CYL8" s="60"/>
      <c r="CYM8" s="60"/>
      <c r="CYN8" s="60"/>
      <c r="CYO8" s="60"/>
      <c r="CYP8" s="60"/>
      <c r="CYQ8" s="60"/>
      <c r="CYR8" s="60"/>
      <c r="CYS8" s="60"/>
      <c r="CYT8" s="60"/>
      <c r="CYU8" s="60"/>
      <c r="CYV8" s="60"/>
      <c r="CYW8" s="60"/>
      <c r="CYX8" s="60"/>
      <c r="CYY8" s="60"/>
      <c r="CYZ8" s="60"/>
      <c r="CZA8" s="60"/>
      <c r="CZB8" s="60"/>
      <c r="CZC8" s="60"/>
      <c r="CZD8" s="60"/>
      <c r="CZE8" s="60"/>
      <c r="CZF8" s="60"/>
      <c r="CZG8" s="60"/>
      <c r="CZH8" s="60"/>
      <c r="CZI8" s="60"/>
      <c r="CZJ8" s="60"/>
      <c r="CZK8" s="60"/>
      <c r="CZL8" s="60"/>
      <c r="CZM8" s="60"/>
      <c r="CZN8" s="60"/>
      <c r="CZO8" s="60"/>
      <c r="CZP8" s="60"/>
      <c r="CZQ8" s="60"/>
      <c r="CZR8" s="60"/>
      <c r="CZS8" s="60"/>
      <c r="CZT8" s="60"/>
      <c r="CZU8" s="60"/>
      <c r="CZV8" s="60"/>
      <c r="CZW8" s="60"/>
      <c r="CZX8" s="60"/>
      <c r="CZY8" s="60"/>
      <c r="CZZ8" s="60"/>
      <c r="DAA8" s="60"/>
      <c r="DAB8" s="60"/>
      <c r="DAC8" s="60"/>
      <c r="DAD8" s="60"/>
      <c r="DAE8" s="60"/>
      <c r="DAF8" s="60"/>
      <c r="DAG8" s="60"/>
      <c r="DAH8" s="60"/>
      <c r="DAI8" s="60"/>
      <c r="DAJ8" s="60"/>
      <c r="DAK8" s="60"/>
      <c r="DAL8" s="60"/>
      <c r="DAM8" s="60"/>
      <c r="DAN8" s="60"/>
      <c r="DAO8" s="60"/>
      <c r="DAP8" s="60"/>
      <c r="DAQ8" s="60"/>
      <c r="DAR8" s="60"/>
      <c r="DAS8" s="60"/>
      <c r="DAT8" s="60"/>
      <c r="DAU8" s="60"/>
      <c r="DAV8" s="60"/>
      <c r="DAW8" s="60"/>
      <c r="DAX8" s="60"/>
      <c r="DAY8" s="60"/>
      <c r="DAZ8" s="60"/>
      <c r="DBA8" s="60"/>
      <c r="DBB8" s="60"/>
      <c r="DBC8" s="60"/>
      <c r="DBD8" s="60"/>
      <c r="DBE8" s="60"/>
      <c r="DBF8" s="60"/>
      <c r="DBG8" s="60"/>
      <c r="DBH8" s="60"/>
      <c r="DBI8" s="60"/>
      <c r="DBJ8" s="60"/>
      <c r="DBK8" s="60"/>
      <c r="DBL8" s="60"/>
      <c r="DBM8" s="60"/>
      <c r="DBN8" s="60"/>
      <c r="DBO8" s="60"/>
      <c r="DBP8" s="60"/>
      <c r="DBQ8" s="60"/>
      <c r="DBR8" s="60"/>
      <c r="DBS8" s="60"/>
      <c r="DBT8" s="60"/>
      <c r="DBU8" s="60"/>
      <c r="DBV8" s="60"/>
      <c r="DBW8" s="60"/>
      <c r="DBX8" s="60"/>
      <c r="DBY8" s="60"/>
      <c r="DBZ8" s="60"/>
      <c r="DCA8" s="60"/>
      <c r="DCB8" s="60"/>
      <c r="DCC8" s="60"/>
      <c r="DCD8" s="60"/>
      <c r="DCE8" s="60"/>
      <c r="DCF8" s="60"/>
      <c r="DCG8" s="60"/>
      <c r="DCH8" s="60"/>
      <c r="DCI8" s="60"/>
      <c r="DCJ8" s="60"/>
      <c r="DCK8" s="60"/>
      <c r="DCL8" s="60"/>
      <c r="DCM8" s="60"/>
      <c r="DCN8" s="60"/>
      <c r="DCO8" s="60"/>
      <c r="DCP8" s="60"/>
      <c r="DCQ8" s="60"/>
      <c r="DCR8" s="60"/>
      <c r="DCS8" s="60"/>
      <c r="DCT8" s="60"/>
      <c r="DCU8" s="60"/>
      <c r="DCV8" s="60"/>
      <c r="DCW8" s="60"/>
      <c r="DCX8" s="60"/>
      <c r="DCY8" s="60"/>
      <c r="DCZ8" s="60"/>
      <c r="DDA8" s="60"/>
      <c r="DDB8" s="60"/>
      <c r="DDC8" s="60"/>
      <c r="DDD8" s="60"/>
      <c r="DDE8" s="60"/>
      <c r="DDF8" s="60"/>
      <c r="DDG8" s="60"/>
      <c r="DDH8" s="60"/>
      <c r="DDI8" s="60"/>
      <c r="DDJ8" s="60"/>
      <c r="DDK8" s="60"/>
      <c r="DDL8" s="60"/>
      <c r="DDM8" s="60"/>
      <c r="DDN8" s="60"/>
      <c r="DDO8" s="60"/>
      <c r="DDP8" s="60"/>
      <c r="DDQ8" s="60"/>
      <c r="DDR8" s="60"/>
      <c r="DDS8" s="60"/>
      <c r="DDT8" s="60"/>
      <c r="DDU8" s="60"/>
      <c r="DDV8" s="60"/>
      <c r="DDW8" s="60"/>
      <c r="DDX8" s="60"/>
      <c r="DDY8" s="60"/>
      <c r="DDZ8" s="60"/>
      <c r="DEA8" s="60"/>
      <c r="DEB8" s="60"/>
      <c r="DEC8" s="60"/>
      <c r="DED8" s="60"/>
      <c r="DEE8" s="60"/>
      <c r="DEF8" s="60"/>
      <c r="DEG8" s="60"/>
      <c r="DEH8" s="60"/>
      <c r="DEI8" s="60"/>
      <c r="DEJ8" s="60"/>
      <c r="DEK8" s="60"/>
      <c r="DEL8" s="60"/>
      <c r="DEM8" s="60"/>
      <c r="DEN8" s="60"/>
      <c r="DEO8" s="60"/>
      <c r="DEP8" s="60"/>
      <c r="DEQ8" s="60"/>
      <c r="DER8" s="60"/>
      <c r="DES8" s="60"/>
      <c r="DET8" s="60"/>
      <c r="DEU8" s="60"/>
      <c r="DEV8" s="60"/>
      <c r="DEW8" s="60"/>
      <c r="DEX8" s="60"/>
      <c r="DEY8" s="60"/>
      <c r="DEZ8" s="60"/>
      <c r="DFA8" s="60"/>
      <c r="DFB8" s="60"/>
      <c r="DFC8" s="60"/>
      <c r="DFD8" s="60"/>
      <c r="DFE8" s="60"/>
      <c r="DFF8" s="60"/>
      <c r="DFG8" s="60"/>
      <c r="DFH8" s="60"/>
      <c r="DFI8" s="60"/>
      <c r="DFJ8" s="60"/>
      <c r="DFK8" s="60"/>
      <c r="DFL8" s="60"/>
      <c r="DFM8" s="60"/>
      <c r="DFN8" s="60"/>
      <c r="DFO8" s="60"/>
      <c r="DFP8" s="60"/>
      <c r="DFQ8" s="60"/>
      <c r="DFR8" s="60"/>
      <c r="DFS8" s="60"/>
      <c r="DFT8" s="60"/>
      <c r="DFU8" s="60"/>
      <c r="DFV8" s="60"/>
      <c r="DFW8" s="60"/>
      <c r="DFX8" s="60"/>
      <c r="DFY8" s="60"/>
      <c r="DFZ8" s="60"/>
      <c r="DGA8" s="60"/>
      <c r="DGB8" s="60"/>
      <c r="DGC8" s="60"/>
      <c r="DGD8" s="60"/>
      <c r="DGE8" s="60"/>
      <c r="DGF8" s="60"/>
      <c r="DGG8" s="60"/>
      <c r="DGH8" s="60"/>
      <c r="DGI8" s="60"/>
      <c r="DGJ8" s="60"/>
      <c r="DGK8" s="60"/>
      <c r="DGL8" s="60"/>
      <c r="DGM8" s="60"/>
      <c r="DGN8" s="60"/>
      <c r="DGO8" s="60"/>
      <c r="DGP8" s="60"/>
      <c r="DGQ8" s="60"/>
      <c r="DGR8" s="60"/>
      <c r="DGS8" s="60"/>
      <c r="DGT8" s="60"/>
      <c r="DGU8" s="60"/>
      <c r="DGV8" s="60"/>
      <c r="DGW8" s="60"/>
      <c r="DGX8" s="60"/>
      <c r="DGY8" s="60"/>
      <c r="DGZ8" s="60"/>
      <c r="DHA8" s="60"/>
      <c r="DHB8" s="60"/>
      <c r="DHC8" s="60"/>
      <c r="DHD8" s="60"/>
      <c r="DHE8" s="60"/>
      <c r="DHF8" s="60"/>
      <c r="DHG8" s="60"/>
      <c r="DHH8" s="60"/>
      <c r="DHI8" s="60"/>
      <c r="DHJ8" s="60"/>
      <c r="DHK8" s="60"/>
      <c r="DHL8" s="60"/>
      <c r="DHM8" s="60"/>
      <c r="DHN8" s="60"/>
      <c r="DHO8" s="60"/>
      <c r="DHP8" s="60"/>
      <c r="DHQ8" s="60"/>
      <c r="DHR8" s="60"/>
      <c r="DHS8" s="60"/>
      <c r="DHT8" s="60"/>
      <c r="DHU8" s="60"/>
      <c r="DHV8" s="60"/>
      <c r="DHW8" s="60"/>
      <c r="DHX8" s="60"/>
      <c r="DHY8" s="60"/>
      <c r="DHZ8" s="60"/>
      <c r="DIA8" s="60"/>
      <c r="DIB8" s="60"/>
      <c r="DIC8" s="60"/>
      <c r="DID8" s="60"/>
      <c r="DIE8" s="60"/>
      <c r="DIF8" s="60"/>
      <c r="DIG8" s="60"/>
      <c r="DIH8" s="60"/>
      <c r="DII8" s="60"/>
      <c r="DIJ8" s="60"/>
      <c r="DIK8" s="60"/>
      <c r="DIL8" s="60"/>
      <c r="DIM8" s="60"/>
      <c r="DIN8" s="60"/>
      <c r="DIO8" s="60"/>
      <c r="DIP8" s="60"/>
      <c r="DIQ8" s="60"/>
      <c r="DIR8" s="60"/>
      <c r="DIS8" s="60"/>
      <c r="DIT8" s="60"/>
      <c r="DIU8" s="60"/>
      <c r="DIV8" s="60"/>
      <c r="DIW8" s="60"/>
      <c r="DIX8" s="60"/>
      <c r="DIY8" s="60"/>
      <c r="DIZ8" s="60"/>
      <c r="DJA8" s="60"/>
      <c r="DJB8" s="60"/>
      <c r="DJC8" s="60"/>
      <c r="DJD8" s="60"/>
      <c r="DJE8" s="60"/>
      <c r="DJF8" s="60"/>
      <c r="DJG8" s="60"/>
      <c r="DJH8" s="60"/>
      <c r="DJI8" s="60"/>
      <c r="DJJ8" s="60"/>
      <c r="DJK8" s="60"/>
      <c r="DJL8" s="60"/>
      <c r="DJM8" s="60"/>
      <c r="DJN8" s="60"/>
      <c r="DJO8" s="60"/>
      <c r="DJP8" s="60"/>
      <c r="DJQ8" s="60"/>
      <c r="DJR8" s="60"/>
      <c r="DJS8" s="60"/>
      <c r="DJT8" s="60"/>
      <c r="DJU8" s="60"/>
      <c r="DJV8" s="60"/>
      <c r="DJW8" s="60"/>
      <c r="DJX8" s="60"/>
      <c r="DJY8" s="60"/>
      <c r="DJZ8" s="60"/>
      <c r="DKA8" s="60"/>
      <c r="DKB8" s="60"/>
      <c r="DKC8" s="60"/>
      <c r="DKD8" s="60"/>
      <c r="DKE8" s="60"/>
      <c r="DKF8" s="60"/>
      <c r="DKG8" s="60"/>
      <c r="DKH8" s="60"/>
      <c r="DKI8" s="60"/>
      <c r="DKJ8" s="60"/>
      <c r="DKK8" s="60"/>
      <c r="DKL8" s="60"/>
      <c r="DKM8" s="60"/>
      <c r="DKN8" s="60"/>
      <c r="DKO8" s="60"/>
      <c r="DKP8" s="60"/>
      <c r="DKQ8" s="60"/>
      <c r="DKR8" s="60"/>
      <c r="DKS8" s="60"/>
      <c r="DKT8" s="60"/>
      <c r="DKU8" s="60"/>
      <c r="DKV8" s="60"/>
      <c r="DKW8" s="60"/>
      <c r="DKX8" s="60"/>
      <c r="DKY8" s="60"/>
      <c r="DKZ8" s="60"/>
      <c r="DLA8" s="60"/>
      <c r="DLB8" s="60"/>
      <c r="DLC8" s="60"/>
      <c r="DLD8" s="60"/>
      <c r="DLE8" s="60"/>
      <c r="DLF8" s="60"/>
      <c r="DLG8" s="60"/>
      <c r="DLH8" s="60"/>
      <c r="DLI8" s="60"/>
      <c r="DLJ8" s="60"/>
      <c r="DLK8" s="60"/>
      <c r="DLL8" s="60"/>
      <c r="DLM8" s="60"/>
      <c r="DLN8" s="60"/>
      <c r="DLO8" s="60"/>
      <c r="DLP8" s="60"/>
      <c r="DLQ8" s="60"/>
      <c r="DLR8" s="60"/>
      <c r="DLS8" s="60"/>
      <c r="DLT8" s="60"/>
      <c r="DLU8" s="60"/>
      <c r="DLV8" s="60"/>
      <c r="DLW8" s="60"/>
      <c r="DLX8" s="60"/>
      <c r="DLY8" s="60"/>
      <c r="DLZ8" s="60"/>
      <c r="DMA8" s="60"/>
      <c r="DMB8" s="60"/>
      <c r="DMC8" s="60"/>
      <c r="DMD8" s="60"/>
      <c r="DME8" s="60"/>
      <c r="DMF8" s="60"/>
      <c r="DMG8" s="60"/>
      <c r="DMH8" s="60"/>
      <c r="DMI8" s="60"/>
      <c r="DMJ8" s="60"/>
      <c r="DMK8" s="60"/>
      <c r="DML8" s="60"/>
      <c r="DMM8" s="60"/>
      <c r="DMN8" s="60"/>
      <c r="DMO8" s="60"/>
      <c r="DMP8" s="60"/>
      <c r="DMQ8" s="60"/>
      <c r="DMR8" s="60"/>
      <c r="DMS8" s="60"/>
      <c r="DMT8" s="60"/>
      <c r="DMU8" s="60"/>
      <c r="DMV8" s="60"/>
      <c r="DMW8" s="60"/>
      <c r="DMX8" s="60"/>
      <c r="DMY8" s="60"/>
      <c r="DMZ8" s="60"/>
      <c r="DNA8" s="60"/>
      <c r="DNB8" s="60"/>
      <c r="DNC8" s="60"/>
      <c r="DND8" s="60"/>
      <c r="DNE8" s="60"/>
      <c r="DNF8" s="60"/>
      <c r="DNG8" s="60"/>
      <c r="DNH8" s="60"/>
      <c r="DNI8" s="60"/>
      <c r="DNJ8" s="60"/>
      <c r="DNK8" s="60"/>
      <c r="DNL8" s="60"/>
      <c r="DNM8" s="60"/>
      <c r="DNN8" s="60"/>
      <c r="DNO8" s="60"/>
      <c r="DNP8" s="60"/>
      <c r="DNQ8" s="60"/>
      <c r="DNR8" s="60"/>
      <c r="DNS8" s="60"/>
      <c r="DNT8" s="60"/>
      <c r="DNU8" s="60"/>
      <c r="DNV8" s="60"/>
      <c r="DNW8" s="60"/>
      <c r="DNX8" s="60"/>
      <c r="DNY8" s="60"/>
      <c r="DNZ8" s="60"/>
      <c r="DOA8" s="60"/>
      <c r="DOB8" s="60"/>
      <c r="DOC8" s="60"/>
      <c r="DOD8" s="60"/>
      <c r="DOE8" s="60"/>
      <c r="DOF8" s="60"/>
      <c r="DOG8" s="60"/>
      <c r="DOH8" s="60"/>
      <c r="DOI8" s="60"/>
      <c r="DOJ8" s="60"/>
      <c r="DOK8" s="60"/>
      <c r="DOL8" s="60"/>
      <c r="DOM8" s="60"/>
      <c r="DON8" s="60"/>
      <c r="DOO8" s="60"/>
      <c r="DOP8" s="60"/>
      <c r="DOQ8" s="60"/>
      <c r="DOR8" s="60"/>
      <c r="DOS8" s="60"/>
      <c r="DOT8" s="60"/>
      <c r="DOU8" s="60"/>
      <c r="DOV8" s="60"/>
      <c r="DOW8" s="60"/>
      <c r="DOX8" s="60"/>
      <c r="DOY8" s="60"/>
      <c r="DOZ8" s="60"/>
      <c r="DPA8" s="60"/>
      <c r="DPB8" s="60"/>
      <c r="DPC8" s="60"/>
      <c r="DPD8" s="60"/>
      <c r="DPE8" s="60"/>
      <c r="DPF8" s="60"/>
      <c r="DPG8" s="60"/>
      <c r="DPH8" s="60"/>
      <c r="DPI8" s="60"/>
      <c r="DPJ8" s="60"/>
      <c r="DPK8" s="60"/>
      <c r="DPL8" s="60"/>
      <c r="DPM8" s="60"/>
      <c r="DPN8" s="60"/>
      <c r="DPO8" s="60"/>
      <c r="DPP8" s="60"/>
      <c r="DPQ8" s="60"/>
      <c r="DPR8" s="60"/>
      <c r="DPS8" s="60"/>
      <c r="DPT8" s="60"/>
      <c r="DPU8" s="60"/>
      <c r="DPV8" s="60"/>
      <c r="DPW8" s="60"/>
      <c r="DPX8" s="60"/>
      <c r="DPY8" s="60"/>
      <c r="DPZ8" s="60"/>
      <c r="DQA8" s="60"/>
      <c r="DQB8" s="60"/>
      <c r="DQC8" s="60"/>
      <c r="DQD8" s="60"/>
      <c r="DQE8" s="60"/>
      <c r="DQF8" s="60"/>
      <c r="DQG8" s="60"/>
      <c r="DQH8" s="60"/>
      <c r="DQI8" s="60"/>
      <c r="DQJ8" s="60"/>
      <c r="DQK8" s="60"/>
      <c r="DQL8" s="60"/>
      <c r="DQM8" s="60"/>
      <c r="DQN8" s="60"/>
      <c r="DQO8" s="60"/>
      <c r="DQP8" s="60"/>
      <c r="DQQ8" s="60"/>
      <c r="DQR8" s="60"/>
      <c r="DQS8" s="60"/>
      <c r="DQT8" s="60"/>
      <c r="DQU8" s="60"/>
      <c r="DQV8" s="60"/>
      <c r="DQW8" s="60"/>
      <c r="DQX8" s="60"/>
      <c r="DQY8" s="60"/>
      <c r="DQZ8" s="60"/>
      <c r="DRA8" s="60"/>
      <c r="DRB8" s="60"/>
      <c r="DRC8" s="60"/>
      <c r="DRD8" s="60"/>
      <c r="DRE8" s="60"/>
      <c r="DRF8" s="60"/>
      <c r="DRG8" s="60"/>
      <c r="DRH8" s="60"/>
      <c r="DRI8" s="60"/>
      <c r="DRJ8" s="60"/>
      <c r="DRK8" s="60"/>
      <c r="DRL8" s="60"/>
      <c r="DRM8" s="60"/>
      <c r="DRN8" s="60"/>
      <c r="DRO8" s="60"/>
      <c r="DRP8" s="60"/>
      <c r="DRQ8" s="60"/>
      <c r="DRR8" s="60"/>
      <c r="DRS8" s="60"/>
      <c r="DRT8" s="60"/>
      <c r="DRU8" s="60"/>
      <c r="DRV8" s="60"/>
      <c r="DRW8" s="60"/>
      <c r="DRX8" s="60"/>
      <c r="DRY8" s="60"/>
      <c r="DRZ8" s="60"/>
      <c r="DSA8" s="60"/>
      <c r="DSB8" s="60"/>
      <c r="DSC8" s="60"/>
      <c r="DSD8" s="60"/>
      <c r="DSE8" s="60"/>
      <c r="DSF8" s="60"/>
      <c r="DSG8" s="60"/>
      <c r="DSH8" s="60"/>
      <c r="DSI8" s="60"/>
      <c r="DSJ8" s="60"/>
      <c r="DSK8" s="60"/>
      <c r="DSL8" s="60"/>
      <c r="DSM8" s="60"/>
      <c r="DSN8" s="60"/>
      <c r="DSO8" s="60"/>
      <c r="DSP8" s="60"/>
      <c r="DSQ8" s="60"/>
      <c r="DSR8" s="60"/>
      <c r="DSS8" s="60"/>
      <c r="DST8" s="60"/>
      <c r="DSU8" s="60"/>
      <c r="DSV8" s="60"/>
      <c r="DSW8" s="60"/>
      <c r="DSX8" s="60"/>
      <c r="DSY8" s="60"/>
      <c r="DSZ8" s="60"/>
      <c r="DTA8" s="60"/>
      <c r="DTB8" s="60"/>
      <c r="DTC8" s="60"/>
      <c r="DTD8" s="60"/>
      <c r="DTE8" s="60"/>
      <c r="DTF8" s="60"/>
      <c r="DTG8" s="60"/>
      <c r="DTH8" s="60"/>
      <c r="DTI8" s="60"/>
      <c r="DTJ8" s="60"/>
      <c r="DTK8" s="60"/>
      <c r="DTL8" s="60"/>
      <c r="DTM8" s="60"/>
      <c r="DTN8" s="60"/>
      <c r="DTO8" s="60"/>
      <c r="DTP8" s="60"/>
      <c r="DTQ8" s="60"/>
      <c r="DTR8" s="60"/>
      <c r="DTS8" s="60"/>
      <c r="DTT8" s="60"/>
      <c r="DTU8" s="60"/>
      <c r="DTV8" s="60"/>
      <c r="DTW8" s="60"/>
      <c r="DTX8" s="60"/>
      <c r="DTY8" s="60"/>
      <c r="DTZ8" s="60"/>
      <c r="DUA8" s="60"/>
      <c r="DUB8" s="60"/>
      <c r="DUC8" s="60"/>
      <c r="DUD8" s="60"/>
      <c r="DUE8" s="60"/>
      <c r="DUF8" s="60"/>
      <c r="DUG8" s="60"/>
      <c r="DUH8" s="60"/>
      <c r="DUI8" s="60"/>
      <c r="DUJ8" s="60"/>
      <c r="DUK8" s="60"/>
      <c r="DUL8" s="60"/>
      <c r="DUM8" s="60"/>
      <c r="DUN8" s="60"/>
      <c r="DUO8" s="60"/>
      <c r="DUP8" s="60"/>
      <c r="DUQ8" s="60"/>
      <c r="DUR8" s="60"/>
      <c r="DUS8" s="60"/>
      <c r="DUT8" s="60"/>
      <c r="DUU8" s="60"/>
      <c r="DUV8" s="60"/>
      <c r="DUW8" s="60"/>
      <c r="DUX8" s="60"/>
      <c r="DUY8" s="60"/>
      <c r="DUZ8" s="60"/>
      <c r="DVA8" s="60"/>
      <c r="DVB8" s="60"/>
      <c r="DVC8" s="60"/>
      <c r="DVD8" s="60"/>
      <c r="DVE8" s="60"/>
      <c r="DVF8" s="60"/>
      <c r="DVG8" s="60"/>
      <c r="DVH8" s="60"/>
      <c r="DVI8" s="60"/>
      <c r="DVJ8" s="60"/>
      <c r="DVK8" s="60"/>
      <c r="DVL8" s="60"/>
      <c r="DVM8" s="60"/>
      <c r="DVN8" s="60"/>
      <c r="DVO8" s="60"/>
      <c r="DVP8" s="60"/>
      <c r="DVQ8" s="60"/>
      <c r="DVR8" s="60"/>
      <c r="DVS8" s="60"/>
      <c r="DVT8" s="60"/>
      <c r="DVU8" s="60"/>
      <c r="DVV8" s="60"/>
      <c r="DVW8" s="60"/>
      <c r="DVX8" s="60"/>
      <c r="DVY8" s="60"/>
      <c r="DVZ8" s="60"/>
      <c r="DWA8" s="60"/>
      <c r="DWB8" s="60"/>
      <c r="DWC8" s="60"/>
      <c r="DWD8" s="60"/>
      <c r="DWE8" s="60"/>
      <c r="DWF8" s="60"/>
      <c r="DWG8" s="60"/>
      <c r="DWH8" s="60"/>
      <c r="DWI8" s="60"/>
      <c r="DWJ8" s="60"/>
      <c r="DWK8" s="60"/>
      <c r="DWL8" s="60"/>
      <c r="DWM8" s="60"/>
      <c r="DWN8" s="60"/>
      <c r="DWO8" s="60"/>
      <c r="DWP8" s="60"/>
      <c r="DWQ8" s="60"/>
      <c r="DWR8" s="60"/>
      <c r="DWS8" s="60"/>
      <c r="DWT8" s="60"/>
      <c r="DWU8" s="60"/>
      <c r="DWV8" s="60"/>
      <c r="DWW8" s="60"/>
      <c r="DWX8" s="60"/>
      <c r="DWY8" s="60"/>
      <c r="DWZ8" s="60"/>
      <c r="DXA8" s="60"/>
      <c r="DXB8" s="60"/>
      <c r="DXC8" s="60"/>
      <c r="DXD8" s="60"/>
      <c r="DXE8" s="60"/>
      <c r="DXF8" s="60"/>
      <c r="DXG8" s="60"/>
      <c r="DXH8" s="60"/>
      <c r="DXI8" s="60"/>
      <c r="DXJ8" s="60"/>
      <c r="DXK8" s="60"/>
      <c r="DXL8" s="60"/>
      <c r="DXM8" s="60"/>
      <c r="DXN8" s="60"/>
      <c r="DXO8" s="60"/>
      <c r="DXP8" s="60"/>
      <c r="DXQ8" s="60"/>
      <c r="DXR8" s="60"/>
      <c r="DXS8" s="60"/>
      <c r="DXT8" s="60"/>
      <c r="DXU8" s="60"/>
      <c r="DXV8" s="60"/>
      <c r="DXW8" s="60"/>
      <c r="DXX8" s="60"/>
      <c r="DXY8" s="60"/>
      <c r="DXZ8" s="60"/>
      <c r="DYA8" s="60"/>
      <c r="DYB8" s="60"/>
      <c r="DYC8" s="60"/>
      <c r="DYD8" s="60"/>
      <c r="DYE8" s="60"/>
      <c r="DYF8" s="60"/>
      <c r="DYG8" s="60"/>
      <c r="DYH8" s="60"/>
      <c r="DYI8" s="60"/>
      <c r="DYJ8" s="60"/>
      <c r="DYK8" s="60"/>
      <c r="DYL8" s="60"/>
      <c r="DYM8" s="60"/>
      <c r="DYN8" s="60"/>
      <c r="DYO8" s="60"/>
      <c r="DYP8" s="60"/>
      <c r="DYQ8" s="60"/>
      <c r="DYR8" s="60"/>
      <c r="DYS8" s="60"/>
      <c r="DYT8" s="60"/>
      <c r="DYU8" s="60"/>
      <c r="DYV8" s="60"/>
      <c r="DYW8" s="60"/>
      <c r="DYX8" s="60"/>
      <c r="DYY8" s="60"/>
      <c r="DYZ8" s="60"/>
      <c r="DZA8" s="60"/>
      <c r="DZB8" s="60"/>
      <c r="DZC8" s="60"/>
      <c r="DZD8" s="60"/>
      <c r="DZE8" s="60"/>
      <c r="DZF8" s="60"/>
      <c r="DZG8" s="60"/>
      <c r="DZH8" s="60"/>
      <c r="DZI8" s="60"/>
      <c r="DZJ8" s="60"/>
      <c r="DZK8" s="60"/>
      <c r="DZL8" s="60"/>
      <c r="DZM8" s="60"/>
      <c r="DZN8" s="60"/>
      <c r="DZO8" s="60"/>
      <c r="DZP8" s="60"/>
      <c r="DZQ8" s="60"/>
      <c r="DZR8" s="60"/>
      <c r="DZS8" s="60"/>
      <c r="DZT8" s="60"/>
      <c r="DZU8" s="60"/>
      <c r="DZV8" s="60"/>
      <c r="DZW8" s="60"/>
      <c r="DZX8" s="60"/>
      <c r="DZY8" s="60"/>
      <c r="DZZ8" s="60"/>
      <c r="EAA8" s="60"/>
      <c r="EAB8" s="60"/>
      <c r="EAC8" s="60"/>
      <c r="EAD8" s="60"/>
      <c r="EAE8" s="60"/>
      <c r="EAF8" s="60"/>
      <c r="EAG8" s="60"/>
      <c r="EAH8" s="60"/>
      <c r="EAI8" s="60"/>
      <c r="EAJ8" s="60"/>
      <c r="EAK8" s="60"/>
      <c r="EAL8" s="60"/>
      <c r="EAM8" s="60"/>
      <c r="EAN8" s="60"/>
      <c r="EAO8" s="60"/>
      <c r="EAP8" s="60"/>
      <c r="EAQ8" s="60"/>
      <c r="EAR8" s="60"/>
      <c r="EAS8" s="60"/>
      <c r="EAT8" s="60"/>
      <c r="EAU8" s="60"/>
      <c r="EAV8" s="60"/>
      <c r="EAW8" s="60"/>
      <c r="EAX8" s="60"/>
      <c r="EAY8" s="60"/>
      <c r="EAZ8" s="60"/>
      <c r="EBA8" s="60"/>
      <c r="EBB8" s="60"/>
      <c r="EBC8" s="60"/>
      <c r="EBD8" s="60"/>
      <c r="EBE8" s="60"/>
      <c r="EBF8" s="60"/>
      <c r="EBG8" s="60"/>
      <c r="EBH8" s="60"/>
      <c r="EBI8" s="60"/>
      <c r="EBJ8" s="60"/>
      <c r="EBK8" s="60"/>
      <c r="EBL8" s="60"/>
      <c r="EBM8" s="60"/>
      <c r="EBN8" s="60"/>
      <c r="EBO8" s="60"/>
      <c r="EBP8" s="60"/>
      <c r="EBQ8" s="60"/>
      <c r="EBR8" s="60"/>
      <c r="EBS8" s="60"/>
      <c r="EBT8" s="60"/>
      <c r="EBU8" s="60"/>
      <c r="EBV8" s="60"/>
      <c r="EBW8" s="60"/>
      <c r="EBX8" s="60"/>
      <c r="EBY8" s="60"/>
      <c r="EBZ8" s="60"/>
      <c r="ECA8" s="60"/>
      <c r="ECB8" s="60"/>
      <c r="ECC8" s="60"/>
      <c r="ECD8" s="60"/>
      <c r="ECE8" s="60"/>
      <c r="ECF8" s="60"/>
      <c r="ECG8" s="60"/>
      <c r="ECH8" s="60"/>
      <c r="ECI8" s="60"/>
      <c r="ECJ8" s="60"/>
      <c r="ECK8" s="60"/>
      <c r="ECL8" s="60"/>
      <c r="ECM8" s="60"/>
      <c r="ECN8" s="60"/>
      <c r="ECO8" s="60"/>
      <c r="ECP8" s="60"/>
      <c r="ECQ8" s="60"/>
      <c r="ECR8" s="60"/>
      <c r="ECS8" s="60"/>
      <c r="ECT8" s="60"/>
      <c r="ECU8" s="60"/>
      <c r="ECV8" s="60"/>
      <c r="ECW8" s="60"/>
      <c r="ECX8" s="60"/>
      <c r="ECY8" s="60"/>
      <c r="ECZ8" s="60"/>
      <c r="EDA8" s="60"/>
      <c r="EDB8" s="60"/>
      <c r="EDC8" s="60"/>
      <c r="EDD8" s="60"/>
      <c r="EDE8" s="60"/>
      <c r="EDF8" s="60"/>
      <c r="EDG8" s="60"/>
      <c r="EDH8" s="60"/>
      <c r="EDI8" s="60"/>
      <c r="EDJ8" s="60"/>
      <c r="EDK8" s="60"/>
      <c r="EDL8" s="60"/>
      <c r="EDM8" s="60"/>
      <c r="EDN8" s="60"/>
      <c r="EDO8" s="60"/>
      <c r="EDP8" s="60"/>
      <c r="EDQ8" s="60"/>
      <c r="EDR8" s="60"/>
      <c r="EDS8" s="60"/>
      <c r="EDT8" s="60"/>
      <c r="EDU8" s="60"/>
      <c r="EDV8" s="60"/>
      <c r="EDW8" s="60"/>
      <c r="EDX8" s="60"/>
      <c r="EDY8" s="60"/>
      <c r="EDZ8" s="60"/>
      <c r="EEA8" s="60"/>
      <c r="EEB8" s="60"/>
      <c r="EEC8" s="60"/>
      <c r="EED8" s="60"/>
      <c r="EEE8" s="60"/>
      <c r="EEF8" s="60"/>
      <c r="EEG8" s="60"/>
      <c r="EEH8" s="60"/>
      <c r="EEI8" s="60"/>
      <c r="EEJ8" s="60"/>
      <c r="EEK8" s="60"/>
      <c r="EEL8" s="60"/>
      <c r="EEM8" s="60"/>
      <c r="EEN8" s="60"/>
      <c r="EEO8" s="60"/>
      <c r="EEP8" s="60"/>
      <c r="EEQ8" s="60"/>
      <c r="EER8" s="60"/>
      <c r="EES8" s="60"/>
      <c r="EET8" s="60"/>
      <c r="EEU8" s="60"/>
      <c r="EEV8" s="60"/>
      <c r="EEW8" s="60"/>
      <c r="EEX8" s="60"/>
      <c r="EEY8" s="60"/>
      <c r="EEZ8" s="60"/>
      <c r="EFA8" s="60"/>
      <c r="EFB8" s="60"/>
      <c r="EFC8" s="60"/>
      <c r="EFD8" s="60"/>
      <c r="EFE8" s="60"/>
      <c r="EFF8" s="60"/>
      <c r="EFG8" s="60"/>
      <c r="EFH8" s="60"/>
      <c r="EFI8" s="60"/>
      <c r="EFJ8" s="60"/>
      <c r="EFK8" s="60"/>
      <c r="EFL8" s="60"/>
      <c r="EFM8" s="60"/>
      <c r="EFN8" s="60"/>
      <c r="EFO8" s="60"/>
      <c r="EFP8" s="60"/>
      <c r="EFQ8" s="60"/>
      <c r="EFR8" s="60"/>
      <c r="EFS8" s="60"/>
      <c r="EFT8" s="60"/>
      <c r="EFU8" s="60"/>
      <c r="EFV8" s="60"/>
      <c r="EFW8" s="60"/>
      <c r="EFX8" s="60"/>
      <c r="EFY8" s="60"/>
      <c r="EFZ8" s="60"/>
      <c r="EGA8" s="60"/>
      <c r="EGB8" s="60"/>
      <c r="EGC8" s="60"/>
      <c r="EGD8" s="60"/>
      <c r="EGE8" s="60"/>
      <c r="EGF8" s="60"/>
      <c r="EGG8" s="60"/>
      <c r="EGH8" s="60"/>
      <c r="EGI8" s="60"/>
      <c r="EGJ8" s="60"/>
      <c r="EGK8" s="60"/>
      <c r="EGL8" s="60"/>
      <c r="EGM8" s="60"/>
      <c r="EGN8" s="60"/>
      <c r="EGO8" s="60"/>
      <c r="EGP8" s="60"/>
      <c r="EGQ8" s="60"/>
      <c r="EGR8" s="60"/>
      <c r="EGS8" s="60"/>
      <c r="EGT8" s="60"/>
      <c r="EGU8" s="60"/>
      <c r="EGV8" s="60"/>
      <c r="EGW8" s="60"/>
      <c r="EGX8" s="60"/>
      <c r="EGY8" s="60"/>
      <c r="EGZ8" s="60"/>
      <c r="EHA8" s="60"/>
      <c r="EHB8" s="60"/>
      <c r="EHC8" s="60"/>
      <c r="EHD8" s="60"/>
      <c r="EHE8" s="60"/>
      <c r="EHF8" s="60"/>
      <c r="EHG8" s="60"/>
      <c r="EHH8" s="60"/>
      <c r="EHI8" s="60"/>
      <c r="EHJ8" s="60"/>
      <c r="EHK8" s="60"/>
      <c r="EHL8" s="60"/>
      <c r="EHM8" s="60"/>
      <c r="EHN8" s="60"/>
      <c r="EHO8" s="60"/>
      <c r="EHP8" s="60"/>
      <c r="EHQ8" s="60"/>
      <c r="EHR8" s="60"/>
      <c r="EHS8" s="60"/>
      <c r="EHT8" s="60"/>
      <c r="EHU8" s="60"/>
      <c r="EHV8" s="60"/>
      <c r="EHW8" s="60"/>
      <c r="EHX8" s="60"/>
      <c r="EHY8" s="60"/>
      <c r="EHZ8" s="60"/>
      <c r="EIA8" s="60"/>
      <c r="EIB8" s="60"/>
      <c r="EIC8" s="60"/>
      <c r="EID8" s="60"/>
      <c r="EIE8" s="60"/>
      <c r="EIF8" s="60"/>
      <c r="EIG8" s="60"/>
      <c r="EIH8" s="60"/>
      <c r="EII8" s="60"/>
      <c r="EIJ8" s="60"/>
      <c r="EIK8" s="60"/>
      <c r="EIL8" s="60"/>
      <c r="EIM8" s="60"/>
      <c r="EIN8" s="60"/>
      <c r="EIO8" s="60"/>
      <c r="EIP8" s="60"/>
      <c r="EIQ8" s="60"/>
      <c r="EIR8" s="60"/>
      <c r="EIS8" s="60"/>
      <c r="EIT8" s="60"/>
      <c r="EIU8" s="60"/>
      <c r="EIV8" s="60"/>
      <c r="EIW8" s="60"/>
      <c r="EIX8" s="60"/>
      <c r="EIY8" s="60"/>
      <c r="EIZ8" s="60"/>
      <c r="EJA8" s="60"/>
      <c r="EJB8" s="60"/>
      <c r="EJC8" s="60"/>
      <c r="EJD8" s="60"/>
      <c r="EJE8" s="60"/>
      <c r="EJF8" s="60"/>
      <c r="EJG8" s="60"/>
      <c r="EJH8" s="60"/>
      <c r="EJI8" s="60"/>
      <c r="EJJ8" s="60"/>
      <c r="EJK8" s="60"/>
      <c r="EJL8" s="60"/>
      <c r="EJM8" s="60"/>
      <c r="EJN8" s="60"/>
      <c r="EJO8" s="60"/>
      <c r="EJP8" s="60"/>
      <c r="EJQ8" s="60"/>
      <c r="EJR8" s="60"/>
      <c r="EJS8" s="60"/>
      <c r="EJT8" s="60"/>
      <c r="EJU8" s="60"/>
      <c r="EJV8" s="60"/>
      <c r="EJW8" s="60"/>
      <c r="EJX8" s="60"/>
      <c r="EJY8" s="60"/>
      <c r="EJZ8" s="60"/>
      <c r="EKA8" s="60"/>
      <c r="EKB8" s="60"/>
      <c r="EKC8" s="60"/>
      <c r="EKD8" s="60"/>
      <c r="EKE8" s="60"/>
      <c r="EKF8" s="60"/>
      <c r="EKG8" s="60"/>
      <c r="EKH8" s="60"/>
      <c r="EKI8" s="60"/>
      <c r="EKJ8" s="60"/>
      <c r="EKK8" s="60"/>
      <c r="EKL8" s="60"/>
      <c r="EKM8" s="60"/>
      <c r="EKN8" s="60"/>
      <c r="EKO8" s="60"/>
      <c r="EKP8" s="60"/>
      <c r="EKQ8" s="60"/>
      <c r="EKR8" s="60"/>
      <c r="EKS8" s="60"/>
      <c r="EKT8" s="60"/>
      <c r="EKU8" s="60"/>
      <c r="EKV8" s="60"/>
      <c r="EKW8" s="60"/>
      <c r="EKX8" s="60"/>
      <c r="EKY8" s="60"/>
      <c r="EKZ8" s="60"/>
      <c r="ELA8" s="60"/>
      <c r="ELB8" s="60"/>
      <c r="ELC8" s="60"/>
      <c r="ELD8" s="60"/>
      <c r="ELE8" s="60"/>
      <c r="ELF8" s="60"/>
      <c r="ELG8" s="60"/>
      <c r="ELH8" s="60"/>
      <c r="ELI8" s="60"/>
      <c r="ELJ8" s="60"/>
      <c r="ELK8" s="60"/>
      <c r="ELL8" s="60"/>
      <c r="ELM8" s="60"/>
      <c r="ELN8" s="60"/>
      <c r="ELO8" s="60"/>
      <c r="ELP8" s="60"/>
      <c r="ELQ8" s="60"/>
      <c r="ELR8" s="60"/>
      <c r="ELS8" s="60"/>
      <c r="ELT8" s="60"/>
      <c r="ELU8" s="60"/>
      <c r="ELV8" s="60"/>
      <c r="ELW8" s="60"/>
      <c r="ELX8" s="60"/>
      <c r="ELY8" s="60"/>
      <c r="ELZ8" s="60"/>
      <c r="EMA8" s="60"/>
      <c r="EMB8" s="60"/>
      <c r="EMC8" s="60"/>
      <c r="EMD8" s="60"/>
      <c r="EME8" s="60"/>
      <c r="EMF8" s="60"/>
      <c r="EMG8" s="60"/>
      <c r="EMH8" s="60"/>
      <c r="EMI8" s="60"/>
      <c r="EMJ8" s="60"/>
      <c r="EMK8" s="60"/>
      <c r="EML8" s="60"/>
      <c r="EMM8" s="60"/>
      <c r="EMN8" s="60"/>
      <c r="EMO8" s="60"/>
      <c r="EMP8" s="60"/>
      <c r="EMQ8" s="60"/>
      <c r="EMR8" s="60"/>
      <c r="EMS8" s="60"/>
      <c r="EMT8" s="60"/>
      <c r="EMU8" s="60"/>
      <c r="EMV8" s="60"/>
      <c r="EMW8" s="60"/>
      <c r="EMX8" s="60"/>
      <c r="EMY8" s="60"/>
      <c r="EMZ8" s="60"/>
      <c r="ENA8" s="60"/>
      <c r="ENB8" s="60"/>
      <c r="ENC8" s="60"/>
      <c r="END8" s="60"/>
      <c r="ENE8" s="60"/>
      <c r="ENF8" s="60"/>
      <c r="ENG8" s="60"/>
      <c r="ENH8" s="60"/>
      <c r="ENI8" s="60"/>
      <c r="ENJ8" s="60"/>
      <c r="ENK8" s="60"/>
      <c r="ENL8" s="60"/>
      <c r="ENM8" s="60"/>
      <c r="ENN8" s="60"/>
      <c r="ENO8" s="60"/>
      <c r="ENP8" s="60"/>
      <c r="ENQ8" s="60"/>
      <c r="ENR8" s="60"/>
      <c r="ENS8" s="60"/>
      <c r="ENT8" s="60"/>
      <c r="ENU8" s="60"/>
      <c r="ENV8" s="60"/>
      <c r="ENW8" s="60"/>
      <c r="ENX8" s="60"/>
      <c r="ENY8" s="60"/>
      <c r="ENZ8" s="60"/>
      <c r="EOA8" s="60"/>
      <c r="EOB8" s="60"/>
      <c r="EOC8" s="60"/>
      <c r="EOD8" s="60"/>
      <c r="EOE8" s="60"/>
      <c r="EOF8" s="60"/>
      <c r="EOG8" s="60"/>
      <c r="EOH8" s="60"/>
      <c r="EOI8" s="60"/>
      <c r="EOJ8" s="60"/>
      <c r="EOK8" s="60"/>
      <c r="EOL8" s="60"/>
      <c r="EOM8" s="60"/>
      <c r="EON8" s="60"/>
      <c r="EOO8" s="60"/>
      <c r="EOP8" s="60"/>
      <c r="EOQ8" s="60"/>
      <c r="EOR8" s="60"/>
      <c r="EOS8" s="60"/>
      <c r="EOT8" s="60"/>
      <c r="EOU8" s="60"/>
      <c r="EOV8" s="60"/>
      <c r="EOW8" s="60"/>
      <c r="EOX8" s="60"/>
      <c r="EOY8" s="60"/>
      <c r="EOZ8" s="60"/>
      <c r="EPA8" s="60"/>
      <c r="EPB8" s="60"/>
      <c r="EPC8" s="60"/>
      <c r="EPD8" s="60"/>
      <c r="EPE8" s="60"/>
      <c r="EPF8" s="60"/>
      <c r="EPG8" s="60"/>
      <c r="EPH8" s="60"/>
      <c r="EPI8" s="60"/>
      <c r="EPJ8" s="60"/>
      <c r="EPK8" s="60"/>
      <c r="EPL8" s="60"/>
      <c r="EPM8" s="60"/>
      <c r="EPN8" s="60"/>
      <c r="EPO8" s="60"/>
      <c r="EPP8" s="60"/>
      <c r="EPQ8" s="60"/>
      <c r="EPR8" s="60"/>
      <c r="EPS8" s="60"/>
      <c r="EPT8" s="60"/>
      <c r="EPU8" s="60"/>
      <c r="EPV8" s="60"/>
      <c r="EPW8" s="60"/>
      <c r="EPX8" s="60"/>
      <c r="EPY8" s="60"/>
      <c r="EPZ8" s="60"/>
      <c r="EQA8" s="60"/>
      <c r="EQB8" s="60"/>
      <c r="EQC8" s="60"/>
      <c r="EQD8" s="60"/>
      <c r="EQE8" s="60"/>
      <c r="EQF8" s="60"/>
      <c r="EQG8" s="60"/>
      <c r="EQH8" s="60"/>
      <c r="EQI8" s="60"/>
      <c r="EQJ8" s="60"/>
      <c r="EQK8" s="60"/>
      <c r="EQL8" s="60"/>
      <c r="EQM8" s="60"/>
      <c r="EQN8" s="60"/>
      <c r="EQO8" s="60"/>
      <c r="EQP8" s="60"/>
      <c r="EQQ8" s="60"/>
      <c r="EQR8" s="60"/>
      <c r="EQS8" s="60"/>
      <c r="EQT8" s="60"/>
      <c r="EQU8" s="60"/>
      <c r="EQV8" s="60"/>
      <c r="EQW8" s="60"/>
      <c r="EQX8" s="60"/>
      <c r="EQY8" s="60"/>
      <c r="EQZ8" s="60"/>
      <c r="ERA8" s="60"/>
      <c r="ERB8" s="60"/>
      <c r="ERC8" s="60"/>
      <c r="ERD8" s="60"/>
      <c r="ERE8" s="60"/>
      <c r="ERF8" s="60"/>
      <c r="ERG8" s="60"/>
      <c r="ERH8" s="60"/>
      <c r="ERI8" s="60"/>
      <c r="ERJ8" s="60"/>
      <c r="ERK8" s="60"/>
      <c r="ERL8" s="60"/>
      <c r="ERM8" s="60"/>
      <c r="ERN8" s="60"/>
      <c r="ERO8" s="60"/>
      <c r="ERP8" s="60"/>
      <c r="ERQ8" s="60"/>
      <c r="ERR8" s="60"/>
      <c r="ERS8" s="60"/>
      <c r="ERT8" s="60"/>
      <c r="ERU8" s="60"/>
      <c r="ERV8" s="60"/>
      <c r="ERW8" s="60"/>
      <c r="ERX8" s="60"/>
      <c r="ERY8" s="60"/>
      <c r="ERZ8" s="60"/>
      <c r="ESA8" s="60"/>
      <c r="ESB8" s="60"/>
      <c r="ESC8" s="60"/>
      <c r="ESD8" s="60"/>
      <c r="ESE8" s="60"/>
      <c r="ESF8" s="60"/>
      <c r="ESG8" s="60"/>
      <c r="ESH8" s="60"/>
      <c r="ESI8" s="60"/>
      <c r="ESJ8" s="60"/>
      <c r="ESK8" s="60"/>
      <c r="ESL8" s="60"/>
      <c r="ESM8" s="60"/>
      <c r="ESN8" s="60"/>
      <c r="ESO8" s="60"/>
      <c r="ESP8" s="60"/>
      <c r="ESQ8" s="60"/>
      <c r="ESR8" s="60"/>
      <c r="ESS8" s="60"/>
      <c r="EST8" s="60"/>
      <c r="ESU8" s="60"/>
      <c r="ESV8" s="60"/>
      <c r="ESW8" s="60"/>
      <c r="ESX8" s="60"/>
      <c r="ESY8" s="60"/>
      <c r="ESZ8" s="60"/>
      <c r="ETA8" s="60"/>
      <c r="ETB8" s="60"/>
      <c r="ETC8" s="60"/>
      <c r="ETD8" s="60"/>
      <c r="ETE8" s="60"/>
      <c r="ETF8" s="60"/>
      <c r="ETG8" s="60"/>
      <c r="ETH8" s="60"/>
      <c r="ETI8" s="60"/>
      <c r="ETJ8" s="60"/>
      <c r="ETK8" s="60"/>
      <c r="ETL8" s="60"/>
      <c r="ETM8" s="60"/>
      <c r="ETN8" s="60"/>
      <c r="ETO8" s="60"/>
      <c r="ETP8" s="60"/>
      <c r="ETQ8" s="60"/>
      <c r="ETR8" s="60"/>
      <c r="ETS8" s="60"/>
      <c r="ETT8" s="60"/>
      <c r="ETU8" s="60"/>
      <c r="ETV8" s="60"/>
      <c r="ETW8" s="60"/>
      <c r="ETX8" s="60"/>
      <c r="ETY8" s="60"/>
      <c r="ETZ8" s="60"/>
      <c r="EUA8" s="60"/>
      <c r="EUB8" s="60"/>
      <c r="EUC8" s="60"/>
      <c r="EUD8" s="60"/>
      <c r="EUE8" s="60"/>
      <c r="EUF8" s="60"/>
      <c r="EUG8" s="60"/>
      <c r="EUH8" s="60"/>
      <c r="EUI8" s="60"/>
      <c r="EUJ8" s="60"/>
      <c r="EUK8" s="60"/>
      <c r="EUL8" s="60"/>
      <c r="EUM8" s="60"/>
      <c r="EUN8" s="60"/>
      <c r="EUO8" s="60"/>
      <c r="EUP8" s="60"/>
      <c r="EUQ8" s="60"/>
      <c r="EUR8" s="60"/>
      <c r="EUS8" s="60"/>
      <c r="EUT8" s="60"/>
      <c r="EUU8" s="60"/>
      <c r="EUV8" s="60"/>
      <c r="EUW8" s="60"/>
      <c r="EUX8" s="60"/>
      <c r="EUY8" s="60"/>
      <c r="EUZ8" s="60"/>
      <c r="EVA8" s="60"/>
      <c r="EVB8" s="60"/>
      <c r="EVC8" s="60"/>
      <c r="EVD8" s="60"/>
      <c r="EVE8" s="60"/>
      <c r="EVF8" s="60"/>
      <c r="EVG8" s="60"/>
      <c r="EVH8" s="60"/>
      <c r="EVI8" s="60"/>
      <c r="EVJ8" s="60"/>
      <c r="EVK8" s="60"/>
      <c r="EVL8" s="60"/>
      <c r="EVM8" s="60"/>
      <c r="EVN8" s="60"/>
      <c r="EVO8" s="60"/>
      <c r="EVP8" s="60"/>
      <c r="EVQ8" s="60"/>
      <c r="EVR8" s="60"/>
      <c r="EVS8" s="60"/>
      <c r="EVT8" s="60"/>
      <c r="EVU8" s="60"/>
      <c r="EVV8" s="60"/>
      <c r="EVW8" s="60"/>
      <c r="EVX8" s="60"/>
      <c r="EVY8" s="60"/>
      <c r="EVZ8" s="60"/>
      <c r="EWA8" s="60"/>
      <c r="EWB8" s="60"/>
      <c r="EWC8" s="60"/>
      <c r="EWD8" s="60"/>
      <c r="EWE8" s="60"/>
      <c r="EWF8" s="60"/>
      <c r="EWG8" s="60"/>
      <c r="EWH8" s="60"/>
      <c r="EWI8" s="60"/>
      <c r="EWJ8" s="60"/>
      <c r="EWK8" s="60"/>
      <c r="EWL8" s="60"/>
      <c r="EWM8" s="60"/>
      <c r="EWN8" s="60"/>
      <c r="EWO8" s="60"/>
      <c r="EWP8" s="60"/>
      <c r="EWQ8" s="60"/>
      <c r="EWR8" s="60"/>
      <c r="EWS8" s="60"/>
      <c r="EWT8" s="60"/>
      <c r="EWU8" s="60"/>
      <c r="EWV8" s="60"/>
      <c r="EWW8" s="60"/>
      <c r="EWX8" s="60"/>
      <c r="EWY8" s="60"/>
      <c r="EWZ8" s="60"/>
      <c r="EXA8" s="60"/>
      <c r="EXB8" s="60"/>
      <c r="EXC8" s="60"/>
      <c r="EXD8" s="60"/>
      <c r="EXE8" s="60"/>
      <c r="EXF8" s="60"/>
      <c r="EXG8" s="60"/>
      <c r="EXH8" s="60"/>
      <c r="EXI8" s="60"/>
      <c r="EXJ8" s="60"/>
      <c r="EXK8" s="60"/>
      <c r="EXL8" s="60"/>
      <c r="EXM8" s="60"/>
      <c r="EXN8" s="60"/>
      <c r="EXO8" s="60"/>
      <c r="EXP8" s="60"/>
      <c r="EXQ8" s="60"/>
      <c r="EXR8" s="60"/>
      <c r="EXS8" s="60"/>
      <c r="EXT8" s="60"/>
      <c r="EXU8" s="60"/>
      <c r="EXV8" s="60"/>
      <c r="EXW8" s="60"/>
      <c r="EXX8" s="60"/>
      <c r="EXY8" s="60"/>
      <c r="EXZ8" s="60"/>
      <c r="EYA8" s="60"/>
      <c r="EYB8" s="60"/>
      <c r="EYC8" s="60"/>
      <c r="EYD8" s="60"/>
      <c r="EYE8" s="60"/>
      <c r="EYF8" s="60"/>
      <c r="EYG8" s="60"/>
      <c r="EYH8" s="60"/>
      <c r="EYI8" s="60"/>
      <c r="EYJ8" s="60"/>
      <c r="EYK8" s="60"/>
      <c r="EYL8" s="60"/>
      <c r="EYM8" s="60"/>
      <c r="EYN8" s="60"/>
      <c r="EYO8" s="60"/>
      <c r="EYP8" s="60"/>
      <c r="EYQ8" s="60"/>
      <c r="EYR8" s="60"/>
      <c r="EYS8" s="60"/>
      <c r="EYT8" s="60"/>
      <c r="EYU8" s="60"/>
      <c r="EYV8" s="60"/>
      <c r="EYW8" s="60"/>
      <c r="EYX8" s="60"/>
      <c r="EYY8" s="60"/>
      <c r="EYZ8" s="60"/>
      <c r="EZA8" s="60"/>
      <c r="EZB8" s="60"/>
      <c r="EZC8" s="60"/>
      <c r="EZD8" s="60"/>
      <c r="EZE8" s="60"/>
      <c r="EZF8" s="60"/>
      <c r="EZG8" s="60"/>
      <c r="EZH8" s="60"/>
      <c r="EZI8" s="60"/>
      <c r="EZJ8" s="60"/>
      <c r="EZK8" s="60"/>
      <c r="EZL8" s="60"/>
      <c r="EZM8" s="60"/>
      <c r="EZN8" s="60"/>
      <c r="EZO8" s="60"/>
      <c r="EZP8" s="60"/>
      <c r="EZQ8" s="60"/>
      <c r="EZR8" s="60"/>
      <c r="EZS8" s="60"/>
      <c r="EZT8" s="60"/>
      <c r="EZU8" s="60"/>
      <c r="EZV8" s="60"/>
      <c r="EZW8" s="60"/>
      <c r="EZX8" s="60"/>
      <c r="EZY8" s="60"/>
      <c r="EZZ8" s="60"/>
      <c r="FAA8" s="60"/>
      <c r="FAB8" s="60"/>
      <c r="FAC8" s="60"/>
      <c r="FAD8" s="60"/>
      <c r="FAE8" s="60"/>
      <c r="FAF8" s="60"/>
      <c r="FAG8" s="60"/>
      <c r="FAH8" s="60"/>
      <c r="FAI8" s="60"/>
      <c r="FAJ8" s="60"/>
      <c r="FAK8" s="60"/>
      <c r="FAL8" s="60"/>
      <c r="FAM8" s="60"/>
      <c r="FAN8" s="60"/>
      <c r="FAO8" s="60"/>
      <c r="FAP8" s="60"/>
      <c r="FAQ8" s="60"/>
      <c r="FAR8" s="60"/>
      <c r="FAS8" s="60"/>
      <c r="FAT8" s="60"/>
      <c r="FAU8" s="60"/>
      <c r="FAV8" s="60"/>
      <c r="FAW8" s="60"/>
      <c r="FAX8" s="60"/>
      <c r="FAY8" s="60"/>
      <c r="FAZ8" s="60"/>
      <c r="FBA8" s="60"/>
      <c r="FBB8" s="60"/>
      <c r="FBC8" s="60"/>
      <c r="FBD8" s="60"/>
      <c r="FBE8" s="60"/>
      <c r="FBF8" s="60"/>
      <c r="FBG8" s="60"/>
      <c r="FBH8" s="60"/>
      <c r="FBI8" s="60"/>
      <c r="FBJ8" s="60"/>
      <c r="FBK8" s="60"/>
      <c r="FBL8" s="60"/>
      <c r="FBM8" s="60"/>
      <c r="FBN8" s="60"/>
      <c r="FBO8" s="60"/>
      <c r="FBP8" s="60"/>
      <c r="FBQ8" s="60"/>
      <c r="FBR8" s="60"/>
      <c r="FBS8" s="60"/>
      <c r="FBT8" s="60"/>
      <c r="FBU8" s="60"/>
      <c r="FBV8" s="60"/>
      <c r="FBW8" s="60"/>
      <c r="FBX8" s="60"/>
      <c r="FBY8" s="60"/>
      <c r="FBZ8" s="60"/>
      <c r="FCA8" s="60"/>
      <c r="FCB8" s="60"/>
      <c r="FCC8" s="60"/>
      <c r="FCD8" s="60"/>
      <c r="FCE8" s="60"/>
      <c r="FCF8" s="60"/>
      <c r="FCG8" s="60"/>
      <c r="FCH8" s="60"/>
      <c r="FCI8" s="60"/>
      <c r="FCJ8" s="60"/>
      <c r="FCK8" s="60"/>
      <c r="FCL8" s="60"/>
      <c r="FCM8" s="60"/>
      <c r="FCN8" s="60"/>
      <c r="FCO8" s="60"/>
      <c r="FCP8" s="60"/>
      <c r="FCQ8" s="60"/>
      <c r="FCR8" s="60"/>
      <c r="FCS8" s="60"/>
      <c r="FCT8" s="60"/>
      <c r="FCU8" s="60"/>
      <c r="FCV8" s="60"/>
      <c r="FCW8" s="60"/>
      <c r="FCX8" s="60"/>
      <c r="FCY8" s="60"/>
      <c r="FCZ8" s="60"/>
      <c r="FDA8" s="60"/>
      <c r="FDB8" s="60"/>
      <c r="FDC8" s="60"/>
      <c r="FDD8" s="60"/>
      <c r="FDE8" s="60"/>
      <c r="FDF8" s="60"/>
      <c r="FDG8" s="60"/>
      <c r="FDH8" s="60"/>
      <c r="FDI8" s="60"/>
      <c r="FDJ8" s="60"/>
      <c r="FDK8" s="60"/>
      <c r="FDL8" s="60"/>
      <c r="FDM8" s="60"/>
      <c r="FDN8" s="60"/>
      <c r="FDO8" s="60"/>
      <c r="FDP8" s="60"/>
      <c r="FDQ8" s="60"/>
      <c r="FDR8" s="60"/>
      <c r="FDS8" s="60"/>
      <c r="FDT8" s="60"/>
      <c r="FDU8" s="60"/>
      <c r="FDV8" s="60"/>
      <c r="FDW8" s="60"/>
      <c r="FDX8" s="60"/>
      <c r="FDY8" s="60"/>
      <c r="FDZ8" s="60"/>
      <c r="FEA8" s="60"/>
      <c r="FEB8" s="60"/>
      <c r="FEC8" s="60"/>
      <c r="FED8" s="60"/>
      <c r="FEE8" s="60"/>
      <c r="FEF8" s="60"/>
      <c r="FEG8" s="60"/>
      <c r="FEH8" s="60"/>
      <c r="FEI8" s="60"/>
      <c r="FEJ8" s="60"/>
      <c r="FEK8" s="60"/>
      <c r="FEL8" s="60"/>
      <c r="FEM8" s="60"/>
      <c r="FEN8" s="60"/>
      <c r="FEO8" s="60"/>
      <c r="FEP8" s="60"/>
      <c r="FEQ8" s="60"/>
      <c r="FER8" s="60"/>
      <c r="FES8" s="60"/>
      <c r="FET8" s="60"/>
      <c r="FEU8" s="60"/>
      <c r="FEV8" s="60"/>
      <c r="FEW8" s="60"/>
      <c r="FEX8" s="60"/>
      <c r="FEY8" s="60"/>
      <c r="FEZ8" s="60"/>
      <c r="FFA8" s="60"/>
      <c r="FFB8" s="60"/>
      <c r="FFC8" s="60"/>
      <c r="FFD8" s="60"/>
      <c r="FFE8" s="60"/>
      <c r="FFF8" s="60"/>
      <c r="FFG8" s="60"/>
      <c r="FFH8" s="60"/>
      <c r="FFI8" s="60"/>
      <c r="FFJ8" s="60"/>
      <c r="FFK8" s="60"/>
      <c r="FFL8" s="60"/>
      <c r="FFM8" s="60"/>
      <c r="FFN8" s="60"/>
      <c r="FFO8" s="60"/>
      <c r="FFP8" s="60"/>
      <c r="FFQ8" s="60"/>
      <c r="FFR8" s="60"/>
      <c r="FFS8" s="60"/>
      <c r="FFT8" s="60"/>
      <c r="FFU8" s="60"/>
      <c r="FFV8" s="60"/>
      <c r="FFW8" s="60"/>
      <c r="FFX8" s="60"/>
      <c r="FFY8" s="60"/>
      <c r="FFZ8" s="60"/>
      <c r="FGA8" s="60"/>
      <c r="FGB8" s="60"/>
      <c r="FGC8" s="60"/>
      <c r="FGD8" s="60"/>
      <c r="FGE8" s="60"/>
      <c r="FGF8" s="60"/>
      <c r="FGG8" s="60"/>
      <c r="FGH8" s="60"/>
      <c r="FGI8" s="60"/>
      <c r="FGJ8" s="60"/>
      <c r="FGK8" s="60"/>
      <c r="FGL8" s="60"/>
      <c r="FGM8" s="60"/>
      <c r="FGN8" s="60"/>
      <c r="FGO8" s="60"/>
      <c r="FGP8" s="60"/>
      <c r="FGQ8" s="60"/>
      <c r="FGR8" s="60"/>
      <c r="FGS8" s="60"/>
      <c r="FGT8" s="60"/>
      <c r="FGU8" s="60"/>
      <c r="FGV8" s="60"/>
      <c r="FGW8" s="60"/>
      <c r="FGX8" s="60"/>
      <c r="FGY8" s="60"/>
      <c r="FGZ8" s="60"/>
      <c r="FHA8" s="60"/>
      <c r="FHB8" s="60"/>
      <c r="FHC8" s="60"/>
      <c r="FHD8" s="60"/>
      <c r="FHE8" s="60"/>
      <c r="FHF8" s="60"/>
      <c r="FHG8" s="60"/>
      <c r="FHH8" s="60"/>
      <c r="FHI8" s="60"/>
      <c r="FHJ8" s="60"/>
      <c r="FHK8" s="60"/>
      <c r="FHL8" s="60"/>
      <c r="FHM8" s="60"/>
      <c r="FHN8" s="60"/>
      <c r="FHO8" s="60"/>
      <c r="FHP8" s="60"/>
      <c r="FHQ8" s="60"/>
      <c r="FHR8" s="60"/>
      <c r="FHS8" s="60"/>
      <c r="FHT8" s="60"/>
      <c r="FHU8" s="60"/>
      <c r="FHV8" s="60"/>
      <c r="FHW8" s="60"/>
      <c r="FHX8" s="60"/>
      <c r="FHY8" s="60"/>
      <c r="FHZ8" s="60"/>
      <c r="FIA8" s="60"/>
      <c r="FIB8" s="60"/>
      <c r="FIC8" s="60"/>
      <c r="FID8" s="60"/>
      <c r="FIE8" s="60"/>
      <c r="FIF8" s="60"/>
      <c r="FIG8" s="60"/>
      <c r="FIH8" s="60"/>
      <c r="FII8" s="60"/>
      <c r="FIJ8" s="60"/>
      <c r="FIK8" s="60"/>
      <c r="FIL8" s="60"/>
      <c r="FIM8" s="60"/>
      <c r="FIN8" s="60"/>
      <c r="FIO8" s="60"/>
      <c r="FIP8" s="60"/>
      <c r="FIQ8" s="60"/>
      <c r="FIR8" s="60"/>
      <c r="FIS8" s="60"/>
      <c r="FIT8" s="60"/>
      <c r="FIU8" s="60"/>
      <c r="FIV8" s="60"/>
      <c r="FIW8" s="60"/>
      <c r="FIX8" s="60"/>
      <c r="FIY8" s="60"/>
      <c r="FIZ8" s="60"/>
      <c r="FJA8" s="60"/>
      <c r="FJB8" s="60"/>
      <c r="FJC8" s="60"/>
      <c r="FJD8" s="60"/>
      <c r="FJE8" s="60"/>
      <c r="FJF8" s="60"/>
      <c r="FJG8" s="60"/>
      <c r="FJH8" s="60"/>
      <c r="FJI8" s="60"/>
      <c r="FJJ8" s="60"/>
      <c r="FJK8" s="60"/>
      <c r="FJL8" s="60"/>
      <c r="FJM8" s="60"/>
      <c r="FJN8" s="60"/>
      <c r="FJO8" s="60"/>
      <c r="FJP8" s="60"/>
      <c r="FJQ8" s="60"/>
      <c r="FJR8" s="60"/>
      <c r="FJS8" s="60"/>
      <c r="FJT8" s="60"/>
      <c r="FJU8" s="60"/>
      <c r="FJV8" s="60"/>
      <c r="FJW8" s="60"/>
      <c r="FJX8" s="60"/>
      <c r="FJY8" s="60"/>
      <c r="FJZ8" s="60"/>
      <c r="FKA8" s="60"/>
      <c r="FKB8" s="60"/>
      <c r="FKC8" s="60"/>
      <c r="FKD8" s="60"/>
      <c r="FKE8" s="60"/>
      <c r="FKF8" s="60"/>
      <c r="FKG8" s="60"/>
      <c r="FKH8" s="60"/>
      <c r="FKI8" s="60"/>
      <c r="FKJ8" s="60"/>
      <c r="FKK8" s="60"/>
      <c r="FKL8" s="60"/>
      <c r="FKM8" s="60"/>
      <c r="FKN8" s="60"/>
      <c r="FKO8" s="60"/>
      <c r="FKP8" s="60"/>
      <c r="FKQ8" s="60"/>
      <c r="FKR8" s="60"/>
      <c r="FKS8" s="60"/>
      <c r="FKT8" s="60"/>
      <c r="FKU8" s="60"/>
      <c r="FKV8" s="60"/>
      <c r="FKW8" s="60"/>
      <c r="FKX8" s="60"/>
      <c r="FKY8" s="60"/>
      <c r="FKZ8" s="60"/>
      <c r="FLA8" s="60"/>
      <c r="FLB8" s="60"/>
      <c r="FLC8" s="60"/>
      <c r="FLD8" s="60"/>
      <c r="FLE8" s="60"/>
      <c r="FLF8" s="60"/>
      <c r="FLG8" s="60"/>
      <c r="FLH8" s="60"/>
      <c r="FLI8" s="60"/>
      <c r="FLJ8" s="60"/>
      <c r="FLK8" s="60"/>
      <c r="FLL8" s="60"/>
      <c r="FLM8" s="60"/>
      <c r="FLN8" s="60"/>
      <c r="FLO8" s="60"/>
      <c r="FLP8" s="60"/>
      <c r="FLQ8" s="60"/>
      <c r="FLR8" s="60"/>
      <c r="FLS8" s="60"/>
      <c r="FLT8" s="60"/>
      <c r="FLU8" s="60"/>
      <c r="FLV8" s="60"/>
      <c r="FLW8" s="60"/>
      <c r="FLX8" s="60"/>
      <c r="FLY8" s="60"/>
      <c r="FLZ8" s="60"/>
      <c r="FMA8" s="60"/>
      <c r="FMB8" s="60"/>
      <c r="FMC8" s="60"/>
      <c r="FMD8" s="60"/>
      <c r="FME8" s="60"/>
      <c r="FMF8" s="60"/>
      <c r="FMG8" s="60"/>
      <c r="FMH8" s="60"/>
      <c r="FMI8" s="60"/>
      <c r="FMJ8" s="60"/>
      <c r="FMK8" s="60"/>
      <c r="FML8" s="60"/>
      <c r="FMM8" s="60"/>
      <c r="FMN8" s="60"/>
      <c r="FMO8" s="60"/>
      <c r="FMP8" s="60"/>
      <c r="FMQ8" s="60"/>
      <c r="FMR8" s="60"/>
      <c r="FMS8" s="60"/>
      <c r="FMT8" s="60"/>
      <c r="FMU8" s="60"/>
      <c r="FMV8" s="60"/>
      <c r="FMW8" s="60"/>
      <c r="FMX8" s="60"/>
      <c r="FMY8" s="60"/>
      <c r="FMZ8" s="60"/>
      <c r="FNA8" s="60"/>
      <c r="FNB8" s="60"/>
      <c r="FNC8" s="60"/>
      <c r="FND8" s="60"/>
      <c r="FNE8" s="60"/>
      <c r="FNF8" s="60"/>
      <c r="FNG8" s="60"/>
      <c r="FNH8" s="60"/>
      <c r="FNI8" s="60"/>
      <c r="FNJ8" s="60"/>
      <c r="FNK8" s="60"/>
      <c r="FNL8" s="60"/>
      <c r="FNM8" s="60"/>
      <c r="FNN8" s="60"/>
      <c r="FNO8" s="60"/>
      <c r="FNP8" s="60"/>
      <c r="FNQ8" s="60"/>
      <c r="FNR8" s="60"/>
      <c r="FNS8" s="60"/>
      <c r="FNT8" s="60"/>
      <c r="FNU8" s="60"/>
      <c r="FNV8" s="60"/>
      <c r="FNW8" s="60"/>
      <c r="FNX8" s="60"/>
      <c r="FNY8" s="60"/>
      <c r="FNZ8" s="60"/>
      <c r="FOA8" s="60"/>
      <c r="FOB8" s="60"/>
      <c r="FOC8" s="60"/>
      <c r="FOD8" s="60"/>
      <c r="FOE8" s="60"/>
      <c r="FOF8" s="60"/>
      <c r="FOG8" s="60"/>
      <c r="FOH8" s="60"/>
      <c r="FOI8" s="60"/>
      <c r="FOJ8" s="60"/>
      <c r="FOK8" s="60"/>
      <c r="FOL8" s="60"/>
      <c r="FOM8" s="60"/>
      <c r="FON8" s="60"/>
      <c r="FOO8" s="60"/>
      <c r="FOP8" s="60"/>
      <c r="FOQ8" s="60"/>
      <c r="FOR8" s="60"/>
      <c r="FOS8" s="60"/>
      <c r="FOT8" s="60"/>
      <c r="FOU8" s="60"/>
      <c r="FOV8" s="60"/>
      <c r="FOW8" s="60"/>
      <c r="FOX8" s="60"/>
      <c r="FOY8" s="60"/>
      <c r="FOZ8" s="60"/>
      <c r="FPA8" s="60"/>
      <c r="FPB8" s="60"/>
      <c r="FPC8" s="60"/>
      <c r="FPD8" s="60"/>
      <c r="FPE8" s="60"/>
      <c r="FPF8" s="60"/>
      <c r="FPG8" s="60"/>
      <c r="FPH8" s="60"/>
      <c r="FPI8" s="60"/>
      <c r="FPJ8" s="60"/>
      <c r="FPK8" s="60"/>
      <c r="FPL8" s="60"/>
      <c r="FPM8" s="60"/>
      <c r="FPN8" s="60"/>
      <c r="FPO8" s="60"/>
      <c r="FPP8" s="60"/>
      <c r="FPQ8" s="60"/>
      <c r="FPR8" s="60"/>
      <c r="FPS8" s="60"/>
      <c r="FPT8" s="60"/>
      <c r="FPU8" s="60"/>
      <c r="FPV8" s="60"/>
      <c r="FPW8" s="60"/>
      <c r="FPX8" s="60"/>
      <c r="FPY8" s="60"/>
      <c r="FPZ8" s="60"/>
      <c r="FQA8" s="60"/>
      <c r="FQB8" s="60"/>
      <c r="FQC8" s="60"/>
      <c r="FQD8" s="60"/>
      <c r="FQE8" s="60"/>
      <c r="FQF8" s="60"/>
      <c r="FQG8" s="60"/>
      <c r="FQH8" s="60"/>
      <c r="FQI8" s="60"/>
      <c r="FQJ8" s="60"/>
      <c r="FQK8" s="60"/>
      <c r="FQL8" s="60"/>
      <c r="FQM8" s="60"/>
      <c r="FQN8" s="60"/>
      <c r="FQO8" s="60"/>
      <c r="FQP8" s="60"/>
      <c r="FQQ8" s="60"/>
      <c r="FQR8" s="60"/>
      <c r="FQS8" s="60"/>
      <c r="FQT8" s="60"/>
      <c r="FQU8" s="60"/>
      <c r="FQV8" s="60"/>
      <c r="FQW8" s="60"/>
      <c r="FQX8" s="60"/>
      <c r="FQY8" s="60"/>
      <c r="FQZ8" s="60"/>
      <c r="FRA8" s="60"/>
      <c r="FRB8" s="60"/>
      <c r="FRC8" s="60"/>
      <c r="FRD8" s="60"/>
      <c r="FRE8" s="60"/>
      <c r="FRF8" s="60"/>
      <c r="FRG8" s="60"/>
      <c r="FRH8" s="60"/>
      <c r="FRI8" s="60"/>
      <c r="FRJ8" s="60"/>
      <c r="FRK8" s="60"/>
      <c r="FRL8" s="60"/>
      <c r="FRM8" s="60"/>
      <c r="FRN8" s="60"/>
      <c r="FRO8" s="60"/>
      <c r="FRP8" s="60"/>
      <c r="FRQ8" s="60"/>
      <c r="FRR8" s="60"/>
      <c r="FRS8" s="60"/>
      <c r="FRT8" s="60"/>
      <c r="FRU8" s="60"/>
      <c r="FRV8" s="60"/>
      <c r="FRW8" s="60"/>
      <c r="FRX8" s="60"/>
      <c r="FRY8" s="60"/>
      <c r="FRZ8" s="60"/>
      <c r="FSA8" s="60"/>
      <c r="FSB8" s="60"/>
      <c r="FSC8" s="60"/>
      <c r="FSD8" s="60"/>
      <c r="FSE8" s="60"/>
      <c r="FSF8" s="60"/>
      <c r="FSG8" s="60"/>
      <c r="FSH8" s="60"/>
      <c r="FSI8" s="60"/>
      <c r="FSJ8" s="60"/>
      <c r="FSK8" s="60"/>
      <c r="FSL8" s="60"/>
      <c r="FSM8" s="60"/>
      <c r="FSN8" s="60"/>
      <c r="FSO8" s="60"/>
      <c r="FSP8" s="60"/>
      <c r="FSQ8" s="60"/>
      <c r="FSR8" s="60"/>
      <c r="FSS8" s="60"/>
      <c r="FST8" s="60"/>
      <c r="FSU8" s="60"/>
      <c r="FSV8" s="60"/>
      <c r="FSW8" s="60"/>
      <c r="FSX8" s="60"/>
      <c r="FSY8" s="60"/>
      <c r="FSZ8" s="60"/>
      <c r="FTA8" s="60"/>
      <c r="FTB8" s="60"/>
      <c r="FTC8" s="60"/>
      <c r="FTD8" s="60"/>
      <c r="FTE8" s="60"/>
      <c r="FTF8" s="60"/>
      <c r="FTG8" s="60"/>
      <c r="FTH8" s="60"/>
      <c r="FTI8" s="60"/>
      <c r="FTJ8" s="60"/>
      <c r="FTK8" s="60"/>
      <c r="FTL8" s="60"/>
      <c r="FTM8" s="60"/>
      <c r="FTN8" s="60"/>
      <c r="FTO8" s="60"/>
      <c r="FTP8" s="60"/>
      <c r="FTQ8" s="60"/>
      <c r="FTR8" s="60"/>
      <c r="FTS8" s="60"/>
      <c r="FTT8" s="60"/>
      <c r="FTU8" s="60"/>
      <c r="FTV8" s="60"/>
      <c r="FTW8" s="60"/>
      <c r="FTX8" s="60"/>
      <c r="FTY8" s="60"/>
      <c r="FTZ8" s="60"/>
      <c r="FUA8" s="60"/>
      <c r="FUB8" s="60"/>
      <c r="FUC8" s="60"/>
      <c r="FUD8" s="60"/>
      <c r="FUE8" s="60"/>
      <c r="FUF8" s="60"/>
      <c r="FUG8" s="60"/>
      <c r="FUH8" s="60"/>
      <c r="FUI8" s="60"/>
      <c r="FUJ8" s="60"/>
      <c r="FUK8" s="60"/>
      <c r="FUL8" s="60"/>
      <c r="FUM8" s="60"/>
      <c r="FUN8" s="60"/>
      <c r="FUO8" s="60"/>
      <c r="FUP8" s="60"/>
      <c r="FUQ8" s="60"/>
      <c r="FUR8" s="60"/>
      <c r="FUS8" s="60"/>
      <c r="FUT8" s="60"/>
      <c r="FUU8" s="60"/>
      <c r="FUV8" s="60"/>
      <c r="FUW8" s="60"/>
      <c r="FUX8" s="60"/>
      <c r="FUY8" s="60"/>
      <c r="FUZ8" s="60"/>
      <c r="FVA8" s="60"/>
      <c r="FVB8" s="60"/>
      <c r="FVC8" s="60"/>
      <c r="FVD8" s="60"/>
      <c r="FVE8" s="60"/>
      <c r="FVF8" s="60"/>
      <c r="FVG8" s="60"/>
      <c r="FVH8" s="60"/>
      <c r="FVI8" s="60"/>
      <c r="FVJ8" s="60"/>
      <c r="FVK8" s="60"/>
      <c r="FVL8" s="60"/>
      <c r="FVM8" s="60"/>
      <c r="FVN8" s="60"/>
      <c r="FVO8" s="60"/>
      <c r="FVP8" s="60"/>
      <c r="FVQ8" s="60"/>
      <c r="FVR8" s="60"/>
      <c r="FVS8" s="60"/>
      <c r="FVT8" s="60"/>
      <c r="FVU8" s="60"/>
      <c r="FVV8" s="60"/>
      <c r="FVW8" s="60"/>
      <c r="FVX8" s="60"/>
      <c r="FVY8" s="60"/>
      <c r="FVZ8" s="60"/>
      <c r="FWA8" s="60"/>
      <c r="FWB8" s="60"/>
      <c r="FWC8" s="60"/>
      <c r="FWD8" s="60"/>
      <c r="FWE8" s="60"/>
      <c r="FWF8" s="60"/>
      <c r="FWG8" s="60"/>
      <c r="FWH8" s="60"/>
      <c r="FWI8" s="60"/>
      <c r="FWJ8" s="60"/>
      <c r="FWK8" s="60"/>
      <c r="FWL8" s="60"/>
      <c r="FWM8" s="60"/>
      <c r="FWN8" s="60"/>
      <c r="FWO8" s="60"/>
      <c r="FWP8" s="60"/>
      <c r="FWQ8" s="60"/>
      <c r="FWR8" s="60"/>
      <c r="FWS8" s="60"/>
      <c r="FWT8" s="60"/>
      <c r="FWU8" s="60"/>
      <c r="FWV8" s="60"/>
      <c r="FWW8" s="60"/>
      <c r="FWX8" s="60"/>
      <c r="FWY8" s="60"/>
      <c r="FWZ8" s="60"/>
      <c r="FXA8" s="60"/>
      <c r="FXB8" s="60"/>
      <c r="FXC8" s="60"/>
      <c r="FXD8" s="60"/>
      <c r="FXE8" s="60"/>
      <c r="FXF8" s="60"/>
      <c r="FXG8" s="60"/>
      <c r="FXH8" s="60"/>
      <c r="FXI8" s="60"/>
      <c r="FXJ8" s="60"/>
      <c r="FXK8" s="60"/>
      <c r="FXL8" s="60"/>
      <c r="FXM8" s="60"/>
      <c r="FXN8" s="60"/>
      <c r="FXO8" s="60"/>
      <c r="FXP8" s="60"/>
      <c r="FXQ8" s="60"/>
      <c r="FXR8" s="60"/>
      <c r="FXS8" s="60"/>
      <c r="FXT8" s="60"/>
      <c r="FXU8" s="60"/>
      <c r="FXV8" s="60"/>
      <c r="FXW8" s="60"/>
      <c r="FXX8" s="60"/>
      <c r="FXY8" s="60"/>
      <c r="FXZ8" s="60"/>
      <c r="FYA8" s="60"/>
      <c r="FYB8" s="60"/>
      <c r="FYC8" s="60"/>
      <c r="FYD8" s="60"/>
      <c r="FYE8" s="60"/>
      <c r="FYF8" s="60"/>
      <c r="FYG8" s="60"/>
      <c r="FYH8" s="60"/>
      <c r="FYI8" s="60"/>
      <c r="FYJ8" s="60"/>
      <c r="FYK8" s="60"/>
      <c r="FYL8" s="60"/>
      <c r="FYM8" s="60"/>
      <c r="FYN8" s="60"/>
      <c r="FYO8" s="60"/>
      <c r="FYP8" s="60"/>
      <c r="FYQ8" s="60"/>
      <c r="FYR8" s="60"/>
      <c r="FYS8" s="60"/>
      <c r="FYT8" s="60"/>
      <c r="FYU8" s="60"/>
      <c r="FYV8" s="60"/>
      <c r="FYW8" s="60"/>
      <c r="FYX8" s="60"/>
      <c r="FYY8" s="60"/>
      <c r="FYZ8" s="60"/>
      <c r="FZA8" s="60"/>
      <c r="FZB8" s="60"/>
      <c r="FZC8" s="60"/>
      <c r="FZD8" s="60"/>
      <c r="FZE8" s="60"/>
      <c r="FZF8" s="60"/>
      <c r="FZG8" s="60"/>
      <c r="FZH8" s="60"/>
      <c r="FZI8" s="60"/>
      <c r="FZJ8" s="60"/>
      <c r="FZK8" s="60"/>
      <c r="FZL8" s="60"/>
      <c r="FZM8" s="60"/>
      <c r="FZN8" s="60"/>
      <c r="FZO8" s="60"/>
      <c r="FZP8" s="60"/>
      <c r="FZQ8" s="60"/>
      <c r="FZR8" s="60"/>
      <c r="FZS8" s="60"/>
      <c r="FZT8" s="60"/>
      <c r="FZU8" s="60"/>
      <c r="FZV8" s="60"/>
      <c r="FZW8" s="60"/>
      <c r="FZX8" s="60"/>
      <c r="FZY8" s="60"/>
      <c r="FZZ8" s="60"/>
      <c r="GAA8" s="60"/>
      <c r="GAB8" s="60"/>
      <c r="GAC8" s="60"/>
      <c r="GAD8" s="60"/>
      <c r="GAE8" s="60"/>
      <c r="GAF8" s="60"/>
      <c r="GAG8" s="60"/>
      <c r="GAH8" s="60"/>
      <c r="GAI8" s="60"/>
      <c r="GAJ8" s="60"/>
      <c r="GAK8" s="60"/>
      <c r="GAL8" s="60"/>
      <c r="GAM8" s="60"/>
      <c r="GAN8" s="60"/>
      <c r="GAO8" s="60"/>
      <c r="GAP8" s="60"/>
      <c r="GAQ8" s="60"/>
      <c r="GAR8" s="60"/>
      <c r="GAS8" s="60"/>
      <c r="GAT8" s="60"/>
      <c r="GAU8" s="60"/>
      <c r="GAV8" s="60"/>
      <c r="GAW8" s="60"/>
      <c r="GAX8" s="60"/>
      <c r="GAY8" s="60"/>
      <c r="GAZ8" s="60"/>
      <c r="GBA8" s="60"/>
      <c r="GBB8" s="60"/>
      <c r="GBC8" s="60"/>
      <c r="GBD8" s="60"/>
      <c r="GBE8" s="60"/>
      <c r="GBF8" s="60"/>
      <c r="GBG8" s="60"/>
      <c r="GBH8" s="60"/>
      <c r="GBI8" s="60"/>
      <c r="GBJ8" s="60"/>
      <c r="GBK8" s="60"/>
      <c r="GBL8" s="60"/>
      <c r="GBM8" s="60"/>
      <c r="GBN8" s="60"/>
      <c r="GBO8" s="60"/>
      <c r="GBP8" s="60"/>
      <c r="GBQ8" s="60"/>
      <c r="GBR8" s="60"/>
      <c r="GBS8" s="60"/>
      <c r="GBT8" s="60"/>
      <c r="GBU8" s="60"/>
      <c r="GBV8" s="60"/>
      <c r="GBW8" s="60"/>
      <c r="GBX8" s="60"/>
      <c r="GBY8" s="60"/>
      <c r="GBZ8" s="60"/>
      <c r="GCA8" s="60"/>
      <c r="GCB8" s="60"/>
      <c r="GCC8" s="60"/>
      <c r="GCD8" s="60"/>
      <c r="GCE8" s="60"/>
      <c r="GCF8" s="60"/>
      <c r="GCG8" s="60"/>
      <c r="GCH8" s="60"/>
      <c r="GCI8" s="60"/>
      <c r="GCJ8" s="60"/>
      <c r="GCK8" s="60"/>
      <c r="GCL8" s="60"/>
      <c r="GCM8" s="60"/>
      <c r="GCN8" s="60"/>
      <c r="GCO8" s="60"/>
      <c r="GCP8" s="60"/>
      <c r="GCQ8" s="60"/>
      <c r="GCR8" s="60"/>
      <c r="GCS8" s="60"/>
      <c r="GCT8" s="60"/>
      <c r="GCU8" s="60"/>
      <c r="GCV8" s="60"/>
      <c r="GCW8" s="60"/>
      <c r="GCX8" s="60"/>
      <c r="GCY8" s="60"/>
      <c r="GCZ8" s="60"/>
      <c r="GDA8" s="60"/>
      <c r="GDB8" s="60"/>
      <c r="GDC8" s="60"/>
      <c r="GDD8" s="60"/>
      <c r="GDE8" s="60"/>
      <c r="GDF8" s="60"/>
      <c r="GDG8" s="60"/>
      <c r="GDH8" s="60"/>
      <c r="GDI8" s="60"/>
      <c r="GDJ8" s="60"/>
      <c r="GDK8" s="60"/>
      <c r="GDL8" s="60"/>
      <c r="GDM8" s="60"/>
      <c r="GDN8" s="60"/>
      <c r="GDO8" s="60"/>
      <c r="GDP8" s="60"/>
      <c r="GDQ8" s="60"/>
      <c r="GDR8" s="60"/>
      <c r="GDS8" s="60"/>
      <c r="GDT8" s="60"/>
      <c r="GDU8" s="60"/>
      <c r="GDV8" s="60"/>
      <c r="GDW8" s="60"/>
      <c r="GDX8" s="60"/>
      <c r="GDY8" s="60"/>
      <c r="GDZ8" s="60"/>
      <c r="GEA8" s="60"/>
      <c r="GEB8" s="60"/>
      <c r="GEC8" s="60"/>
      <c r="GED8" s="60"/>
      <c r="GEE8" s="60"/>
      <c r="GEF8" s="60"/>
      <c r="GEG8" s="60"/>
      <c r="GEH8" s="60"/>
      <c r="GEI8" s="60"/>
      <c r="GEJ8" s="60"/>
      <c r="GEK8" s="60"/>
      <c r="GEL8" s="60"/>
      <c r="GEM8" s="60"/>
      <c r="GEN8" s="60"/>
      <c r="GEO8" s="60"/>
      <c r="GEP8" s="60"/>
      <c r="GEQ8" s="60"/>
      <c r="GER8" s="60"/>
      <c r="GES8" s="60"/>
      <c r="GET8" s="60"/>
      <c r="GEU8" s="60"/>
      <c r="GEV8" s="60"/>
      <c r="GEW8" s="60"/>
      <c r="GEX8" s="60"/>
      <c r="GEY8" s="60"/>
      <c r="GEZ8" s="60"/>
      <c r="GFA8" s="60"/>
      <c r="GFB8" s="60"/>
      <c r="GFC8" s="60"/>
      <c r="GFD8" s="60"/>
      <c r="GFE8" s="60"/>
      <c r="GFF8" s="60"/>
      <c r="GFG8" s="60"/>
      <c r="GFH8" s="60"/>
      <c r="GFI8" s="60"/>
      <c r="GFJ8" s="60"/>
      <c r="GFK8" s="60"/>
      <c r="GFL8" s="60"/>
      <c r="GFM8" s="60"/>
      <c r="GFN8" s="60"/>
      <c r="GFO8" s="60"/>
      <c r="GFP8" s="60"/>
      <c r="GFQ8" s="60"/>
      <c r="GFR8" s="60"/>
      <c r="GFS8" s="60"/>
      <c r="GFT8" s="60"/>
      <c r="GFU8" s="60"/>
      <c r="GFV8" s="60"/>
      <c r="GFW8" s="60"/>
      <c r="GFX8" s="60"/>
      <c r="GFY8" s="60"/>
      <c r="GFZ8" s="60"/>
      <c r="GGA8" s="60"/>
      <c r="GGB8" s="60"/>
      <c r="GGC8" s="60"/>
      <c r="GGD8" s="60"/>
      <c r="GGE8" s="60"/>
      <c r="GGF8" s="60"/>
      <c r="GGG8" s="60"/>
      <c r="GGH8" s="60"/>
      <c r="GGI8" s="60"/>
      <c r="GGJ8" s="60"/>
      <c r="GGK8" s="60"/>
      <c r="GGL8" s="60"/>
      <c r="GGM8" s="60"/>
      <c r="GGN8" s="60"/>
      <c r="GGO8" s="60"/>
      <c r="GGP8" s="60"/>
      <c r="GGQ8" s="60"/>
      <c r="GGR8" s="60"/>
      <c r="GGS8" s="60"/>
      <c r="GGT8" s="60"/>
      <c r="GGU8" s="60"/>
      <c r="GGV8" s="60"/>
      <c r="GGW8" s="60"/>
      <c r="GGX8" s="60"/>
      <c r="GGY8" s="60"/>
      <c r="GGZ8" s="60"/>
      <c r="GHA8" s="60"/>
      <c r="GHB8" s="60"/>
      <c r="GHC8" s="60"/>
      <c r="GHD8" s="60"/>
      <c r="GHE8" s="60"/>
      <c r="GHF8" s="60"/>
      <c r="GHG8" s="60"/>
      <c r="GHH8" s="60"/>
      <c r="GHI8" s="60"/>
      <c r="GHJ8" s="60"/>
      <c r="GHK8" s="60"/>
      <c r="GHL8" s="60"/>
      <c r="GHM8" s="60"/>
      <c r="GHN8" s="60"/>
      <c r="GHO8" s="60"/>
      <c r="GHP8" s="60"/>
      <c r="GHQ8" s="60"/>
      <c r="GHR8" s="60"/>
      <c r="GHS8" s="60"/>
      <c r="GHT8" s="60"/>
      <c r="GHU8" s="60"/>
      <c r="GHV8" s="60"/>
      <c r="GHW8" s="60"/>
      <c r="GHX8" s="60"/>
      <c r="GHY8" s="60"/>
      <c r="GHZ8" s="60"/>
      <c r="GIA8" s="60"/>
      <c r="GIB8" s="60"/>
      <c r="GIC8" s="60"/>
      <c r="GID8" s="60"/>
      <c r="GIE8" s="60"/>
      <c r="GIF8" s="60"/>
      <c r="GIG8" s="60"/>
      <c r="GIH8" s="60"/>
      <c r="GII8" s="60"/>
      <c r="GIJ8" s="60"/>
      <c r="GIK8" s="60"/>
      <c r="GIL8" s="60"/>
      <c r="GIM8" s="60"/>
      <c r="GIN8" s="60"/>
      <c r="GIO8" s="60"/>
      <c r="GIP8" s="60"/>
      <c r="GIQ8" s="60"/>
      <c r="GIR8" s="60"/>
      <c r="GIS8" s="60"/>
      <c r="GIT8" s="60"/>
      <c r="GIU8" s="60"/>
      <c r="GIV8" s="60"/>
      <c r="GIW8" s="60"/>
      <c r="GIX8" s="60"/>
      <c r="GIY8" s="60"/>
      <c r="GIZ8" s="60"/>
      <c r="GJA8" s="60"/>
      <c r="GJB8" s="60"/>
      <c r="GJC8" s="60"/>
      <c r="GJD8" s="60"/>
      <c r="GJE8" s="60"/>
      <c r="GJF8" s="60"/>
      <c r="GJG8" s="60"/>
      <c r="GJH8" s="60"/>
      <c r="GJI8" s="60"/>
      <c r="GJJ8" s="60"/>
      <c r="GJK8" s="60"/>
      <c r="GJL8" s="60"/>
      <c r="GJM8" s="60"/>
      <c r="GJN8" s="60"/>
      <c r="GJO8" s="60"/>
      <c r="GJP8" s="60"/>
      <c r="GJQ8" s="60"/>
      <c r="GJR8" s="60"/>
      <c r="GJS8" s="60"/>
      <c r="GJT8" s="60"/>
      <c r="GJU8" s="60"/>
      <c r="GJV8" s="60"/>
      <c r="GJW8" s="60"/>
      <c r="GJX8" s="60"/>
      <c r="GJY8" s="60"/>
      <c r="GJZ8" s="60"/>
      <c r="GKA8" s="60"/>
      <c r="GKB8" s="60"/>
      <c r="GKC8" s="60"/>
      <c r="GKD8" s="60"/>
      <c r="GKE8" s="60"/>
      <c r="GKF8" s="60"/>
      <c r="GKG8" s="60"/>
      <c r="GKH8" s="60"/>
      <c r="GKI8" s="60"/>
      <c r="GKJ8" s="60"/>
      <c r="GKK8" s="60"/>
      <c r="GKL8" s="60"/>
      <c r="GKM8" s="60"/>
      <c r="GKN8" s="60"/>
      <c r="GKO8" s="60"/>
      <c r="GKP8" s="60"/>
      <c r="GKQ8" s="60"/>
      <c r="GKR8" s="60"/>
      <c r="GKS8" s="60"/>
      <c r="GKT8" s="60"/>
      <c r="GKU8" s="60"/>
      <c r="GKV8" s="60"/>
      <c r="GKW8" s="60"/>
      <c r="GKX8" s="60"/>
      <c r="GKY8" s="60"/>
      <c r="GKZ8" s="60"/>
      <c r="GLA8" s="60"/>
      <c r="GLB8" s="60"/>
      <c r="GLC8" s="60"/>
      <c r="GLD8" s="60"/>
      <c r="GLE8" s="60"/>
      <c r="GLF8" s="60"/>
      <c r="GLG8" s="60"/>
      <c r="GLH8" s="60"/>
      <c r="GLI8" s="60"/>
      <c r="GLJ8" s="60"/>
      <c r="GLK8" s="60"/>
      <c r="GLL8" s="60"/>
      <c r="GLM8" s="60"/>
      <c r="GLN8" s="60"/>
      <c r="GLO8" s="60"/>
      <c r="GLP8" s="60"/>
      <c r="GLQ8" s="60"/>
      <c r="GLR8" s="60"/>
      <c r="GLS8" s="60"/>
      <c r="GLT8" s="60"/>
      <c r="GLU8" s="60"/>
      <c r="GLV8" s="60"/>
      <c r="GLW8" s="60"/>
      <c r="GLX8" s="60"/>
      <c r="GLY8" s="60"/>
      <c r="GLZ8" s="60"/>
      <c r="GMA8" s="60"/>
      <c r="GMB8" s="60"/>
      <c r="GMC8" s="60"/>
      <c r="GMD8" s="60"/>
      <c r="GME8" s="60"/>
      <c r="GMF8" s="60"/>
      <c r="GMG8" s="60"/>
      <c r="GMH8" s="60"/>
      <c r="GMI8" s="60"/>
      <c r="GMJ8" s="60"/>
      <c r="GMK8" s="60"/>
      <c r="GML8" s="60"/>
      <c r="GMM8" s="60"/>
      <c r="GMN8" s="60"/>
      <c r="GMO8" s="60"/>
      <c r="GMP8" s="60"/>
      <c r="GMQ8" s="60"/>
      <c r="GMR8" s="60"/>
      <c r="GMS8" s="60"/>
      <c r="GMT8" s="60"/>
      <c r="GMU8" s="60"/>
      <c r="GMV8" s="60"/>
      <c r="GMW8" s="60"/>
      <c r="GMX8" s="60"/>
      <c r="GMY8" s="60"/>
      <c r="GMZ8" s="60"/>
      <c r="GNA8" s="60"/>
      <c r="GNB8" s="60"/>
      <c r="GNC8" s="60"/>
      <c r="GND8" s="60"/>
      <c r="GNE8" s="60"/>
      <c r="GNF8" s="60"/>
      <c r="GNG8" s="60"/>
      <c r="GNH8" s="60"/>
      <c r="GNI8" s="60"/>
      <c r="GNJ8" s="60"/>
      <c r="GNK8" s="60"/>
      <c r="GNL8" s="60"/>
      <c r="GNM8" s="60"/>
      <c r="GNN8" s="60"/>
      <c r="GNO8" s="60"/>
      <c r="GNP8" s="60"/>
      <c r="GNQ8" s="60"/>
      <c r="GNR8" s="60"/>
      <c r="GNS8" s="60"/>
      <c r="GNT8" s="60"/>
      <c r="GNU8" s="60"/>
      <c r="GNV8" s="60"/>
      <c r="GNW8" s="60"/>
      <c r="GNX8" s="60"/>
      <c r="GNY8" s="60"/>
      <c r="GNZ8" s="60"/>
      <c r="GOA8" s="60"/>
      <c r="GOB8" s="60"/>
      <c r="GOC8" s="60"/>
      <c r="GOD8" s="60"/>
      <c r="GOE8" s="60"/>
      <c r="GOF8" s="60"/>
      <c r="GOG8" s="60"/>
      <c r="GOH8" s="60"/>
      <c r="GOI8" s="60"/>
      <c r="GOJ8" s="60"/>
      <c r="GOK8" s="60"/>
      <c r="GOL8" s="60"/>
      <c r="GOM8" s="60"/>
      <c r="GON8" s="60"/>
      <c r="GOO8" s="60"/>
      <c r="GOP8" s="60"/>
      <c r="GOQ8" s="60"/>
      <c r="GOR8" s="60"/>
      <c r="GOS8" s="60"/>
      <c r="GOT8" s="60"/>
      <c r="GOU8" s="60"/>
      <c r="GOV8" s="60"/>
      <c r="GOW8" s="60"/>
      <c r="GOX8" s="60"/>
      <c r="GOY8" s="60"/>
      <c r="GOZ8" s="60"/>
      <c r="GPA8" s="60"/>
      <c r="GPB8" s="60"/>
      <c r="GPC8" s="60"/>
      <c r="GPD8" s="60"/>
      <c r="GPE8" s="60"/>
      <c r="GPF8" s="60"/>
      <c r="GPG8" s="60"/>
      <c r="GPH8" s="60"/>
      <c r="GPI8" s="60"/>
      <c r="GPJ8" s="60"/>
      <c r="GPK8" s="60"/>
      <c r="GPL8" s="60"/>
      <c r="GPM8" s="60"/>
      <c r="GPN8" s="60"/>
      <c r="GPO8" s="60"/>
      <c r="GPP8" s="60"/>
      <c r="GPQ8" s="60"/>
      <c r="GPR8" s="60"/>
      <c r="GPS8" s="60"/>
      <c r="GPT8" s="60"/>
      <c r="GPU8" s="60"/>
      <c r="GPV8" s="60"/>
      <c r="GPW8" s="60"/>
      <c r="GPX8" s="60"/>
      <c r="GPY8" s="60"/>
      <c r="GPZ8" s="60"/>
      <c r="GQA8" s="60"/>
      <c r="GQB8" s="60"/>
      <c r="GQC8" s="60"/>
      <c r="GQD8" s="60"/>
      <c r="GQE8" s="60"/>
      <c r="GQF8" s="60"/>
      <c r="GQG8" s="60"/>
      <c r="GQH8" s="60"/>
      <c r="GQI8" s="60"/>
      <c r="GQJ8" s="60"/>
      <c r="GQK8" s="60"/>
      <c r="GQL8" s="60"/>
      <c r="GQM8" s="60"/>
      <c r="GQN8" s="60"/>
      <c r="GQO8" s="60"/>
      <c r="GQP8" s="60"/>
      <c r="GQQ8" s="60"/>
      <c r="GQR8" s="60"/>
      <c r="GQS8" s="60"/>
      <c r="GQT8" s="60"/>
      <c r="GQU8" s="60"/>
      <c r="GQV8" s="60"/>
      <c r="GQW8" s="60"/>
      <c r="GQX8" s="60"/>
      <c r="GQY8" s="60"/>
      <c r="GQZ8" s="60"/>
      <c r="GRA8" s="60"/>
      <c r="GRB8" s="60"/>
      <c r="GRC8" s="60"/>
      <c r="GRD8" s="60"/>
      <c r="GRE8" s="60"/>
      <c r="GRF8" s="60"/>
      <c r="GRG8" s="60"/>
      <c r="GRH8" s="60"/>
      <c r="GRI8" s="60"/>
      <c r="GRJ8" s="60"/>
      <c r="GRK8" s="60"/>
      <c r="GRL8" s="60"/>
      <c r="GRM8" s="60"/>
      <c r="GRN8" s="60"/>
      <c r="GRO8" s="60"/>
      <c r="GRP8" s="60"/>
      <c r="GRQ8" s="60"/>
      <c r="GRR8" s="60"/>
      <c r="GRS8" s="60"/>
      <c r="GRT8" s="60"/>
      <c r="GRU8" s="60"/>
      <c r="GRV8" s="60"/>
      <c r="GRW8" s="60"/>
      <c r="GRX8" s="60"/>
      <c r="GRY8" s="60"/>
      <c r="GRZ8" s="60"/>
      <c r="GSA8" s="60"/>
      <c r="GSB8" s="60"/>
      <c r="GSC8" s="60"/>
      <c r="GSD8" s="60"/>
      <c r="GSE8" s="60"/>
      <c r="GSF8" s="60"/>
      <c r="GSG8" s="60"/>
      <c r="GSH8" s="60"/>
      <c r="GSI8" s="60"/>
      <c r="GSJ8" s="60"/>
      <c r="GSK8" s="60"/>
      <c r="GSL8" s="60"/>
      <c r="GSM8" s="60"/>
      <c r="GSN8" s="60"/>
      <c r="GSO8" s="60"/>
      <c r="GSP8" s="60"/>
      <c r="GSQ8" s="60"/>
      <c r="GSR8" s="60"/>
      <c r="GSS8" s="60"/>
      <c r="GST8" s="60"/>
      <c r="GSU8" s="60"/>
      <c r="GSV8" s="60"/>
      <c r="GSW8" s="60"/>
      <c r="GSX8" s="60"/>
      <c r="GSY8" s="60"/>
      <c r="GSZ8" s="60"/>
      <c r="GTA8" s="60"/>
      <c r="GTB8" s="60"/>
      <c r="GTC8" s="60"/>
      <c r="GTD8" s="60"/>
      <c r="GTE8" s="60"/>
      <c r="GTF8" s="60"/>
      <c r="GTG8" s="60"/>
      <c r="GTH8" s="60"/>
      <c r="GTI8" s="60"/>
      <c r="GTJ8" s="60"/>
      <c r="GTK8" s="60"/>
      <c r="GTL8" s="60"/>
      <c r="GTM8" s="60"/>
      <c r="GTN8" s="60"/>
      <c r="GTO8" s="60"/>
      <c r="GTP8" s="60"/>
      <c r="GTQ8" s="60"/>
      <c r="GTR8" s="60"/>
      <c r="GTS8" s="60"/>
      <c r="GTT8" s="60"/>
      <c r="GTU8" s="60"/>
      <c r="GTV8" s="60"/>
      <c r="GTW8" s="60"/>
      <c r="GTX8" s="60"/>
      <c r="GTY8" s="60"/>
      <c r="GTZ8" s="60"/>
      <c r="GUA8" s="60"/>
      <c r="GUB8" s="60"/>
      <c r="GUC8" s="60"/>
      <c r="GUD8" s="60"/>
      <c r="GUE8" s="60"/>
      <c r="GUF8" s="60"/>
      <c r="GUG8" s="60"/>
      <c r="GUH8" s="60"/>
      <c r="GUI8" s="60"/>
      <c r="GUJ8" s="60"/>
      <c r="GUK8" s="60"/>
      <c r="GUL8" s="60"/>
      <c r="GUM8" s="60"/>
      <c r="GUN8" s="60"/>
      <c r="GUO8" s="60"/>
      <c r="GUP8" s="60"/>
      <c r="GUQ8" s="60"/>
      <c r="GUR8" s="60"/>
      <c r="GUS8" s="60"/>
      <c r="GUT8" s="60"/>
      <c r="GUU8" s="60"/>
      <c r="GUV8" s="60"/>
      <c r="GUW8" s="60"/>
      <c r="GUX8" s="60"/>
      <c r="GUY8" s="60"/>
      <c r="GUZ8" s="60"/>
      <c r="GVA8" s="60"/>
      <c r="GVB8" s="60"/>
      <c r="GVC8" s="60"/>
      <c r="GVD8" s="60"/>
      <c r="GVE8" s="60"/>
      <c r="GVF8" s="60"/>
      <c r="GVG8" s="60"/>
      <c r="GVH8" s="60"/>
      <c r="GVI8" s="60"/>
      <c r="GVJ8" s="60"/>
      <c r="GVK8" s="60"/>
      <c r="GVL8" s="60"/>
      <c r="GVM8" s="60"/>
      <c r="GVN8" s="60"/>
      <c r="GVO8" s="60"/>
      <c r="GVP8" s="60"/>
      <c r="GVQ8" s="60"/>
      <c r="GVR8" s="60"/>
      <c r="GVS8" s="60"/>
      <c r="GVT8" s="60"/>
      <c r="GVU8" s="60"/>
      <c r="GVV8" s="60"/>
      <c r="GVW8" s="60"/>
      <c r="GVX8" s="60"/>
      <c r="GVY8" s="60"/>
      <c r="GVZ8" s="60"/>
      <c r="GWA8" s="60"/>
      <c r="GWB8" s="60"/>
      <c r="GWC8" s="60"/>
      <c r="GWD8" s="60"/>
      <c r="GWE8" s="60"/>
      <c r="GWF8" s="60"/>
      <c r="GWG8" s="60"/>
      <c r="GWH8" s="60"/>
      <c r="GWI8" s="60"/>
      <c r="GWJ8" s="60"/>
      <c r="GWK8" s="60"/>
      <c r="GWL8" s="60"/>
      <c r="GWM8" s="60"/>
      <c r="GWN8" s="60"/>
      <c r="GWO8" s="60"/>
      <c r="GWP8" s="60"/>
      <c r="GWQ8" s="60"/>
      <c r="GWR8" s="60"/>
      <c r="GWS8" s="60"/>
      <c r="GWT8" s="60"/>
      <c r="GWU8" s="60"/>
      <c r="GWV8" s="60"/>
      <c r="GWW8" s="60"/>
      <c r="GWX8" s="60"/>
      <c r="GWY8" s="60"/>
      <c r="GWZ8" s="60"/>
      <c r="GXA8" s="60"/>
      <c r="GXB8" s="60"/>
      <c r="GXC8" s="60"/>
      <c r="GXD8" s="60"/>
      <c r="GXE8" s="60"/>
      <c r="GXF8" s="60"/>
      <c r="GXG8" s="60"/>
      <c r="GXH8" s="60"/>
      <c r="GXI8" s="60"/>
      <c r="GXJ8" s="60"/>
      <c r="GXK8" s="60"/>
      <c r="GXL8" s="60"/>
      <c r="GXM8" s="60"/>
      <c r="GXN8" s="60"/>
      <c r="GXO8" s="60"/>
      <c r="GXP8" s="60"/>
      <c r="GXQ8" s="60"/>
      <c r="GXR8" s="60"/>
      <c r="GXS8" s="60"/>
      <c r="GXT8" s="60"/>
      <c r="GXU8" s="60"/>
      <c r="GXV8" s="60"/>
      <c r="GXW8" s="60"/>
      <c r="GXX8" s="60"/>
      <c r="GXY8" s="60"/>
      <c r="GXZ8" s="60"/>
      <c r="GYA8" s="60"/>
      <c r="GYB8" s="60"/>
      <c r="GYC8" s="60"/>
      <c r="GYD8" s="60"/>
      <c r="GYE8" s="60"/>
      <c r="GYF8" s="60"/>
      <c r="GYG8" s="60"/>
      <c r="GYH8" s="60"/>
      <c r="GYI8" s="60"/>
      <c r="GYJ8" s="60"/>
      <c r="GYK8" s="60"/>
      <c r="GYL8" s="60"/>
      <c r="GYM8" s="60"/>
      <c r="GYN8" s="60"/>
      <c r="GYO8" s="60"/>
      <c r="GYP8" s="60"/>
      <c r="GYQ8" s="60"/>
      <c r="GYR8" s="60"/>
      <c r="GYS8" s="60"/>
      <c r="GYT8" s="60"/>
      <c r="GYU8" s="60"/>
      <c r="GYV8" s="60"/>
      <c r="GYW8" s="60"/>
      <c r="GYX8" s="60"/>
      <c r="GYY8" s="60"/>
      <c r="GYZ8" s="60"/>
      <c r="GZA8" s="60"/>
      <c r="GZB8" s="60"/>
      <c r="GZC8" s="60"/>
      <c r="GZD8" s="60"/>
      <c r="GZE8" s="60"/>
      <c r="GZF8" s="60"/>
      <c r="GZG8" s="60"/>
      <c r="GZH8" s="60"/>
      <c r="GZI8" s="60"/>
      <c r="GZJ8" s="60"/>
      <c r="GZK8" s="60"/>
      <c r="GZL8" s="60"/>
      <c r="GZM8" s="60"/>
      <c r="GZN8" s="60"/>
      <c r="GZO8" s="60"/>
      <c r="GZP8" s="60"/>
      <c r="GZQ8" s="60"/>
      <c r="GZR8" s="60"/>
      <c r="GZS8" s="60"/>
      <c r="GZT8" s="60"/>
      <c r="GZU8" s="60"/>
      <c r="GZV8" s="60"/>
      <c r="GZW8" s="60"/>
      <c r="GZX8" s="60"/>
      <c r="GZY8" s="60"/>
      <c r="GZZ8" s="60"/>
      <c r="HAA8" s="60"/>
      <c r="HAB8" s="60"/>
      <c r="HAC8" s="60"/>
      <c r="HAD8" s="60"/>
      <c r="HAE8" s="60"/>
      <c r="HAF8" s="60"/>
      <c r="HAG8" s="60"/>
      <c r="HAH8" s="60"/>
      <c r="HAI8" s="60"/>
      <c r="HAJ8" s="60"/>
      <c r="HAK8" s="60"/>
      <c r="HAL8" s="60"/>
      <c r="HAM8" s="60"/>
      <c r="HAN8" s="60"/>
      <c r="HAO8" s="60"/>
      <c r="HAP8" s="60"/>
      <c r="HAQ8" s="60"/>
      <c r="HAR8" s="60"/>
      <c r="HAS8" s="60"/>
      <c r="HAT8" s="60"/>
      <c r="HAU8" s="60"/>
      <c r="HAV8" s="60"/>
      <c r="HAW8" s="60"/>
      <c r="HAX8" s="60"/>
      <c r="HAY8" s="60"/>
      <c r="HAZ8" s="60"/>
      <c r="HBA8" s="60"/>
      <c r="HBB8" s="60"/>
      <c r="HBC8" s="60"/>
      <c r="HBD8" s="60"/>
      <c r="HBE8" s="60"/>
      <c r="HBF8" s="60"/>
      <c r="HBG8" s="60"/>
      <c r="HBH8" s="60"/>
      <c r="HBI8" s="60"/>
      <c r="HBJ8" s="60"/>
      <c r="HBK8" s="60"/>
      <c r="HBL8" s="60"/>
      <c r="HBM8" s="60"/>
      <c r="HBN8" s="60"/>
      <c r="HBO8" s="60"/>
      <c r="HBP8" s="60"/>
      <c r="HBQ8" s="60"/>
      <c r="HBR8" s="60"/>
      <c r="HBS8" s="60"/>
      <c r="HBT8" s="60"/>
      <c r="HBU8" s="60"/>
      <c r="HBV8" s="60"/>
      <c r="HBW8" s="60"/>
      <c r="HBX8" s="60"/>
      <c r="HBY8" s="60"/>
      <c r="HBZ8" s="60"/>
      <c r="HCA8" s="60"/>
      <c r="HCB8" s="60"/>
      <c r="HCC8" s="60"/>
      <c r="HCD8" s="60"/>
      <c r="HCE8" s="60"/>
      <c r="HCF8" s="60"/>
      <c r="HCG8" s="60"/>
      <c r="HCH8" s="60"/>
      <c r="HCI8" s="60"/>
      <c r="HCJ8" s="60"/>
      <c r="HCK8" s="60"/>
      <c r="HCL8" s="60"/>
      <c r="HCM8" s="60"/>
      <c r="HCN8" s="60"/>
      <c r="HCO8" s="60"/>
      <c r="HCP8" s="60"/>
      <c r="HCQ8" s="60"/>
      <c r="HCR8" s="60"/>
      <c r="HCS8" s="60"/>
      <c r="HCT8" s="60"/>
      <c r="HCU8" s="60"/>
      <c r="HCV8" s="60"/>
      <c r="HCW8" s="60"/>
      <c r="HCX8" s="60"/>
      <c r="HCY8" s="60"/>
      <c r="HCZ8" s="60"/>
      <c r="HDA8" s="60"/>
      <c r="HDB8" s="60"/>
      <c r="HDC8" s="60"/>
      <c r="HDD8" s="60"/>
      <c r="HDE8" s="60"/>
      <c r="HDF8" s="60"/>
      <c r="HDG8" s="60"/>
      <c r="HDH8" s="60"/>
      <c r="HDI8" s="60"/>
      <c r="HDJ8" s="60"/>
      <c r="HDK8" s="60"/>
      <c r="HDL8" s="60"/>
      <c r="HDM8" s="60"/>
      <c r="HDN8" s="60"/>
      <c r="HDO8" s="60"/>
      <c r="HDP8" s="60"/>
      <c r="HDQ8" s="60"/>
      <c r="HDR8" s="60"/>
      <c r="HDS8" s="60"/>
      <c r="HDT8" s="60"/>
      <c r="HDU8" s="60"/>
      <c r="HDV8" s="60"/>
      <c r="HDW8" s="60"/>
      <c r="HDX8" s="60"/>
      <c r="HDY8" s="60"/>
      <c r="HDZ8" s="60"/>
      <c r="HEA8" s="60"/>
      <c r="HEB8" s="60"/>
      <c r="HEC8" s="60"/>
      <c r="HED8" s="60"/>
      <c r="HEE8" s="60"/>
      <c r="HEF8" s="60"/>
      <c r="HEG8" s="60"/>
      <c r="HEH8" s="60"/>
      <c r="HEI8" s="60"/>
      <c r="HEJ8" s="60"/>
      <c r="HEK8" s="60"/>
      <c r="HEL8" s="60"/>
      <c r="HEM8" s="60"/>
      <c r="HEN8" s="60"/>
      <c r="HEO8" s="60"/>
      <c r="HEP8" s="60"/>
      <c r="HEQ8" s="60"/>
      <c r="HER8" s="60"/>
      <c r="HES8" s="60"/>
      <c r="HET8" s="60"/>
      <c r="HEU8" s="60"/>
      <c r="HEV8" s="60"/>
      <c r="HEW8" s="60"/>
      <c r="HEX8" s="60"/>
      <c r="HEY8" s="60"/>
      <c r="HEZ8" s="60"/>
      <c r="HFA8" s="60"/>
      <c r="HFB8" s="60"/>
      <c r="HFC8" s="60"/>
      <c r="HFD8" s="60"/>
      <c r="HFE8" s="60"/>
      <c r="HFF8" s="60"/>
      <c r="HFG8" s="60"/>
      <c r="HFH8" s="60"/>
      <c r="HFI8" s="60"/>
      <c r="HFJ8" s="60"/>
      <c r="HFK8" s="60"/>
      <c r="HFL8" s="60"/>
      <c r="HFM8" s="60"/>
      <c r="HFN8" s="60"/>
      <c r="HFO8" s="60"/>
      <c r="HFP8" s="60"/>
      <c r="HFQ8" s="60"/>
      <c r="HFR8" s="60"/>
      <c r="HFS8" s="60"/>
      <c r="HFT8" s="60"/>
      <c r="HFU8" s="60"/>
      <c r="HFV8" s="60"/>
      <c r="HFW8" s="60"/>
      <c r="HFX8" s="60"/>
      <c r="HFY8" s="60"/>
      <c r="HFZ8" s="60"/>
      <c r="HGA8" s="60"/>
      <c r="HGB8" s="60"/>
      <c r="HGC8" s="60"/>
      <c r="HGD8" s="60"/>
      <c r="HGE8" s="60"/>
      <c r="HGF8" s="60"/>
      <c r="HGG8" s="60"/>
      <c r="HGH8" s="60"/>
      <c r="HGI8" s="60"/>
      <c r="HGJ8" s="60"/>
      <c r="HGK8" s="60"/>
      <c r="HGL8" s="60"/>
      <c r="HGM8" s="60"/>
      <c r="HGN8" s="60"/>
      <c r="HGO8" s="60"/>
      <c r="HGP8" s="60"/>
      <c r="HGQ8" s="60"/>
      <c r="HGR8" s="60"/>
      <c r="HGS8" s="60"/>
      <c r="HGT8" s="60"/>
      <c r="HGU8" s="60"/>
      <c r="HGV8" s="60"/>
      <c r="HGW8" s="60"/>
      <c r="HGX8" s="60"/>
      <c r="HGY8" s="60"/>
      <c r="HGZ8" s="60"/>
      <c r="HHA8" s="60"/>
      <c r="HHB8" s="60"/>
      <c r="HHC8" s="60"/>
      <c r="HHD8" s="60"/>
      <c r="HHE8" s="60"/>
      <c r="HHF8" s="60"/>
      <c r="HHG8" s="60"/>
      <c r="HHH8" s="60"/>
      <c r="HHI8" s="60"/>
      <c r="HHJ8" s="60"/>
      <c r="HHK8" s="60"/>
      <c r="HHL8" s="60"/>
      <c r="HHM8" s="60"/>
      <c r="HHN8" s="60"/>
      <c r="HHO8" s="60"/>
      <c r="HHP8" s="60"/>
      <c r="HHQ8" s="60"/>
      <c r="HHR8" s="60"/>
      <c r="HHS8" s="60"/>
      <c r="HHT8" s="60"/>
      <c r="HHU8" s="60"/>
      <c r="HHV8" s="60"/>
      <c r="HHW8" s="60"/>
      <c r="HHX8" s="60"/>
      <c r="HHY8" s="60"/>
      <c r="HHZ8" s="60"/>
      <c r="HIA8" s="60"/>
      <c r="HIB8" s="60"/>
      <c r="HIC8" s="60"/>
      <c r="HID8" s="60"/>
      <c r="HIE8" s="60"/>
      <c r="HIF8" s="60"/>
      <c r="HIG8" s="60"/>
      <c r="HIH8" s="60"/>
      <c r="HII8" s="60"/>
      <c r="HIJ8" s="60"/>
      <c r="HIK8" s="60"/>
      <c r="HIL8" s="60"/>
      <c r="HIM8" s="60"/>
      <c r="HIN8" s="60"/>
      <c r="HIO8" s="60"/>
      <c r="HIP8" s="60"/>
      <c r="HIQ8" s="60"/>
      <c r="HIR8" s="60"/>
      <c r="HIS8" s="60"/>
      <c r="HIT8" s="60"/>
      <c r="HIU8" s="60"/>
      <c r="HIV8" s="60"/>
      <c r="HIW8" s="60"/>
      <c r="HIX8" s="60"/>
      <c r="HIY8" s="60"/>
      <c r="HIZ8" s="60"/>
      <c r="HJA8" s="60"/>
      <c r="HJB8" s="60"/>
      <c r="HJC8" s="60"/>
      <c r="HJD8" s="60"/>
      <c r="HJE8" s="60"/>
      <c r="HJF8" s="60"/>
      <c r="HJG8" s="60"/>
      <c r="HJH8" s="60"/>
      <c r="HJI8" s="60"/>
      <c r="HJJ8" s="60"/>
      <c r="HJK8" s="60"/>
      <c r="HJL8" s="60"/>
      <c r="HJM8" s="60"/>
      <c r="HJN8" s="60"/>
      <c r="HJO8" s="60"/>
      <c r="HJP8" s="60"/>
      <c r="HJQ8" s="60"/>
      <c r="HJR8" s="60"/>
      <c r="HJS8" s="60"/>
      <c r="HJT8" s="60"/>
      <c r="HJU8" s="60"/>
      <c r="HJV8" s="60"/>
      <c r="HJW8" s="60"/>
      <c r="HJX8" s="60"/>
      <c r="HJY8" s="60"/>
      <c r="HJZ8" s="60"/>
      <c r="HKA8" s="60"/>
      <c r="HKB8" s="60"/>
      <c r="HKC8" s="60"/>
      <c r="HKD8" s="60"/>
      <c r="HKE8" s="60"/>
      <c r="HKF8" s="60"/>
      <c r="HKG8" s="60"/>
      <c r="HKH8" s="60"/>
      <c r="HKI8" s="60"/>
      <c r="HKJ8" s="60"/>
      <c r="HKK8" s="60"/>
      <c r="HKL8" s="60"/>
      <c r="HKM8" s="60"/>
      <c r="HKN8" s="60"/>
      <c r="HKO8" s="60"/>
      <c r="HKP8" s="60"/>
      <c r="HKQ8" s="60"/>
      <c r="HKR8" s="60"/>
      <c r="HKS8" s="60"/>
      <c r="HKT8" s="60"/>
      <c r="HKU8" s="60"/>
      <c r="HKV8" s="60"/>
      <c r="HKW8" s="60"/>
      <c r="HKX8" s="60"/>
      <c r="HKY8" s="60"/>
      <c r="HKZ8" s="60"/>
      <c r="HLA8" s="60"/>
      <c r="HLB8" s="60"/>
      <c r="HLC8" s="60"/>
      <c r="HLD8" s="60"/>
      <c r="HLE8" s="60"/>
      <c r="HLF8" s="60"/>
      <c r="HLG8" s="60"/>
      <c r="HLH8" s="60"/>
      <c r="HLI8" s="60"/>
      <c r="HLJ8" s="60"/>
      <c r="HLK8" s="60"/>
      <c r="HLL8" s="60"/>
      <c r="HLM8" s="60"/>
      <c r="HLN8" s="60"/>
      <c r="HLO8" s="60"/>
      <c r="HLP8" s="60"/>
      <c r="HLQ8" s="60"/>
      <c r="HLR8" s="60"/>
      <c r="HLS8" s="60"/>
      <c r="HLT8" s="60"/>
      <c r="HLU8" s="60"/>
      <c r="HLV8" s="60"/>
      <c r="HLW8" s="60"/>
      <c r="HLX8" s="60"/>
      <c r="HLY8" s="60"/>
      <c r="HLZ8" s="60"/>
      <c r="HMA8" s="60"/>
      <c r="HMB8" s="60"/>
      <c r="HMC8" s="60"/>
      <c r="HMD8" s="60"/>
      <c r="HME8" s="60"/>
      <c r="HMF8" s="60"/>
      <c r="HMG8" s="60"/>
      <c r="HMH8" s="60"/>
      <c r="HMI8" s="60"/>
      <c r="HMJ8" s="60"/>
      <c r="HMK8" s="60"/>
      <c r="HML8" s="60"/>
      <c r="HMM8" s="60"/>
      <c r="HMN8" s="60"/>
      <c r="HMO8" s="60"/>
      <c r="HMP8" s="60"/>
      <c r="HMQ8" s="60"/>
      <c r="HMR8" s="60"/>
      <c r="HMS8" s="60"/>
      <c r="HMT8" s="60"/>
      <c r="HMU8" s="60"/>
      <c r="HMV8" s="60"/>
      <c r="HMW8" s="60"/>
      <c r="HMX8" s="60"/>
      <c r="HMY8" s="60"/>
      <c r="HMZ8" s="60"/>
      <c r="HNA8" s="60"/>
      <c r="HNB8" s="60"/>
      <c r="HNC8" s="60"/>
      <c r="HND8" s="60"/>
      <c r="HNE8" s="60"/>
      <c r="HNF8" s="60"/>
      <c r="HNG8" s="60"/>
      <c r="HNH8" s="60"/>
      <c r="HNI8" s="60"/>
      <c r="HNJ8" s="60"/>
      <c r="HNK8" s="60"/>
      <c r="HNL8" s="60"/>
      <c r="HNM8" s="60"/>
      <c r="HNN8" s="60"/>
      <c r="HNO8" s="60"/>
      <c r="HNP8" s="60"/>
      <c r="HNQ8" s="60"/>
      <c r="HNR8" s="60"/>
      <c r="HNS8" s="60"/>
      <c r="HNT8" s="60"/>
      <c r="HNU8" s="60"/>
      <c r="HNV8" s="60"/>
      <c r="HNW8" s="60"/>
      <c r="HNX8" s="60"/>
      <c r="HNY8" s="60"/>
      <c r="HNZ8" s="60"/>
      <c r="HOA8" s="60"/>
      <c r="HOB8" s="60"/>
      <c r="HOC8" s="60"/>
      <c r="HOD8" s="60"/>
      <c r="HOE8" s="60"/>
      <c r="HOF8" s="60"/>
      <c r="HOG8" s="60"/>
      <c r="HOH8" s="60"/>
      <c r="HOI8" s="60"/>
      <c r="HOJ8" s="60"/>
      <c r="HOK8" s="60"/>
      <c r="HOL8" s="60"/>
      <c r="HOM8" s="60"/>
      <c r="HON8" s="60"/>
      <c r="HOO8" s="60"/>
      <c r="HOP8" s="60"/>
      <c r="HOQ8" s="60"/>
      <c r="HOR8" s="60"/>
      <c r="HOS8" s="60"/>
      <c r="HOT8" s="60"/>
      <c r="HOU8" s="60"/>
      <c r="HOV8" s="60"/>
      <c r="HOW8" s="60"/>
      <c r="HOX8" s="60"/>
      <c r="HOY8" s="60"/>
      <c r="HOZ8" s="60"/>
      <c r="HPA8" s="60"/>
      <c r="HPB8" s="60"/>
      <c r="HPC8" s="60"/>
      <c r="HPD8" s="60"/>
      <c r="HPE8" s="60"/>
      <c r="HPF8" s="60"/>
      <c r="HPG8" s="60"/>
      <c r="HPH8" s="60"/>
      <c r="HPI8" s="60"/>
      <c r="HPJ8" s="60"/>
      <c r="HPK8" s="60"/>
      <c r="HPL8" s="60"/>
      <c r="HPM8" s="60"/>
      <c r="HPN8" s="60"/>
      <c r="HPO8" s="60"/>
      <c r="HPP8" s="60"/>
      <c r="HPQ8" s="60"/>
      <c r="HPR8" s="60"/>
      <c r="HPS8" s="60"/>
      <c r="HPT8" s="60"/>
      <c r="HPU8" s="60"/>
      <c r="HPV8" s="60"/>
      <c r="HPW8" s="60"/>
      <c r="HPX8" s="60"/>
      <c r="HPY8" s="60"/>
      <c r="HPZ8" s="60"/>
      <c r="HQA8" s="60"/>
      <c r="HQB8" s="60"/>
      <c r="HQC8" s="60"/>
      <c r="HQD8" s="60"/>
      <c r="HQE8" s="60"/>
      <c r="HQF8" s="60"/>
      <c r="HQG8" s="60"/>
      <c r="HQH8" s="60"/>
      <c r="HQI8" s="60"/>
      <c r="HQJ8" s="60"/>
      <c r="HQK8" s="60"/>
      <c r="HQL8" s="60"/>
      <c r="HQM8" s="60"/>
      <c r="HQN8" s="60"/>
      <c r="HQO8" s="60"/>
      <c r="HQP8" s="60"/>
      <c r="HQQ8" s="60"/>
      <c r="HQR8" s="60"/>
      <c r="HQS8" s="60"/>
      <c r="HQT8" s="60"/>
      <c r="HQU8" s="60"/>
      <c r="HQV8" s="60"/>
      <c r="HQW8" s="60"/>
      <c r="HQX8" s="60"/>
      <c r="HQY8" s="60"/>
      <c r="HQZ8" s="60"/>
      <c r="HRA8" s="60"/>
      <c r="HRB8" s="60"/>
      <c r="HRC8" s="60"/>
      <c r="HRD8" s="60"/>
      <c r="HRE8" s="60"/>
      <c r="HRF8" s="60"/>
      <c r="HRG8" s="60"/>
      <c r="HRH8" s="60"/>
      <c r="HRI8" s="60"/>
      <c r="HRJ8" s="60"/>
      <c r="HRK8" s="60"/>
      <c r="HRL8" s="60"/>
      <c r="HRM8" s="60"/>
      <c r="HRN8" s="60"/>
      <c r="HRO8" s="60"/>
      <c r="HRP8" s="60"/>
      <c r="HRQ8" s="60"/>
      <c r="HRR8" s="60"/>
      <c r="HRS8" s="60"/>
      <c r="HRT8" s="60"/>
      <c r="HRU8" s="60"/>
      <c r="HRV8" s="60"/>
      <c r="HRW8" s="60"/>
      <c r="HRX8" s="60"/>
      <c r="HRY8" s="60"/>
      <c r="HRZ8" s="60"/>
      <c r="HSA8" s="60"/>
      <c r="HSB8" s="60"/>
      <c r="HSC8" s="60"/>
      <c r="HSD8" s="60"/>
      <c r="HSE8" s="60"/>
      <c r="HSF8" s="60"/>
      <c r="HSG8" s="60"/>
      <c r="HSH8" s="60"/>
      <c r="HSI8" s="60"/>
      <c r="HSJ8" s="60"/>
      <c r="HSK8" s="60"/>
      <c r="HSL8" s="60"/>
      <c r="HSM8" s="60"/>
      <c r="HSN8" s="60"/>
      <c r="HSO8" s="60"/>
      <c r="HSP8" s="60"/>
      <c r="HSQ8" s="60"/>
      <c r="HSR8" s="60"/>
      <c r="HSS8" s="60"/>
      <c r="HST8" s="60"/>
      <c r="HSU8" s="60"/>
      <c r="HSV8" s="60"/>
      <c r="HSW8" s="60"/>
      <c r="HSX8" s="60"/>
      <c r="HSY8" s="60"/>
      <c r="HSZ8" s="60"/>
      <c r="HTA8" s="60"/>
      <c r="HTB8" s="60"/>
      <c r="HTC8" s="60"/>
      <c r="HTD8" s="60"/>
      <c r="HTE8" s="60"/>
      <c r="HTF8" s="60"/>
      <c r="HTG8" s="60"/>
      <c r="HTH8" s="60"/>
      <c r="HTI8" s="60"/>
      <c r="HTJ8" s="60"/>
      <c r="HTK8" s="60"/>
      <c r="HTL8" s="60"/>
      <c r="HTM8" s="60"/>
      <c r="HTN8" s="60"/>
      <c r="HTO8" s="60"/>
      <c r="HTP8" s="60"/>
      <c r="HTQ8" s="60"/>
      <c r="HTR8" s="60"/>
      <c r="HTS8" s="60"/>
      <c r="HTT8" s="60"/>
      <c r="HTU8" s="60"/>
      <c r="HTV8" s="60"/>
      <c r="HTW8" s="60"/>
      <c r="HTX8" s="60"/>
      <c r="HTY8" s="60"/>
      <c r="HTZ8" s="60"/>
      <c r="HUA8" s="60"/>
      <c r="HUB8" s="60"/>
      <c r="HUC8" s="60"/>
      <c r="HUD8" s="60"/>
      <c r="HUE8" s="60"/>
      <c r="HUF8" s="60"/>
      <c r="HUG8" s="60"/>
      <c r="HUH8" s="60"/>
      <c r="HUI8" s="60"/>
      <c r="HUJ8" s="60"/>
      <c r="HUK8" s="60"/>
      <c r="HUL8" s="60"/>
      <c r="HUM8" s="60"/>
      <c r="HUN8" s="60"/>
      <c r="HUO8" s="60"/>
      <c r="HUP8" s="60"/>
      <c r="HUQ8" s="60"/>
      <c r="HUR8" s="60"/>
      <c r="HUS8" s="60"/>
      <c r="HUT8" s="60"/>
      <c r="HUU8" s="60"/>
      <c r="HUV8" s="60"/>
      <c r="HUW8" s="60"/>
      <c r="HUX8" s="60"/>
      <c r="HUY8" s="60"/>
      <c r="HUZ8" s="60"/>
      <c r="HVA8" s="60"/>
      <c r="HVB8" s="60"/>
      <c r="HVC8" s="60"/>
      <c r="HVD8" s="60"/>
      <c r="HVE8" s="60"/>
      <c r="HVF8" s="60"/>
      <c r="HVG8" s="60"/>
      <c r="HVH8" s="60"/>
      <c r="HVI8" s="60"/>
      <c r="HVJ8" s="60"/>
      <c r="HVK8" s="60"/>
      <c r="HVL8" s="60"/>
      <c r="HVM8" s="60"/>
      <c r="HVN8" s="60"/>
      <c r="HVO8" s="60"/>
      <c r="HVP8" s="60"/>
      <c r="HVQ8" s="60"/>
      <c r="HVR8" s="60"/>
      <c r="HVS8" s="60"/>
      <c r="HVT8" s="60"/>
      <c r="HVU8" s="60"/>
      <c r="HVV8" s="60"/>
      <c r="HVW8" s="60"/>
      <c r="HVX8" s="60"/>
      <c r="HVY8" s="60"/>
      <c r="HVZ8" s="60"/>
      <c r="HWA8" s="60"/>
      <c r="HWB8" s="60"/>
      <c r="HWC8" s="60"/>
      <c r="HWD8" s="60"/>
      <c r="HWE8" s="60"/>
      <c r="HWF8" s="60"/>
      <c r="HWG8" s="60"/>
      <c r="HWH8" s="60"/>
      <c r="HWI8" s="60"/>
      <c r="HWJ8" s="60"/>
      <c r="HWK8" s="60"/>
      <c r="HWL8" s="60"/>
      <c r="HWM8" s="60"/>
      <c r="HWN8" s="60"/>
      <c r="HWO8" s="60"/>
      <c r="HWP8" s="60"/>
      <c r="HWQ8" s="60"/>
      <c r="HWR8" s="60"/>
      <c r="HWS8" s="60"/>
      <c r="HWT8" s="60"/>
      <c r="HWU8" s="60"/>
      <c r="HWV8" s="60"/>
      <c r="HWW8" s="60"/>
      <c r="HWX8" s="60"/>
      <c r="HWY8" s="60"/>
      <c r="HWZ8" s="60"/>
      <c r="HXA8" s="60"/>
      <c r="HXB8" s="60"/>
      <c r="HXC8" s="60"/>
      <c r="HXD8" s="60"/>
      <c r="HXE8" s="60"/>
      <c r="HXF8" s="60"/>
      <c r="HXG8" s="60"/>
      <c r="HXH8" s="60"/>
      <c r="HXI8" s="60"/>
      <c r="HXJ8" s="60"/>
      <c r="HXK8" s="60"/>
      <c r="HXL8" s="60"/>
      <c r="HXM8" s="60"/>
      <c r="HXN8" s="60"/>
      <c r="HXO8" s="60"/>
      <c r="HXP8" s="60"/>
      <c r="HXQ8" s="60"/>
      <c r="HXR8" s="60"/>
      <c r="HXS8" s="60"/>
      <c r="HXT8" s="60"/>
      <c r="HXU8" s="60"/>
      <c r="HXV8" s="60"/>
      <c r="HXW8" s="60"/>
      <c r="HXX8" s="60"/>
      <c r="HXY8" s="60"/>
      <c r="HXZ8" s="60"/>
      <c r="HYA8" s="60"/>
      <c r="HYB8" s="60"/>
      <c r="HYC8" s="60"/>
      <c r="HYD8" s="60"/>
      <c r="HYE8" s="60"/>
      <c r="HYF8" s="60"/>
      <c r="HYG8" s="60"/>
      <c r="HYH8" s="60"/>
      <c r="HYI8" s="60"/>
      <c r="HYJ8" s="60"/>
      <c r="HYK8" s="60"/>
      <c r="HYL8" s="60"/>
      <c r="HYM8" s="60"/>
      <c r="HYN8" s="60"/>
      <c r="HYO8" s="60"/>
      <c r="HYP8" s="60"/>
      <c r="HYQ8" s="60"/>
      <c r="HYR8" s="60"/>
      <c r="HYS8" s="60"/>
      <c r="HYT8" s="60"/>
      <c r="HYU8" s="60"/>
      <c r="HYV8" s="60"/>
      <c r="HYW8" s="60"/>
      <c r="HYX8" s="60"/>
      <c r="HYY8" s="60"/>
      <c r="HYZ8" s="60"/>
      <c r="HZA8" s="60"/>
      <c r="HZB8" s="60"/>
      <c r="HZC8" s="60"/>
      <c r="HZD8" s="60"/>
      <c r="HZE8" s="60"/>
      <c r="HZF8" s="60"/>
      <c r="HZG8" s="60"/>
      <c r="HZH8" s="60"/>
      <c r="HZI8" s="60"/>
      <c r="HZJ8" s="60"/>
      <c r="HZK8" s="60"/>
      <c r="HZL8" s="60"/>
      <c r="HZM8" s="60"/>
      <c r="HZN8" s="60"/>
      <c r="HZO8" s="60"/>
      <c r="HZP8" s="60"/>
      <c r="HZQ8" s="60"/>
      <c r="HZR8" s="60"/>
      <c r="HZS8" s="60"/>
      <c r="HZT8" s="60"/>
      <c r="HZU8" s="60"/>
      <c r="HZV8" s="60"/>
      <c r="HZW8" s="60"/>
      <c r="HZX8" s="60"/>
      <c r="HZY8" s="60"/>
      <c r="HZZ8" s="60"/>
      <c r="IAA8" s="60"/>
      <c r="IAB8" s="60"/>
      <c r="IAC8" s="60"/>
      <c r="IAD8" s="60"/>
      <c r="IAE8" s="60"/>
      <c r="IAF8" s="60"/>
      <c r="IAG8" s="60"/>
      <c r="IAH8" s="60"/>
      <c r="IAI8" s="60"/>
      <c r="IAJ8" s="60"/>
      <c r="IAK8" s="60"/>
      <c r="IAL8" s="60"/>
      <c r="IAM8" s="60"/>
      <c r="IAN8" s="60"/>
      <c r="IAO8" s="60"/>
      <c r="IAP8" s="60"/>
      <c r="IAQ8" s="60"/>
      <c r="IAR8" s="60"/>
      <c r="IAS8" s="60"/>
      <c r="IAT8" s="60"/>
      <c r="IAU8" s="60"/>
      <c r="IAV8" s="60"/>
      <c r="IAW8" s="60"/>
      <c r="IAX8" s="60"/>
      <c r="IAY8" s="60"/>
      <c r="IAZ8" s="60"/>
      <c r="IBA8" s="60"/>
      <c r="IBB8" s="60"/>
      <c r="IBC8" s="60"/>
      <c r="IBD8" s="60"/>
      <c r="IBE8" s="60"/>
      <c r="IBF8" s="60"/>
      <c r="IBG8" s="60"/>
      <c r="IBH8" s="60"/>
      <c r="IBI8" s="60"/>
      <c r="IBJ8" s="60"/>
      <c r="IBK8" s="60"/>
      <c r="IBL8" s="60"/>
      <c r="IBM8" s="60"/>
      <c r="IBN8" s="60"/>
      <c r="IBO8" s="60"/>
      <c r="IBP8" s="60"/>
      <c r="IBQ8" s="60"/>
      <c r="IBR8" s="60"/>
      <c r="IBS8" s="60"/>
      <c r="IBT8" s="60"/>
      <c r="IBU8" s="60"/>
      <c r="IBV8" s="60"/>
      <c r="IBW8" s="60"/>
      <c r="IBX8" s="60"/>
      <c r="IBY8" s="60"/>
      <c r="IBZ8" s="60"/>
      <c r="ICA8" s="60"/>
      <c r="ICB8" s="60"/>
      <c r="ICC8" s="60"/>
      <c r="ICD8" s="60"/>
      <c r="ICE8" s="60"/>
      <c r="ICF8" s="60"/>
      <c r="ICG8" s="60"/>
      <c r="ICH8" s="60"/>
      <c r="ICI8" s="60"/>
      <c r="ICJ8" s="60"/>
      <c r="ICK8" s="60"/>
      <c r="ICL8" s="60"/>
      <c r="ICM8" s="60"/>
      <c r="ICN8" s="60"/>
      <c r="ICO8" s="60"/>
      <c r="ICP8" s="60"/>
      <c r="ICQ8" s="60"/>
      <c r="ICR8" s="60"/>
      <c r="ICS8" s="60"/>
      <c r="ICT8" s="60"/>
      <c r="ICU8" s="60"/>
      <c r="ICV8" s="60"/>
      <c r="ICW8" s="60"/>
      <c r="ICX8" s="60"/>
      <c r="ICY8" s="60"/>
      <c r="ICZ8" s="60"/>
      <c r="IDA8" s="60"/>
      <c r="IDB8" s="60"/>
      <c r="IDC8" s="60"/>
      <c r="IDD8" s="60"/>
      <c r="IDE8" s="60"/>
      <c r="IDF8" s="60"/>
      <c r="IDG8" s="60"/>
      <c r="IDH8" s="60"/>
      <c r="IDI8" s="60"/>
      <c r="IDJ8" s="60"/>
      <c r="IDK8" s="60"/>
      <c r="IDL8" s="60"/>
      <c r="IDM8" s="60"/>
      <c r="IDN8" s="60"/>
      <c r="IDO8" s="60"/>
      <c r="IDP8" s="60"/>
      <c r="IDQ8" s="60"/>
      <c r="IDR8" s="60"/>
      <c r="IDS8" s="60"/>
      <c r="IDT8" s="60"/>
      <c r="IDU8" s="60"/>
      <c r="IDV8" s="60"/>
      <c r="IDW8" s="60"/>
      <c r="IDX8" s="60"/>
      <c r="IDY8" s="60"/>
      <c r="IDZ8" s="60"/>
      <c r="IEA8" s="60"/>
      <c r="IEB8" s="60"/>
      <c r="IEC8" s="60"/>
      <c r="IED8" s="60"/>
      <c r="IEE8" s="60"/>
      <c r="IEF8" s="60"/>
      <c r="IEG8" s="60"/>
      <c r="IEH8" s="60"/>
      <c r="IEI8" s="60"/>
      <c r="IEJ8" s="60"/>
      <c r="IEK8" s="60"/>
      <c r="IEL8" s="60"/>
      <c r="IEM8" s="60"/>
      <c r="IEN8" s="60"/>
      <c r="IEO8" s="60"/>
      <c r="IEP8" s="60"/>
      <c r="IEQ8" s="60"/>
      <c r="IER8" s="60"/>
      <c r="IES8" s="60"/>
      <c r="IET8" s="60"/>
      <c r="IEU8" s="60"/>
      <c r="IEV8" s="60"/>
      <c r="IEW8" s="60"/>
      <c r="IEX8" s="60"/>
      <c r="IEY8" s="60"/>
      <c r="IEZ8" s="60"/>
      <c r="IFA8" s="60"/>
      <c r="IFB8" s="60"/>
      <c r="IFC8" s="60"/>
      <c r="IFD8" s="60"/>
      <c r="IFE8" s="60"/>
      <c r="IFF8" s="60"/>
      <c r="IFG8" s="60"/>
      <c r="IFH8" s="60"/>
      <c r="IFI8" s="60"/>
      <c r="IFJ8" s="60"/>
      <c r="IFK8" s="60"/>
      <c r="IFL8" s="60"/>
      <c r="IFM8" s="60"/>
      <c r="IFN8" s="60"/>
      <c r="IFO8" s="60"/>
      <c r="IFP8" s="60"/>
      <c r="IFQ8" s="60"/>
      <c r="IFR8" s="60"/>
      <c r="IFS8" s="60"/>
      <c r="IFT8" s="60"/>
      <c r="IFU8" s="60"/>
      <c r="IFV8" s="60"/>
      <c r="IFW8" s="60"/>
      <c r="IFX8" s="60"/>
      <c r="IFY8" s="60"/>
      <c r="IFZ8" s="60"/>
      <c r="IGA8" s="60"/>
      <c r="IGB8" s="60"/>
      <c r="IGC8" s="60"/>
      <c r="IGD8" s="60"/>
      <c r="IGE8" s="60"/>
      <c r="IGF8" s="60"/>
      <c r="IGG8" s="60"/>
      <c r="IGH8" s="60"/>
      <c r="IGI8" s="60"/>
      <c r="IGJ8" s="60"/>
      <c r="IGK8" s="60"/>
      <c r="IGL8" s="60"/>
      <c r="IGM8" s="60"/>
      <c r="IGN8" s="60"/>
      <c r="IGO8" s="60"/>
      <c r="IGP8" s="60"/>
      <c r="IGQ8" s="60"/>
      <c r="IGR8" s="60"/>
      <c r="IGS8" s="60"/>
      <c r="IGT8" s="60"/>
      <c r="IGU8" s="60"/>
      <c r="IGV8" s="60"/>
      <c r="IGW8" s="60"/>
      <c r="IGX8" s="60"/>
      <c r="IGY8" s="60"/>
      <c r="IGZ8" s="60"/>
      <c r="IHA8" s="60"/>
      <c r="IHB8" s="60"/>
      <c r="IHC8" s="60"/>
      <c r="IHD8" s="60"/>
      <c r="IHE8" s="60"/>
      <c r="IHF8" s="60"/>
      <c r="IHG8" s="60"/>
      <c r="IHH8" s="60"/>
      <c r="IHI8" s="60"/>
      <c r="IHJ8" s="60"/>
      <c r="IHK8" s="60"/>
      <c r="IHL8" s="60"/>
      <c r="IHM8" s="60"/>
      <c r="IHN8" s="60"/>
      <c r="IHO8" s="60"/>
      <c r="IHP8" s="60"/>
      <c r="IHQ8" s="60"/>
      <c r="IHR8" s="60"/>
      <c r="IHS8" s="60"/>
      <c r="IHT8" s="60"/>
      <c r="IHU8" s="60"/>
      <c r="IHV8" s="60"/>
      <c r="IHW8" s="60"/>
      <c r="IHX8" s="60"/>
      <c r="IHY8" s="60"/>
      <c r="IHZ8" s="60"/>
      <c r="IIA8" s="60"/>
      <c r="IIB8" s="60"/>
      <c r="IIC8" s="60"/>
      <c r="IID8" s="60"/>
      <c r="IIE8" s="60"/>
      <c r="IIF8" s="60"/>
      <c r="IIG8" s="60"/>
      <c r="IIH8" s="60"/>
      <c r="III8" s="60"/>
      <c r="IIJ8" s="60"/>
      <c r="IIK8" s="60"/>
      <c r="IIL8" s="60"/>
      <c r="IIM8" s="60"/>
      <c r="IIN8" s="60"/>
      <c r="IIO8" s="60"/>
      <c r="IIP8" s="60"/>
      <c r="IIQ8" s="60"/>
      <c r="IIR8" s="60"/>
      <c r="IIS8" s="60"/>
      <c r="IIT8" s="60"/>
      <c r="IIU8" s="60"/>
      <c r="IIV8" s="60"/>
      <c r="IIW8" s="60"/>
      <c r="IIX8" s="60"/>
      <c r="IIY8" s="60"/>
      <c r="IIZ8" s="60"/>
      <c r="IJA8" s="60"/>
      <c r="IJB8" s="60"/>
      <c r="IJC8" s="60"/>
      <c r="IJD8" s="60"/>
      <c r="IJE8" s="60"/>
      <c r="IJF8" s="60"/>
      <c r="IJG8" s="60"/>
      <c r="IJH8" s="60"/>
      <c r="IJI8" s="60"/>
      <c r="IJJ8" s="60"/>
      <c r="IJK8" s="60"/>
      <c r="IJL8" s="60"/>
      <c r="IJM8" s="60"/>
      <c r="IJN8" s="60"/>
      <c r="IJO8" s="60"/>
      <c r="IJP8" s="60"/>
      <c r="IJQ8" s="60"/>
      <c r="IJR8" s="60"/>
      <c r="IJS8" s="60"/>
      <c r="IJT8" s="60"/>
      <c r="IJU8" s="60"/>
      <c r="IJV8" s="60"/>
      <c r="IJW8" s="60"/>
      <c r="IJX8" s="60"/>
      <c r="IJY8" s="60"/>
      <c r="IJZ8" s="60"/>
      <c r="IKA8" s="60"/>
      <c r="IKB8" s="60"/>
      <c r="IKC8" s="60"/>
      <c r="IKD8" s="60"/>
      <c r="IKE8" s="60"/>
      <c r="IKF8" s="60"/>
      <c r="IKG8" s="60"/>
      <c r="IKH8" s="60"/>
      <c r="IKI8" s="60"/>
      <c r="IKJ8" s="60"/>
      <c r="IKK8" s="60"/>
      <c r="IKL8" s="60"/>
      <c r="IKM8" s="60"/>
      <c r="IKN8" s="60"/>
      <c r="IKO8" s="60"/>
      <c r="IKP8" s="60"/>
      <c r="IKQ8" s="60"/>
      <c r="IKR8" s="60"/>
      <c r="IKS8" s="60"/>
      <c r="IKT8" s="60"/>
      <c r="IKU8" s="60"/>
      <c r="IKV8" s="60"/>
      <c r="IKW8" s="60"/>
      <c r="IKX8" s="60"/>
      <c r="IKY8" s="60"/>
      <c r="IKZ8" s="60"/>
      <c r="ILA8" s="60"/>
      <c r="ILB8" s="60"/>
      <c r="ILC8" s="60"/>
      <c r="ILD8" s="60"/>
      <c r="ILE8" s="60"/>
      <c r="ILF8" s="60"/>
      <c r="ILG8" s="60"/>
      <c r="ILH8" s="60"/>
      <c r="ILI8" s="60"/>
      <c r="ILJ8" s="60"/>
      <c r="ILK8" s="60"/>
      <c r="ILL8" s="60"/>
      <c r="ILM8" s="60"/>
      <c r="ILN8" s="60"/>
      <c r="ILO8" s="60"/>
      <c r="ILP8" s="60"/>
      <c r="ILQ8" s="60"/>
      <c r="ILR8" s="60"/>
      <c r="ILS8" s="60"/>
      <c r="ILT8" s="60"/>
      <c r="ILU8" s="60"/>
      <c r="ILV8" s="60"/>
      <c r="ILW8" s="60"/>
      <c r="ILX8" s="60"/>
      <c r="ILY8" s="60"/>
      <c r="ILZ8" s="60"/>
      <c r="IMA8" s="60"/>
      <c r="IMB8" s="60"/>
      <c r="IMC8" s="60"/>
      <c r="IMD8" s="60"/>
      <c r="IME8" s="60"/>
      <c r="IMF8" s="60"/>
      <c r="IMG8" s="60"/>
      <c r="IMH8" s="60"/>
      <c r="IMI8" s="60"/>
      <c r="IMJ8" s="60"/>
      <c r="IMK8" s="60"/>
      <c r="IML8" s="60"/>
      <c r="IMM8" s="60"/>
      <c r="IMN8" s="60"/>
      <c r="IMO8" s="60"/>
      <c r="IMP8" s="60"/>
      <c r="IMQ8" s="60"/>
      <c r="IMR8" s="60"/>
      <c r="IMS8" s="60"/>
      <c r="IMT8" s="60"/>
      <c r="IMU8" s="60"/>
      <c r="IMV8" s="60"/>
      <c r="IMW8" s="60"/>
      <c r="IMX8" s="60"/>
      <c r="IMY8" s="60"/>
      <c r="IMZ8" s="60"/>
      <c r="INA8" s="60"/>
      <c r="INB8" s="60"/>
      <c r="INC8" s="60"/>
      <c r="IND8" s="60"/>
      <c r="INE8" s="60"/>
      <c r="INF8" s="60"/>
      <c r="ING8" s="60"/>
      <c r="INH8" s="60"/>
      <c r="INI8" s="60"/>
      <c r="INJ8" s="60"/>
      <c r="INK8" s="60"/>
      <c r="INL8" s="60"/>
      <c r="INM8" s="60"/>
      <c r="INN8" s="60"/>
      <c r="INO8" s="60"/>
      <c r="INP8" s="60"/>
      <c r="INQ8" s="60"/>
      <c r="INR8" s="60"/>
      <c r="INS8" s="60"/>
      <c r="INT8" s="60"/>
      <c r="INU8" s="60"/>
      <c r="INV8" s="60"/>
      <c r="INW8" s="60"/>
      <c r="INX8" s="60"/>
      <c r="INY8" s="60"/>
      <c r="INZ8" s="60"/>
      <c r="IOA8" s="60"/>
      <c r="IOB8" s="60"/>
      <c r="IOC8" s="60"/>
      <c r="IOD8" s="60"/>
      <c r="IOE8" s="60"/>
      <c r="IOF8" s="60"/>
      <c r="IOG8" s="60"/>
      <c r="IOH8" s="60"/>
      <c r="IOI8" s="60"/>
      <c r="IOJ8" s="60"/>
      <c r="IOK8" s="60"/>
      <c r="IOL8" s="60"/>
      <c r="IOM8" s="60"/>
      <c r="ION8" s="60"/>
      <c r="IOO8" s="60"/>
      <c r="IOP8" s="60"/>
      <c r="IOQ8" s="60"/>
      <c r="IOR8" s="60"/>
      <c r="IOS8" s="60"/>
      <c r="IOT8" s="60"/>
      <c r="IOU8" s="60"/>
      <c r="IOV8" s="60"/>
      <c r="IOW8" s="60"/>
      <c r="IOX8" s="60"/>
      <c r="IOY8" s="60"/>
      <c r="IOZ8" s="60"/>
      <c r="IPA8" s="60"/>
      <c r="IPB8" s="60"/>
      <c r="IPC8" s="60"/>
      <c r="IPD8" s="60"/>
      <c r="IPE8" s="60"/>
      <c r="IPF8" s="60"/>
      <c r="IPG8" s="60"/>
      <c r="IPH8" s="60"/>
      <c r="IPI8" s="60"/>
      <c r="IPJ8" s="60"/>
      <c r="IPK8" s="60"/>
      <c r="IPL8" s="60"/>
      <c r="IPM8" s="60"/>
      <c r="IPN8" s="60"/>
      <c r="IPO8" s="60"/>
      <c r="IPP8" s="60"/>
      <c r="IPQ8" s="60"/>
      <c r="IPR8" s="60"/>
      <c r="IPS8" s="60"/>
      <c r="IPT8" s="60"/>
      <c r="IPU8" s="60"/>
      <c r="IPV8" s="60"/>
      <c r="IPW8" s="60"/>
      <c r="IPX8" s="60"/>
      <c r="IPY8" s="60"/>
      <c r="IPZ8" s="60"/>
      <c r="IQA8" s="60"/>
      <c r="IQB8" s="60"/>
      <c r="IQC8" s="60"/>
      <c r="IQD8" s="60"/>
      <c r="IQE8" s="60"/>
      <c r="IQF8" s="60"/>
      <c r="IQG8" s="60"/>
      <c r="IQH8" s="60"/>
      <c r="IQI8" s="60"/>
      <c r="IQJ8" s="60"/>
      <c r="IQK8" s="60"/>
      <c r="IQL8" s="60"/>
      <c r="IQM8" s="60"/>
      <c r="IQN8" s="60"/>
      <c r="IQO8" s="60"/>
      <c r="IQP8" s="60"/>
      <c r="IQQ8" s="60"/>
      <c r="IQR8" s="60"/>
      <c r="IQS8" s="60"/>
      <c r="IQT8" s="60"/>
      <c r="IQU8" s="60"/>
      <c r="IQV8" s="60"/>
      <c r="IQW8" s="60"/>
      <c r="IQX8" s="60"/>
      <c r="IQY8" s="60"/>
      <c r="IQZ8" s="60"/>
      <c r="IRA8" s="60"/>
      <c r="IRB8" s="60"/>
      <c r="IRC8" s="60"/>
      <c r="IRD8" s="60"/>
      <c r="IRE8" s="60"/>
      <c r="IRF8" s="60"/>
      <c r="IRG8" s="60"/>
      <c r="IRH8" s="60"/>
      <c r="IRI8" s="60"/>
      <c r="IRJ8" s="60"/>
      <c r="IRK8" s="60"/>
      <c r="IRL8" s="60"/>
      <c r="IRM8" s="60"/>
      <c r="IRN8" s="60"/>
      <c r="IRO8" s="60"/>
      <c r="IRP8" s="60"/>
      <c r="IRQ8" s="60"/>
      <c r="IRR8" s="60"/>
      <c r="IRS8" s="60"/>
      <c r="IRT8" s="60"/>
      <c r="IRU8" s="60"/>
      <c r="IRV8" s="60"/>
      <c r="IRW8" s="60"/>
      <c r="IRX8" s="60"/>
      <c r="IRY8" s="60"/>
      <c r="IRZ8" s="60"/>
      <c r="ISA8" s="60"/>
      <c r="ISB8" s="60"/>
      <c r="ISC8" s="60"/>
      <c r="ISD8" s="60"/>
      <c r="ISE8" s="60"/>
      <c r="ISF8" s="60"/>
      <c r="ISG8" s="60"/>
      <c r="ISH8" s="60"/>
      <c r="ISI8" s="60"/>
      <c r="ISJ8" s="60"/>
      <c r="ISK8" s="60"/>
      <c r="ISL8" s="60"/>
      <c r="ISM8" s="60"/>
      <c r="ISN8" s="60"/>
      <c r="ISO8" s="60"/>
      <c r="ISP8" s="60"/>
      <c r="ISQ8" s="60"/>
      <c r="ISR8" s="60"/>
      <c r="ISS8" s="60"/>
      <c r="IST8" s="60"/>
      <c r="ISU8" s="60"/>
      <c r="ISV8" s="60"/>
      <c r="ISW8" s="60"/>
      <c r="ISX8" s="60"/>
      <c r="ISY8" s="60"/>
      <c r="ISZ8" s="60"/>
      <c r="ITA8" s="60"/>
      <c r="ITB8" s="60"/>
      <c r="ITC8" s="60"/>
      <c r="ITD8" s="60"/>
      <c r="ITE8" s="60"/>
      <c r="ITF8" s="60"/>
      <c r="ITG8" s="60"/>
      <c r="ITH8" s="60"/>
      <c r="ITI8" s="60"/>
      <c r="ITJ8" s="60"/>
      <c r="ITK8" s="60"/>
      <c r="ITL8" s="60"/>
      <c r="ITM8" s="60"/>
      <c r="ITN8" s="60"/>
      <c r="ITO8" s="60"/>
      <c r="ITP8" s="60"/>
      <c r="ITQ8" s="60"/>
      <c r="ITR8" s="60"/>
      <c r="ITS8" s="60"/>
      <c r="ITT8" s="60"/>
      <c r="ITU8" s="60"/>
      <c r="ITV8" s="60"/>
      <c r="ITW8" s="60"/>
      <c r="ITX8" s="60"/>
      <c r="ITY8" s="60"/>
      <c r="ITZ8" s="60"/>
      <c r="IUA8" s="60"/>
      <c r="IUB8" s="60"/>
      <c r="IUC8" s="60"/>
      <c r="IUD8" s="60"/>
      <c r="IUE8" s="60"/>
      <c r="IUF8" s="60"/>
      <c r="IUG8" s="60"/>
      <c r="IUH8" s="60"/>
      <c r="IUI8" s="60"/>
      <c r="IUJ8" s="60"/>
      <c r="IUK8" s="60"/>
      <c r="IUL8" s="60"/>
      <c r="IUM8" s="60"/>
      <c r="IUN8" s="60"/>
      <c r="IUO8" s="60"/>
      <c r="IUP8" s="60"/>
      <c r="IUQ8" s="60"/>
      <c r="IUR8" s="60"/>
      <c r="IUS8" s="60"/>
      <c r="IUT8" s="60"/>
      <c r="IUU8" s="60"/>
      <c r="IUV8" s="60"/>
      <c r="IUW8" s="60"/>
      <c r="IUX8" s="60"/>
      <c r="IUY8" s="60"/>
      <c r="IUZ8" s="60"/>
      <c r="IVA8" s="60"/>
      <c r="IVB8" s="60"/>
      <c r="IVC8" s="60"/>
      <c r="IVD8" s="60"/>
      <c r="IVE8" s="60"/>
      <c r="IVF8" s="60"/>
      <c r="IVG8" s="60"/>
      <c r="IVH8" s="60"/>
      <c r="IVI8" s="60"/>
      <c r="IVJ8" s="60"/>
      <c r="IVK8" s="60"/>
      <c r="IVL8" s="60"/>
      <c r="IVM8" s="60"/>
      <c r="IVN8" s="60"/>
      <c r="IVO8" s="60"/>
      <c r="IVP8" s="60"/>
      <c r="IVQ8" s="60"/>
      <c r="IVR8" s="60"/>
      <c r="IVS8" s="60"/>
      <c r="IVT8" s="60"/>
      <c r="IVU8" s="60"/>
      <c r="IVV8" s="60"/>
      <c r="IVW8" s="60"/>
      <c r="IVX8" s="60"/>
      <c r="IVY8" s="60"/>
      <c r="IVZ8" s="60"/>
      <c r="IWA8" s="60"/>
      <c r="IWB8" s="60"/>
      <c r="IWC8" s="60"/>
      <c r="IWD8" s="60"/>
      <c r="IWE8" s="60"/>
      <c r="IWF8" s="60"/>
      <c r="IWG8" s="60"/>
      <c r="IWH8" s="60"/>
      <c r="IWI8" s="60"/>
      <c r="IWJ8" s="60"/>
      <c r="IWK8" s="60"/>
      <c r="IWL8" s="60"/>
      <c r="IWM8" s="60"/>
      <c r="IWN8" s="60"/>
      <c r="IWO8" s="60"/>
      <c r="IWP8" s="60"/>
      <c r="IWQ8" s="60"/>
      <c r="IWR8" s="60"/>
      <c r="IWS8" s="60"/>
      <c r="IWT8" s="60"/>
      <c r="IWU8" s="60"/>
      <c r="IWV8" s="60"/>
      <c r="IWW8" s="60"/>
      <c r="IWX8" s="60"/>
      <c r="IWY8" s="60"/>
      <c r="IWZ8" s="60"/>
      <c r="IXA8" s="60"/>
      <c r="IXB8" s="60"/>
      <c r="IXC8" s="60"/>
      <c r="IXD8" s="60"/>
      <c r="IXE8" s="60"/>
      <c r="IXF8" s="60"/>
      <c r="IXG8" s="60"/>
      <c r="IXH8" s="60"/>
      <c r="IXI8" s="60"/>
      <c r="IXJ8" s="60"/>
      <c r="IXK8" s="60"/>
      <c r="IXL8" s="60"/>
      <c r="IXM8" s="60"/>
      <c r="IXN8" s="60"/>
      <c r="IXO8" s="60"/>
      <c r="IXP8" s="60"/>
      <c r="IXQ8" s="60"/>
      <c r="IXR8" s="60"/>
      <c r="IXS8" s="60"/>
      <c r="IXT8" s="60"/>
      <c r="IXU8" s="60"/>
      <c r="IXV8" s="60"/>
      <c r="IXW8" s="60"/>
      <c r="IXX8" s="60"/>
      <c r="IXY8" s="60"/>
      <c r="IXZ8" s="60"/>
      <c r="IYA8" s="60"/>
      <c r="IYB8" s="60"/>
      <c r="IYC8" s="60"/>
      <c r="IYD8" s="60"/>
      <c r="IYE8" s="60"/>
      <c r="IYF8" s="60"/>
      <c r="IYG8" s="60"/>
      <c r="IYH8" s="60"/>
      <c r="IYI8" s="60"/>
      <c r="IYJ8" s="60"/>
      <c r="IYK8" s="60"/>
      <c r="IYL8" s="60"/>
      <c r="IYM8" s="60"/>
      <c r="IYN8" s="60"/>
      <c r="IYO8" s="60"/>
      <c r="IYP8" s="60"/>
      <c r="IYQ8" s="60"/>
      <c r="IYR8" s="60"/>
      <c r="IYS8" s="60"/>
      <c r="IYT8" s="60"/>
      <c r="IYU8" s="60"/>
      <c r="IYV8" s="60"/>
      <c r="IYW8" s="60"/>
      <c r="IYX8" s="60"/>
      <c r="IYY8" s="60"/>
      <c r="IYZ8" s="60"/>
      <c r="IZA8" s="60"/>
      <c r="IZB8" s="60"/>
      <c r="IZC8" s="60"/>
      <c r="IZD8" s="60"/>
      <c r="IZE8" s="60"/>
      <c r="IZF8" s="60"/>
      <c r="IZG8" s="60"/>
      <c r="IZH8" s="60"/>
      <c r="IZI8" s="60"/>
      <c r="IZJ8" s="60"/>
      <c r="IZK8" s="60"/>
      <c r="IZL8" s="60"/>
      <c r="IZM8" s="60"/>
      <c r="IZN8" s="60"/>
      <c r="IZO8" s="60"/>
      <c r="IZP8" s="60"/>
      <c r="IZQ8" s="60"/>
      <c r="IZR8" s="60"/>
      <c r="IZS8" s="60"/>
      <c r="IZT8" s="60"/>
      <c r="IZU8" s="60"/>
      <c r="IZV8" s="60"/>
      <c r="IZW8" s="60"/>
      <c r="IZX8" s="60"/>
      <c r="IZY8" s="60"/>
      <c r="IZZ8" s="60"/>
      <c r="JAA8" s="60"/>
      <c r="JAB8" s="60"/>
      <c r="JAC8" s="60"/>
      <c r="JAD8" s="60"/>
      <c r="JAE8" s="60"/>
      <c r="JAF8" s="60"/>
      <c r="JAG8" s="60"/>
      <c r="JAH8" s="60"/>
      <c r="JAI8" s="60"/>
      <c r="JAJ8" s="60"/>
      <c r="JAK8" s="60"/>
      <c r="JAL8" s="60"/>
      <c r="JAM8" s="60"/>
      <c r="JAN8" s="60"/>
      <c r="JAO8" s="60"/>
      <c r="JAP8" s="60"/>
      <c r="JAQ8" s="60"/>
      <c r="JAR8" s="60"/>
      <c r="JAS8" s="60"/>
      <c r="JAT8" s="60"/>
      <c r="JAU8" s="60"/>
      <c r="JAV8" s="60"/>
      <c r="JAW8" s="60"/>
      <c r="JAX8" s="60"/>
      <c r="JAY8" s="60"/>
      <c r="JAZ8" s="60"/>
      <c r="JBA8" s="60"/>
      <c r="JBB8" s="60"/>
      <c r="JBC8" s="60"/>
      <c r="JBD8" s="60"/>
      <c r="JBE8" s="60"/>
      <c r="JBF8" s="60"/>
      <c r="JBG8" s="60"/>
      <c r="JBH8" s="60"/>
      <c r="JBI8" s="60"/>
      <c r="JBJ8" s="60"/>
      <c r="JBK8" s="60"/>
      <c r="JBL8" s="60"/>
      <c r="JBM8" s="60"/>
      <c r="JBN8" s="60"/>
      <c r="JBO8" s="60"/>
      <c r="JBP8" s="60"/>
      <c r="JBQ8" s="60"/>
      <c r="JBR8" s="60"/>
      <c r="JBS8" s="60"/>
      <c r="JBT8" s="60"/>
      <c r="JBU8" s="60"/>
      <c r="JBV8" s="60"/>
      <c r="JBW8" s="60"/>
      <c r="JBX8" s="60"/>
      <c r="JBY8" s="60"/>
      <c r="JBZ8" s="60"/>
      <c r="JCA8" s="60"/>
      <c r="JCB8" s="60"/>
      <c r="JCC8" s="60"/>
      <c r="JCD8" s="60"/>
      <c r="JCE8" s="60"/>
      <c r="JCF8" s="60"/>
      <c r="JCG8" s="60"/>
      <c r="JCH8" s="60"/>
      <c r="JCI8" s="60"/>
      <c r="JCJ8" s="60"/>
      <c r="JCK8" s="60"/>
      <c r="JCL8" s="60"/>
      <c r="JCM8" s="60"/>
      <c r="JCN8" s="60"/>
      <c r="JCO8" s="60"/>
      <c r="JCP8" s="60"/>
      <c r="JCQ8" s="60"/>
      <c r="JCR8" s="60"/>
      <c r="JCS8" s="60"/>
      <c r="JCT8" s="60"/>
      <c r="JCU8" s="60"/>
      <c r="JCV8" s="60"/>
      <c r="JCW8" s="60"/>
      <c r="JCX8" s="60"/>
      <c r="JCY8" s="60"/>
      <c r="JCZ8" s="60"/>
      <c r="JDA8" s="60"/>
      <c r="JDB8" s="60"/>
      <c r="JDC8" s="60"/>
      <c r="JDD8" s="60"/>
      <c r="JDE8" s="60"/>
      <c r="JDF8" s="60"/>
      <c r="JDG8" s="60"/>
      <c r="JDH8" s="60"/>
      <c r="JDI8" s="60"/>
      <c r="JDJ8" s="60"/>
      <c r="JDK8" s="60"/>
      <c r="JDL8" s="60"/>
      <c r="JDM8" s="60"/>
      <c r="JDN8" s="60"/>
      <c r="JDO8" s="60"/>
      <c r="JDP8" s="60"/>
      <c r="JDQ8" s="60"/>
      <c r="JDR8" s="60"/>
      <c r="JDS8" s="60"/>
      <c r="JDT8" s="60"/>
      <c r="JDU8" s="60"/>
      <c r="JDV8" s="60"/>
      <c r="JDW8" s="60"/>
      <c r="JDX8" s="60"/>
      <c r="JDY8" s="60"/>
      <c r="JDZ8" s="60"/>
      <c r="JEA8" s="60"/>
      <c r="JEB8" s="60"/>
      <c r="JEC8" s="60"/>
      <c r="JED8" s="60"/>
      <c r="JEE8" s="60"/>
      <c r="JEF8" s="60"/>
      <c r="JEG8" s="60"/>
      <c r="JEH8" s="60"/>
      <c r="JEI8" s="60"/>
      <c r="JEJ8" s="60"/>
      <c r="JEK8" s="60"/>
      <c r="JEL8" s="60"/>
      <c r="JEM8" s="60"/>
      <c r="JEN8" s="60"/>
      <c r="JEO8" s="60"/>
      <c r="JEP8" s="60"/>
      <c r="JEQ8" s="60"/>
      <c r="JER8" s="60"/>
      <c r="JES8" s="60"/>
      <c r="JET8" s="60"/>
      <c r="JEU8" s="60"/>
      <c r="JEV8" s="60"/>
      <c r="JEW8" s="60"/>
      <c r="JEX8" s="60"/>
      <c r="JEY8" s="60"/>
      <c r="JEZ8" s="60"/>
      <c r="JFA8" s="60"/>
      <c r="JFB8" s="60"/>
      <c r="JFC8" s="60"/>
      <c r="JFD8" s="60"/>
      <c r="JFE8" s="60"/>
      <c r="JFF8" s="60"/>
      <c r="JFG8" s="60"/>
      <c r="JFH8" s="60"/>
      <c r="JFI8" s="60"/>
      <c r="JFJ8" s="60"/>
      <c r="JFK8" s="60"/>
      <c r="JFL8" s="60"/>
      <c r="JFM8" s="60"/>
      <c r="JFN8" s="60"/>
      <c r="JFO8" s="60"/>
      <c r="JFP8" s="60"/>
      <c r="JFQ8" s="60"/>
      <c r="JFR8" s="60"/>
      <c r="JFS8" s="60"/>
      <c r="JFT8" s="60"/>
      <c r="JFU8" s="60"/>
      <c r="JFV8" s="60"/>
      <c r="JFW8" s="60"/>
      <c r="JFX8" s="60"/>
      <c r="JFY8" s="60"/>
      <c r="JFZ8" s="60"/>
      <c r="JGA8" s="60"/>
      <c r="JGB8" s="60"/>
      <c r="JGC8" s="60"/>
      <c r="JGD8" s="60"/>
      <c r="JGE8" s="60"/>
      <c r="JGF8" s="60"/>
      <c r="JGG8" s="60"/>
      <c r="JGH8" s="60"/>
      <c r="JGI8" s="60"/>
      <c r="JGJ8" s="60"/>
      <c r="JGK8" s="60"/>
      <c r="JGL8" s="60"/>
      <c r="JGM8" s="60"/>
      <c r="JGN8" s="60"/>
      <c r="JGO8" s="60"/>
      <c r="JGP8" s="60"/>
      <c r="JGQ8" s="60"/>
      <c r="JGR8" s="60"/>
      <c r="JGS8" s="60"/>
      <c r="JGT8" s="60"/>
      <c r="JGU8" s="60"/>
      <c r="JGV8" s="60"/>
      <c r="JGW8" s="60"/>
      <c r="JGX8" s="60"/>
      <c r="JGY8" s="60"/>
      <c r="JGZ8" s="60"/>
      <c r="JHA8" s="60"/>
      <c r="JHB8" s="60"/>
      <c r="JHC8" s="60"/>
      <c r="JHD8" s="60"/>
      <c r="JHE8" s="60"/>
      <c r="JHF8" s="60"/>
      <c r="JHG8" s="60"/>
      <c r="JHH8" s="60"/>
      <c r="JHI8" s="60"/>
      <c r="JHJ8" s="60"/>
      <c r="JHK8" s="60"/>
      <c r="JHL8" s="60"/>
      <c r="JHM8" s="60"/>
      <c r="JHN8" s="60"/>
      <c r="JHO8" s="60"/>
      <c r="JHP8" s="60"/>
      <c r="JHQ8" s="60"/>
      <c r="JHR8" s="60"/>
      <c r="JHS8" s="60"/>
      <c r="JHT8" s="60"/>
      <c r="JHU8" s="60"/>
      <c r="JHV8" s="60"/>
      <c r="JHW8" s="60"/>
      <c r="JHX8" s="60"/>
      <c r="JHY8" s="60"/>
      <c r="JHZ8" s="60"/>
      <c r="JIA8" s="60"/>
      <c r="JIB8" s="60"/>
      <c r="JIC8" s="60"/>
      <c r="JID8" s="60"/>
      <c r="JIE8" s="60"/>
      <c r="JIF8" s="60"/>
      <c r="JIG8" s="60"/>
      <c r="JIH8" s="60"/>
      <c r="JII8" s="60"/>
      <c r="JIJ8" s="60"/>
      <c r="JIK8" s="60"/>
      <c r="JIL8" s="60"/>
      <c r="JIM8" s="60"/>
      <c r="JIN8" s="60"/>
      <c r="JIO8" s="60"/>
      <c r="JIP8" s="60"/>
      <c r="JIQ8" s="60"/>
      <c r="JIR8" s="60"/>
      <c r="JIS8" s="60"/>
      <c r="JIT8" s="60"/>
      <c r="JIU8" s="60"/>
      <c r="JIV8" s="60"/>
      <c r="JIW8" s="60"/>
      <c r="JIX8" s="60"/>
      <c r="JIY8" s="60"/>
      <c r="JIZ8" s="60"/>
      <c r="JJA8" s="60"/>
      <c r="JJB8" s="60"/>
      <c r="JJC8" s="60"/>
      <c r="JJD8" s="60"/>
      <c r="JJE8" s="60"/>
      <c r="JJF8" s="60"/>
      <c r="JJG8" s="60"/>
      <c r="JJH8" s="60"/>
      <c r="JJI8" s="60"/>
      <c r="JJJ8" s="60"/>
      <c r="JJK8" s="60"/>
      <c r="JJL8" s="60"/>
      <c r="JJM8" s="60"/>
      <c r="JJN8" s="60"/>
      <c r="JJO8" s="60"/>
      <c r="JJP8" s="60"/>
      <c r="JJQ8" s="60"/>
      <c r="JJR8" s="60"/>
      <c r="JJS8" s="60"/>
      <c r="JJT8" s="60"/>
      <c r="JJU8" s="60"/>
      <c r="JJV8" s="60"/>
      <c r="JJW8" s="60"/>
      <c r="JJX8" s="60"/>
      <c r="JJY8" s="60"/>
      <c r="JJZ8" s="60"/>
      <c r="JKA8" s="60"/>
      <c r="JKB8" s="60"/>
      <c r="JKC8" s="60"/>
      <c r="JKD8" s="60"/>
      <c r="JKE8" s="60"/>
      <c r="JKF8" s="60"/>
      <c r="JKG8" s="60"/>
      <c r="JKH8" s="60"/>
      <c r="JKI8" s="60"/>
      <c r="JKJ8" s="60"/>
      <c r="JKK8" s="60"/>
      <c r="JKL8" s="60"/>
      <c r="JKM8" s="60"/>
      <c r="JKN8" s="60"/>
      <c r="JKO8" s="60"/>
      <c r="JKP8" s="60"/>
      <c r="JKQ8" s="60"/>
      <c r="JKR8" s="60"/>
      <c r="JKS8" s="60"/>
      <c r="JKT8" s="60"/>
      <c r="JKU8" s="60"/>
      <c r="JKV8" s="60"/>
      <c r="JKW8" s="60"/>
      <c r="JKX8" s="60"/>
      <c r="JKY8" s="60"/>
      <c r="JKZ8" s="60"/>
      <c r="JLA8" s="60"/>
      <c r="JLB8" s="60"/>
      <c r="JLC8" s="60"/>
      <c r="JLD8" s="60"/>
      <c r="JLE8" s="60"/>
      <c r="JLF8" s="60"/>
      <c r="JLG8" s="60"/>
      <c r="JLH8" s="60"/>
      <c r="JLI8" s="60"/>
      <c r="JLJ8" s="60"/>
      <c r="JLK8" s="60"/>
      <c r="JLL8" s="60"/>
      <c r="JLM8" s="60"/>
      <c r="JLN8" s="60"/>
      <c r="JLO8" s="60"/>
      <c r="JLP8" s="60"/>
      <c r="JLQ8" s="60"/>
      <c r="JLR8" s="60"/>
      <c r="JLS8" s="60"/>
      <c r="JLT8" s="60"/>
      <c r="JLU8" s="60"/>
      <c r="JLV8" s="60"/>
      <c r="JLW8" s="60"/>
      <c r="JLX8" s="60"/>
      <c r="JLY8" s="60"/>
      <c r="JLZ8" s="60"/>
      <c r="JMA8" s="60"/>
      <c r="JMB8" s="60"/>
      <c r="JMC8" s="60"/>
      <c r="JMD8" s="60"/>
      <c r="JME8" s="60"/>
      <c r="JMF8" s="60"/>
      <c r="JMG8" s="60"/>
      <c r="JMH8" s="60"/>
      <c r="JMI8" s="60"/>
      <c r="JMJ8" s="60"/>
      <c r="JMK8" s="60"/>
      <c r="JML8" s="60"/>
      <c r="JMM8" s="60"/>
      <c r="JMN8" s="60"/>
      <c r="JMO8" s="60"/>
      <c r="JMP8" s="60"/>
      <c r="JMQ8" s="60"/>
      <c r="JMR8" s="60"/>
      <c r="JMS8" s="60"/>
      <c r="JMT8" s="60"/>
      <c r="JMU8" s="60"/>
      <c r="JMV8" s="60"/>
      <c r="JMW8" s="60"/>
      <c r="JMX8" s="60"/>
      <c r="JMY8" s="60"/>
      <c r="JMZ8" s="60"/>
      <c r="JNA8" s="60"/>
      <c r="JNB8" s="60"/>
      <c r="JNC8" s="60"/>
      <c r="JND8" s="60"/>
      <c r="JNE8" s="60"/>
      <c r="JNF8" s="60"/>
      <c r="JNG8" s="60"/>
      <c r="JNH8" s="60"/>
      <c r="JNI8" s="60"/>
      <c r="JNJ8" s="60"/>
      <c r="JNK8" s="60"/>
      <c r="JNL8" s="60"/>
      <c r="JNM8" s="60"/>
      <c r="JNN8" s="60"/>
      <c r="JNO8" s="60"/>
      <c r="JNP8" s="60"/>
      <c r="JNQ8" s="60"/>
      <c r="JNR8" s="60"/>
      <c r="JNS8" s="60"/>
      <c r="JNT8" s="60"/>
      <c r="JNU8" s="60"/>
      <c r="JNV8" s="60"/>
      <c r="JNW8" s="60"/>
      <c r="JNX8" s="60"/>
      <c r="JNY8" s="60"/>
      <c r="JNZ8" s="60"/>
      <c r="JOA8" s="60"/>
      <c r="JOB8" s="60"/>
      <c r="JOC8" s="60"/>
      <c r="JOD8" s="60"/>
      <c r="JOE8" s="60"/>
      <c r="JOF8" s="60"/>
      <c r="JOG8" s="60"/>
      <c r="JOH8" s="60"/>
      <c r="JOI8" s="60"/>
      <c r="JOJ8" s="60"/>
      <c r="JOK8" s="60"/>
      <c r="JOL8" s="60"/>
      <c r="JOM8" s="60"/>
      <c r="JON8" s="60"/>
      <c r="JOO8" s="60"/>
      <c r="JOP8" s="60"/>
      <c r="JOQ8" s="60"/>
      <c r="JOR8" s="60"/>
      <c r="JOS8" s="60"/>
      <c r="JOT8" s="60"/>
      <c r="JOU8" s="60"/>
      <c r="JOV8" s="60"/>
      <c r="JOW8" s="60"/>
      <c r="JOX8" s="60"/>
      <c r="JOY8" s="60"/>
      <c r="JOZ8" s="60"/>
      <c r="JPA8" s="60"/>
      <c r="JPB8" s="60"/>
      <c r="JPC8" s="60"/>
      <c r="JPD8" s="60"/>
      <c r="JPE8" s="60"/>
      <c r="JPF8" s="60"/>
      <c r="JPG8" s="60"/>
      <c r="JPH8" s="60"/>
      <c r="JPI8" s="60"/>
      <c r="JPJ8" s="60"/>
      <c r="JPK8" s="60"/>
      <c r="JPL8" s="60"/>
      <c r="JPM8" s="60"/>
      <c r="JPN8" s="60"/>
      <c r="JPO8" s="60"/>
      <c r="JPP8" s="60"/>
      <c r="JPQ8" s="60"/>
      <c r="JPR8" s="60"/>
      <c r="JPS8" s="60"/>
      <c r="JPT8" s="60"/>
      <c r="JPU8" s="60"/>
      <c r="JPV8" s="60"/>
      <c r="JPW8" s="60"/>
      <c r="JPX8" s="60"/>
      <c r="JPY8" s="60"/>
      <c r="JPZ8" s="60"/>
      <c r="JQA8" s="60"/>
      <c r="JQB8" s="60"/>
      <c r="JQC8" s="60"/>
      <c r="JQD8" s="60"/>
      <c r="JQE8" s="60"/>
      <c r="JQF8" s="60"/>
      <c r="JQG8" s="60"/>
      <c r="JQH8" s="60"/>
      <c r="JQI8" s="60"/>
      <c r="JQJ8" s="60"/>
      <c r="JQK8" s="60"/>
      <c r="JQL8" s="60"/>
      <c r="JQM8" s="60"/>
      <c r="JQN8" s="60"/>
      <c r="JQO8" s="60"/>
      <c r="JQP8" s="60"/>
      <c r="JQQ8" s="60"/>
      <c r="JQR8" s="60"/>
      <c r="JQS8" s="60"/>
      <c r="JQT8" s="60"/>
      <c r="JQU8" s="60"/>
      <c r="JQV8" s="60"/>
      <c r="JQW8" s="60"/>
      <c r="JQX8" s="60"/>
      <c r="JQY8" s="60"/>
      <c r="JQZ8" s="60"/>
      <c r="JRA8" s="60"/>
      <c r="JRB8" s="60"/>
      <c r="JRC8" s="60"/>
      <c r="JRD8" s="60"/>
      <c r="JRE8" s="60"/>
      <c r="JRF8" s="60"/>
      <c r="JRG8" s="60"/>
      <c r="JRH8" s="60"/>
      <c r="JRI8" s="60"/>
      <c r="JRJ8" s="60"/>
      <c r="JRK8" s="60"/>
      <c r="JRL8" s="60"/>
      <c r="JRM8" s="60"/>
      <c r="JRN8" s="60"/>
      <c r="JRO8" s="60"/>
      <c r="JRP8" s="60"/>
      <c r="JRQ8" s="60"/>
      <c r="JRR8" s="60"/>
      <c r="JRS8" s="60"/>
      <c r="JRT8" s="60"/>
      <c r="JRU8" s="60"/>
      <c r="JRV8" s="60"/>
      <c r="JRW8" s="60"/>
      <c r="JRX8" s="60"/>
      <c r="JRY8" s="60"/>
      <c r="JRZ8" s="60"/>
      <c r="JSA8" s="60"/>
      <c r="JSB8" s="60"/>
      <c r="JSC8" s="60"/>
      <c r="JSD8" s="60"/>
      <c r="JSE8" s="60"/>
      <c r="JSF8" s="60"/>
      <c r="JSG8" s="60"/>
      <c r="JSH8" s="60"/>
      <c r="JSI8" s="60"/>
      <c r="JSJ8" s="60"/>
      <c r="JSK8" s="60"/>
      <c r="JSL8" s="60"/>
      <c r="JSM8" s="60"/>
      <c r="JSN8" s="60"/>
      <c r="JSO8" s="60"/>
      <c r="JSP8" s="60"/>
      <c r="JSQ8" s="60"/>
      <c r="JSR8" s="60"/>
      <c r="JSS8" s="60"/>
      <c r="JST8" s="60"/>
      <c r="JSU8" s="60"/>
      <c r="JSV8" s="60"/>
      <c r="JSW8" s="60"/>
      <c r="JSX8" s="60"/>
      <c r="JSY8" s="60"/>
      <c r="JSZ8" s="60"/>
      <c r="JTA8" s="60"/>
      <c r="JTB8" s="60"/>
      <c r="JTC8" s="60"/>
      <c r="JTD8" s="60"/>
      <c r="JTE8" s="60"/>
      <c r="JTF8" s="60"/>
      <c r="JTG8" s="60"/>
      <c r="JTH8" s="60"/>
      <c r="JTI8" s="60"/>
      <c r="JTJ8" s="60"/>
      <c r="JTK8" s="60"/>
      <c r="JTL8" s="60"/>
      <c r="JTM8" s="60"/>
      <c r="JTN8" s="60"/>
      <c r="JTO8" s="60"/>
      <c r="JTP8" s="60"/>
      <c r="JTQ8" s="60"/>
      <c r="JTR8" s="60"/>
      <c r="JTS8" s="60"/>
      <c r="JTT8" s="60"/>
      <c r="JTU8" s="60"/>
      <c r="JTV8" s="60"/>
      <c r="JTW8" s="60"/>
      <c r="JTX8" s="60"/>
      <c r="JTY8" s="60"/>
      <c r="JTZ8" s="60"/>
      <c r="JUA8" s="60"/>
      <c r="JUB8" s="60"/>
      <c r="JUC8" s="60"/>
      <c r="JUD8" s="60"/>
      <c r="JUE8" s="60"/>
      <c r="JUF8" s="60"/>
      <c r="JUG8" s="60"/>
      <c r="JUH8" s="60"/>
      <c r="JUI8" s="60"/>
      <c r="JUJ8" s="60"/>
      <c r="JUK8" s="60"/>
      <c r="JUL8" s="60"/>
      <c r="JUM8" s="60"/>
      <c r="JUN8" s="60"/>
      <c r="JUO8" s="60"/>
      <c r="JUP8" s="60"/>
      <c r="JUQ8" s="60"/>
      <c r="JUR8" s="60"/>
      <c r="JUS8" s="60"/>
      <c r="JUT8" s="60"/>
      <c r="JUU8" s="60"/>
      <c r="JUV8" s="60"/>
      <c r="JUW8" s="60"/>
      <c r="JUX8" s="60"/>
      <c r="JUY8" s="60"/>
      <c r="JUZ8" s="60"/>
      <c r="JVA8" s="60"/>
      <c r="JVB8" s="60"/>
      <c r="JVC8" s="60"/>
      <c r="JVD8" s="60"/>
      <c r="JVE8" s="60"/>
      <c r="JVF8" s="60"/>
      <c r="JVG8" s="60"/>
      <c r="JVH8" s="60"/>
      <c r="JVI8" s="60"/>
      <c r="JVJ8" s="60"/>
      <c r="JVK8" s="60"/>
      <c r="JVL8" s="60"/>
      <c r="JVM8" s="60"/>
      <c r="JVN8" s="60"/>
      <c r="JVO8" s="60"/>
      <c r="JVP8" s="60"/>
      <c r="JVQ8" s="60"/>
      <c r="JVR8" s="60"/>
      <c r="JVS8" s="60"/>
      <c r="JVT8" s="60"/>
      <c r="JVU8" s="60"/>
      <c r="JVV8" s="60"/>
      <c r="JVW8" s="60"/>
      <c r="JVX8" s="60"/>
      <c r="JVY8" s="60"/>
      <c r="JVZ8" s="60"/>
      <c r="JWA8" s="60"/>
      <c r="JWB8" s="60"/>
      <c r="JWC8" s="60"/>
      <c r="JWD8" s="60"/>
      <c r="JWE8" s="60"/>
      <c r="JWF8" s="60"/>
      <c r="JWG8" s="60"/>
      <c r="JWH8" s="60"/>
      <c r="JWI8" s="60"/>
      <c r="JWJ8" s="60"/>
      <c r="JWK8" s="60"/>
      <c r="JWL8" s="60"/>
      <c r="JWM8" s="60"/>
      <c r="JWN8" s="60"/>
      <c r="JWO8" s="60"/>
      <c r="JWP8" s="60"/>
      <c r="JWQ8" s="60"/>
      <c r="JWR8" s="60"/>
      <c r="JWS8" s="60"/>
      <c r="JWT8" s="60"/>
      <c r="JWU8" s="60"/>
      <c r="JWV8" s="60"/>
      <c r="JWW8" s="60"/>
      <c r="JWX8" s="60"/>
      <c r="JWY8" s="60"/>
      <c r="JWZ8" s="60"/>
      <c r="JXA8" s="60"/>
      <c r="JXB8" s="60"/>
      <c r="JXC8" s="60"/>
      <c r="JXD8" s="60"/>
      <c r="JXE8" s="60"/>
      <c r="JXF8" s="60"/>
      <c r="JXG8" s="60"/>
      <c r="JXH8" s="60"/>
      <c r="JXI8" s="60"/>
      <c r="JXJ8" s="60"/>
      <c r="JXK8" s="60"/>
      <c r="JXL8" s="60"/>
      <c r="JXM8" s="60"/>
      <c r="JXN8" s="60"/>
      <c r="JXO8" s="60"/>
      <c r="JXP8" s="60"/>
      <c r="JXQ8" s="60"/>
      <c r="JXR8" s="60"/>
      <c r="JXS8" s="60"/>
      <c r="JXT8" s="60"/>
      <c r="JXU8" s="60"/>
      <c r="JXV8" s="60"/>
      <c r="JXW8" s="60"/>
      <c r="JXX8" s="60"/>
      <c r="JXY8" s="60"/>
      <c r="JXZ8" s="60"/>
      <c r="JYA8" s="60"/>
      <c r="JYB8" s="60"/>
      <c r="JYC8" s="60"/>
      <c r="JYD8" s="60"/>
      <c r="JYE8" s="60"/>
      <c r="JYF8" s="60"/>
      <c r="JYG8" s="60"/>
      <c r="JYH8" s="60"/>
      <c r="JYI8" s="60"/>
      <c r="JYJ8" s="60"/>
      <c r="JYK8" s="60"/>
      <c r="JYL8" s="60"/>
      <c r="JYM8" s="60"/>
      <c r="JYN8" s="60"/>
      <c r="JYO8" s="60"/>
      <c r="JYP8" s="60"/>
      <c r="JYQ8" s="60"/>
      <c r="JYR8" s="60"/>
      <c r="JYS8" s="60"/>
      <c r="JYT8" s="60"/>
      <c r="JYU8" s="60"/>
      <c r="JYV8" s="60"/>
      <c r="JYW8" s="60"/>
      <c r="JYX8" s="60"/>
      <c r="JYY8" s="60"/>
      <c r="JYZ8" s="60"/>
      <c r="JZA8" s="60"/>
      <c r="JZB8" s="60"/>
      <c r="JZC8" s="60"/>
      <c r="JZD8" s="60"/>
      <c r="JZE8" s="60"/>
      <c r="JZF8" s="60"/>
      <c r="JZG8" s="60"/>
      <c r="JZH8" s="60"/>
      <c r="JZI8" s="60"/>
      <c r="JZJ8" s="60"/>
      <c r="JZK8" s="60"/>
      <c r="JZL8" s="60"/>
      <c r="JZM8" s="60"/>
      <c r="JZN8" s="60"/>
      <c r="JZO8" s="60"/>
      <c r="JZP8" s="60"/>
      <c r="JZQ8" s="60"/>
      <c r="JZR8" s="60"/>
      <c r="JZS8" s="60"/>
      <c r="JZT8" s="60"/>
      <c r="JZU8" s="60"/>
      <c r="JZV8" s="60"/>
      <c r="JZW8" s="60"/>
      <c r="JZX8" s="60"/>
      <c r="JZY8" s="60"/>
      <c r="JZZ8" s="60"/>
      <c r="KAA8" s="60"/>
      <c r="KAB8" s="60"/>
      <c r="KAC8" s="60"/>
      <c r="KAD8" s="60"/>
      <c r="KAE8" s="60"/>
      <c r="KAF8" s="60"/>
      <c r="KAG8" s="60"/>
      <c r="KAH8" s="60"/>
      <c r="KAI8" s="60"/>
      <c r="KAJ8" s="60"/>
      <c r="KAK8" s="60"/>
      <c r="KAL8" s="60"/>
      <c r="KAM8" s="60"/>
      <c r="KAN8" s="60"/>
      <c r="KAO8" s="60"/>
      <c r="KAP8" s="60"/>
      <c r="KAQ8" s="60"/>
      <c r="KAR8" s="60"/>
      <c r="KAS8" s="60"/>
      <c r="KAT8" s="60"/>
      <c r="KAU8" s="60"/>
      <c r="KAV8" s="60"/>
      <c r="KAW8" s="60"/>
      <c r="KAX8" s="60"/>
      <c r="KAY8" s="60"/>
      <c r="KAZ8" s="60"/>
      <c r="KBA8" s="60"/>
      <c r="KBB8" s="60"/>
      <c r="KBC8" s="60"/>
      <c r="KBD8" s="60"/>
      <c r="KBE8" s="60"/>
      <c r="KBF8" s="60"/>
      <c r="KBG8" s="60"/>
      <c r="KBH8" s="60"/>
      <c r="KBI8" s="60"/>
      <c r="KBJ8" s="60"/>
      <c r="KBK8" s="60"/>
      <c r="KBL8" s="60"/>
      <c r="KBM8" s="60"/>
      <c r="KBN8" s="60"/>
      <c r="KBO8" s="60"/>
      <c r="KBP8" s="60"/>
      <c r="KBQ8" s="60"/>
      <c r="KBR8" s="60"/>
      <c r="KBS8" s="60"/>
      <c r="KBT8" s="60"/>
      <c r="KBU8" s="60"/>
      <c r="KBV8" s="60"/>
      <c r="KBW8" s="60"/>
      <c r="KBX8" s="60"/>
      <c r="KBY8" s="60"/>
      <c r="KBZ8" s="60"/>
      <c r="KCA8" s="60"/>
      <c r="KCB8" s="60"/>
      <c r="KCC8" s="60"/>
      <c r="KCD8" s="60"/>
      <c r="KCE8" s="60"/>
      <c r="KCF8" s="60"/>
      <c r="KCG8" s="60"/>
      <c r="KCH8" s="60"/>
      <c r="KCI8" s="60"/>
      <c r="KCJ8" s="60"/>
      <c r="KCK8" s="60"/>
      <c r="KCL8" s="60"/>
      <c r="KCM8" s="60"/>
      <c r="KCN8" s="60"/>
      <c r="KCO8" s="60"/>
      <c r="KCP8" s="60"/>
      <c r="KCQ8" s="60"/>
      <c r="KCR8" s="60"/>
      <c r="KCS8" s="60"/>
      <c r="KCT8" s="60"/>
      <c r="KCU8" s="60"/>
      <c r="KCV8" s="60"/>
      <c r="KCW8" s="60"/>
      <c r="KCX8" s="60"/>
      <c r="KCY8" s="60"/>
      <c r="KCZ8" s="60"/>
      <c r="KDA8" s="60"/>
      <c r="KDB8" s="60"/>
      <c r="KDC8" s="60"/>
      <c r="KDD8" s="60"/>
      <c r="KDE8" s="60"/>
      <c r="KDF8" s="60"/>
      <c r="KDG8" s="60"/>
      <c r="KDH8" s="60"/>
      <c r="KDI8" s="60"/>
      <c r="KDJ8" s="60"/>
      <c r="KDK8" s="60"/>
      <c r="KDL8" s="60"/>
      <c r="KDM8" s="60"/>
      <c r="KDN8" s="60"/>
      <c r="KDO8" s="60"/>
      <c r="KDP8" s="60"/>
      <c r="KDQ8" s="60"/>
      <c r="KDR8" s="60"/>
      <c r="KDS8" s="60"/>
      <c r="KDT8" s="60"/>
      <c r="KDU8" s="60"/>
      <c r="KDV8" s="60"/>
      <c r="KDW8" s="60"/>
      <c r="KDX8" s="60"/>
      <c r="KDY8" s="60"/>
      <c r="KDZ8" s="60"/>
      <c r="KEA8" s="60"/>
      <c r="KEB8" s="60"/>
      <c r="KEC8" s="60"/>
      <c r="KED8" s="60"/>
      <c r="KEE8" s="60"/>
      <c r="KEF8" s="60"/>
      <c r="KEG8" s="60"/>
      <c r="KEH8" s="60"/>
      <c r="KEI8" s="60"/>
      <c r="KEJ8" s="60"/>
      <c r="KEK8" s="60"/>
      <c r="KEL8" s="60"/>
      <c r="KEM8" s="60"/>
      <c r="KEN8" s="60"/>
      <c r="KEO8" s="60"/>
      <c r="KEP8" s="60"/>
      <c r="KEQ8" s="60"/>
      <c r="KER8" s="60"/>
      <c r="KES8" s="60"/>
      <c r="KET8" s="60"/>
      <c r="KEU8" s="60"/>
      <c r="KEV8" s="60"/>
      <c r="KEW8" s="60"/>
      <c r="KEX8" s="60"/>
      <c r="KEY8" s="60"/>
      <c r="KEZ8" s="60"/>
      <c r="KFA8" s="60"/>
      <c r="KFB8" s="60"/>
      <c r="KFC8" s="60"/>
      <c r="KFD8" s="60"/>
      <c r="KFE8" s="60"/>
      <c r="KFF8" s="60"/>
      <c r="KFG8" s="60"/>
      <c r="KFH8" s="60"/>
      <c r="KFI8" s="60"/>
      <c r="KFJ8" s="60"/>
      <c r="KFK8" s="60"/>
      <c r="KFL8" s="60"/>
      <c r="KFM8" s="60"/>
      <c r="KFN8" s="60"/>
      <c r="KFO8" s="60"/>
      <c r="KFP8" s="60"/>
      <c r="KFQ8" s="60"/>
      <c r="KFR8" s="60"/>
      <c r="KFS8" s="60"/>
      <c r="KFT8" s="60"/>
      <c r="KFU8" s="60"/>
      <c r="KFV8" s="60"/>
      <c r="KFW8" s="60"/>
      <c r="KFX8" s="60"/>
      <c r="KFY8" s="60"/>
      <c r="KFZ8" s="60"/>
      <c r="KGA8" s="60"/>
      <c r="KGB8" s="60"/>
      <c r="KGC8" s="60"/>
      <c r="KGD8" s="60"/>
      <c r="KGE8" s="60"/>
      <c r="KGF8" s="60"/>
      <c r="KGG8" s="60"/>
      <c r="KGH8" s="60"/>
      <c r="KGI8" s="60"/>
      <c r="KGJ8" s="60"/>
      <c r="KGK8" s="60"/>
      <c r="KGL8" s="60"/>
      <c r="KGM8" s="60"/>
      <c r="KGN8" s="60"/>
      <c r="KGO8" s="60"/>
      <c r="KGP8" s="60"/>
      <c r="KGQ8" s="60"/>
      <c r="KGR8" s="60"/>
      <c r="KGS8" s="60"/>
      <c r="KGT8" s="60"/>
      <c r="KGU8" s="60"/>
      <c r="KGV8" s="60"/>
      <c r="KGW8" s="60"/>
      <c r="KGX8" s="60"/>
      <c r="KGY8" s="60"/>
      <c r="KGZ8" s="60"/>
      <c r="KHA8" s="60"/>
      <c r="KHB8" s="60"/>
      <c r="KHC8" s="60"/>
      <c r="KHD8" s="60"/>
      <c r="KHE8" s="60"/>
      <c r="KHF8" s="60"/>
      <c r="KHG8" s="60"/>
      <c r="KHH8" s="60"/>
      <c r="KHI8" s="60"/>
      <c r="KHJ8" s="60"/>
      <c r="KHK8" s="60"/>
      <c r="KHL8" s="60"/>
      <c r="KHM8" s="60"/>
      <c r="KHN8" s="60"/>
      <c r="KHO8" s="60"/>
      <c r="KHP8" s="60"/>
      <c r="KHQ8" s="60"/>
      <c r="KHR8" s="60"/>
      <c r="KHS8" s="60"/>
      <c r="KHT8" s="60"/>
      <c r="KHU8" s="60"/>
      <c r="KHV8" s="60"/>
      <c r="KHW8" s="60"/>
      <c r="KHX8" s="60"/>
      <c r="KHY8" s="60"/>
      <c r="KHZ8" s="60"/>
      <c r="KIA8" s="60"/>
      <c r="KIB8" s="60"/>
      <c r="KIC8" s="60"/>
      <c r="KID8" s="60"/>
      <c r="KIE8" s="60"/>
      <c r="KIF8" s="60"/>
      <c r="KIG8" s="60"/>
      <c r="KIH8" s="60"/>
      <c r="KII8" s="60"/>
      <c r="KIJ8" s="60"/>
      <c r="KIK8" s="60"/>
      <c r="KIL8" s="60"/>
      <c r="KIM8" s="60"/>
      <c r="KIN8" s="60"/>
      <c r="KIO8" s="60"/>
      <c r="KIP8" s="60"/>
      <c r="KIQ8" s="60"/>
      <c r="KIR8" s="60"/>
      <c r="KIS8" s="60"/>
      <c r="KIT8" s="60"/>
      <c r="KIU8" s="60"/>
      <c r="KIV8" s="60"/>
      <c r="KIW8" s="60"/>
      <c r="KIX8" s="60"/>
      <c r="KIY8" s="60"/>
      <c r="KIZ8" s="60"/>
      <c r="KJA8" s="60"/>
      <c r="KJB8" s="60"/>
      <c r="KJC8" s="60"/>
      <c r="KJD8" s="60"/>
      <c r="KJE8" s="60"/>
      <c r="KJF8" s="60"/>
      <c r="KJG8" s="60"/>
      <c r="KJH8" s="60"/>
      <c r="KJI8" s="60"/>
      <c r="KJJ8" s="60"/>
      <c r="KJK8" s="60"/>
      <c r="KJL8" s="60"/>
      <c r="KJM8" s="60"/>
      <c r="KJN8" s="60"/>
      <c r="KJO8" s="60"/>
      <c r="KJP8" s="60"/>
      <c r="KJQ8" s="60"/>
      <c r="KJR8" s="60"/>
      <c r="KJS8" s="60"/>
      <c r="KJT8" s="60"/>
      <c r="KJU8" s="60"/>
      <c r="KJV8" s="60"/>
      <c r="KJW8" s="60"/>
      <c r="KJX8" s="60"/>
      <c r="KJY8" s="60"/>
      <c r="KJZ8" s="60"/>
      <c r="KKA8" s="60"/>
      <c r="KKB8" s="60"/>
      <c r="KKC8" s="60"/>
      <c r="KKD8" s="60"/>
      <c r="KKE8" s="60"/>
      <c r="KKF8" s="60"/>
      <c r="KKG8" s="60"/>
      <c r="KKH8" s="60"/>
      <c r="KKI8" s="60"/>
      <c r="KKJ8" s="60"/>
      <c r="KKK8" s="60"/>
      <c r="KKL8" s="60"/>
      <c r="KKM8" s="60"/>
      <c r="KKN8" s="60"/>
      <c r="KKO8" s="60"/>
      <c r="KKP8" s="60"/>
      <c r="KKQ8" s="60"/>
      <c r="KKR8" s="60"/>
      <c r="KKS8" s="60"/>
      <c r="KKT8" s="60"/>
      <c r="KKU8" s="60"/>
      <c r="KKV8" s="60"/>
      <c r="KKW8" s="60"/>
      <c r="KKX8" s="60"/>
      <c r="KKY8" s="60"/>
      <c r="KKZ8" s="60"/>
      <c r="KLA8" s="60"/>
      <c r="KLB8" s="60"/>
      <c r="KLC8" s="60"/>
      <c r="KLD8" s="60"/>
      <c r="KLE8" s="60"/>
      <c r="KLF8" s="60"/>
      <c r="KLG8" s="60"/>
      <c r="KLH8" s="60"/>
      <c r="KLI8" s="60"/>
      <c r="KLJ8" s="60"/>
      <c r="KLK8" s="60"/>
      <c r="KLL8" s="60"/>
      <c r="KLM8" s="60"/>
      <c r="KLN8" s="60"/>
      <c r="KLO8" s="60"/>
      <c r="KLP8" s="60"/>
      <c r="KLQ8" s="60"/>
      <c r="KLR8" s="60"/>
      <c r="KLS8" s="60"/>
      <c r="KLT8" s="60"/>
      <c r="KLU8" s="60"/>
      <c r="KLV8" s="60"/>
      <c r="KLW8" s="60"/>
      <c r="KLX8" s="60"/>
      <c r="KLY8" s="60"/>
      <c r="KLZ8" s="60"/>
      <c r="KMA8" s="60"/>
      <c r="KMB8" s="60"/>
      <c r="KMC8" s="60"/>
      <c r="KMD8" s="60"/>
      <c r="KME8" s="60"/>
      <c r="KMF8" s="60"/>
      <c r="KMG8" s="60"/>
      <c r="KMH8" s="60"/>
      <c r="KMI8" s="60"/>
      <c r="KMJ8" s="60"/>
      <c r="KMK8" s="60"/>
      <c r="KML8" s="60"/>
      <c r="KMM8" s="60"/>
      <c r="KMN8" s="60"/>
      <c r="KMO8" s="60"/>
      <c r="KMP8" s="60"/>
      <c r="KMQ8" s="60"/>
      <c r="KMR8" s="60"/>
      <c r="KMS8" s="60"/>
      <c r="KMT8" s="60"/>
      <c r="KMU8" s="60"/>
      <c r="KMV8" s="60"/>
      <c r="KMW8" s="60"/>
      <c r="KMX8" s="60"/>
      <c r="KMY8" s="60"/>
      <c r="KMZ8" s="60"/>
      <c r="KNA8" s="60"/>
      <c r="KNB8" s="60"/>
      <c r="KNC8" s="60"/>
      <c r="KND8" s="60"/>
      <c r="KNE8" s="60"/>
      <c r="KNF8" s="60"/>
      <c r="KNG8" s="60"/>
      <c r="KNH8" s="60"/>
      <c r="KNI8" s="60"/>
      <c r="KNJ8" s="60"/>
      <c r="KNK8" s="60"/>
      <c r="KNL8" s="60"/>
      <c r="KNM8" s="60"/>
      <c r="KNN8" s="60"/>
      <c r="KNO8" s="60"/>
      <c r="KNP8" s="60"/>
      <c r="KNQ8" s="60"/>
      <c r="KNR8" s="60"/>
      <c r="KNS8" s="60"/>
      <c r="KNT8" s="60"/>
      <c r="KNU8" s="60"/>
      <c r="KNV8" s="60"/>
      <c r="KNW8" s="60"/>
      <c r="KNX8" s="60"/>
      <c r="KNY8" s="60"/>
      <c r="KNZ8" s="60"/>
      <c r="KOA8" s="60"/>
      <c r="KOB8" s="60"/>
      <c r="KOC8" s="60"/>
      <c r="KOD8" s="60"/>
      <c r="KOE8" s="60"/>
      <c r="KOF8" s="60"/>
      <c r="KOG8" s="60"/>
      <c r="KOH8" s="60"/>
      <c r="KOI8" s="60"/>
      <c r="KOJ8" s="60"/>
      <c r="KOK8" s="60"/>
      <c r="KOL8" s="60"/>
      <c r="KOM8" s="60"/>
      <c r="KON8" s="60"/>
      <c r="KOO8" s="60"/>
      <c r="KOP8" s="60"/>
      <c r="KOQ8" s="60"/>
      <c r="KOR8" s="60"/>
      <c r="KOS8" s="60"/>
      <c r="KOT8" s="60"/>
      <c r="KOU8" s="60"/>
      <c r="KOV8" s="60"/>
      <c r="KOW8" s="60"/>
      <c r="KOX8" s="60"/>
      <c r="KOY8" s="60"/>
      <c r="KOZ8" s="60"/>
      <c r="KPA8" s="60"/>
      <c r="KPB8" s="60"/>
      <c r="KPC8" s="60"/>
      <c r="KPD8" s="60"/>
      <c r="KPE8" s="60"/>
      <c r="KPF8" s="60"/>
      <c r="KPG8" s="60"/>
      <c r="KPH8" s="60"/>
      <c r="KPI8" s="60"/>
      <c r="KPJ8" s="60"/>
      <c r="KPK8" s="60"/>
      <c r="KPL8" s="60"/>
      <c r="KPM8" s="60"/>
      <c r="KPN8" s="60"/>
      <c r="KPO8" s="60"/>
      <c r="KPP8" s="60"/>
      <c r="KPQ8" s="60"/>
      <c r="KPR8" s="60"/>
      <c r="KPS8" s="60"/>
      <c r="KPT8" s="60"/>
      <c r="KPU8" s="60"/>
      <c r="KPV8" s="60"/>
      <c r="KPW8" s="60"/>
      <c r="KPX8" s="60"/>
      <c r="KPY8" s="60"/>
      <c r="KPZ8" s="60"/>
      <c r="KQA8" s="60"/>
      <c r="KQB8" s="60"/>
      <c r="KQC8" s="60"/>
      <c r="KQD8" s="60"/>
      <c r="KQE8" s="60"/>
      <c r="KQF8" s="60"/>
      <c r="KQG8" s="60"/>
      <c r="KQH8" s="60"/>
      <c r="KQI8" s="60"/>
      <c r="KQJ8" s="60"/>
      <c r="KQK8" s="60"/>
      <c r="KQL8" s="60"/>
      <c r="KQM8" s="60"/>
      <c r="KQN8" s="60"/>
      <c r="KQO8" s="60"/>
      <c r="KQP8" s="60"/>
      <c r="KQQ8" s="60"/>
      <c r="KQR8" s="60"/>
      <c r="KQS8" s="60"/>
      <c r="KQT8" s="60"/>
      <c r="KQU8" s="60"/>
      <c r="KQV8" s="60"/>
      <c r="KQW8" s="60"/>
      <c r="KQX8" s="60"/>
      <c r="KQY8" s="60"/>
      <c r="KQZ8" s="60"/>
      <c r="KRA8" s="60"/>
      <c r="KRB8" s="60"/>
      <c r="KRC8" s="60"/>
      <c r="KRD8" s="60"/>
      <c r="KRE8" s="60"/>
      <c r="KRF8" s="60"/>
      <c r="KRG8" s="60"/>
      <c r="KRH8" s="60"/>
      <c r="KRI8" s="60"/>
      <c r="KRJ8" s="60"/>
      <c r="KRK8" s="60"/>
      <c r="KRL8" s="60"/>
      <c r="KRM8" s="60"/>
      <c r="KRN8" s="60"/>
      <c r="KRO8" s="60"/>
      <c r="KRP8" s="60"/>
      <c r="KRQ8" s="60"/>
      <c r="KRR8" s="60"/>
      <c r="KRS8" s="60"/>
      <c r="KRT8" s="60"/>
      <c r="KRU8" s="60"/>
      <c r="KRV8" s="60"/>
      <c r="KRW8" s="60"/>
      <c r="KRX8" s="60"/>
      <c r="KRY8" s="60"/>
      <c r="KRZ8" s="60"/>
      <c r="KSA8" s="60"/>
      <c r="KSB8" s="60"/>
      <c r="KSC8" s="60"/>
      <c r="KSD8" s="60"/>
      <c r="KSE8" s="60"/>
      <c r="KSF8" s="60"/>
      <c r="KSG8" s="60"/>
      <c r="KSH8" s="60"/>
      <c r="KSI8" s="60"/>
      <c r="KSJ8" s="60"/>
      <c r="KSK8" s="60"/>
      <c r="KSL8" s="60"/>
      <c r="KSM8" s="60"/>
      <c r="KSN8" s="60"/>
      <c r="KSO8" s="60"/>
      <c r="KSP8" s="60"/>
      <c r="KSQ8" s="60"/>
      <c r="KSR8" s="60"/>
      <c r="KSS8" s="60"/>
      <c r="KST8" s="60"/>
      <c r="KSU8" s="60"/>
      <c r="KSV8" s="60"/>
      <c r="KSW8" s="60"/>
      <c r="KSX8" s="60"/>
      <c r="KSY8" s="60"/>
      <c r="KSZ8" s="60"/>
      <c r="KTA8" s="60"/>
      <c r="KTB8" s="60"/>
      <c r="KTC8" s="60"/>
      <c r="KTD8" s="60"/>
      <c r="KTE8" s="60"/>
      <c r="KTF8" s="60"/>
      <c r="KTG8" s="60"/>
      <c r="KTH8" s="60"/>
      <c r="KTI8" s="60"/>
      <c r="KTJ8" s="60"/>
      <c r="KTK8" s="60"/>
      <c r="KTL8" s="60"/>
      <c r="KTM8" s="60"/>
      <c r="KTN8" s="60"/>
      <c r="KTO8" s="60"/>
      <c r="KTP8" s="60"/>
      <c r="KTQ8" s="60"/>
      <c r="KTR8" s="60"/>
      <c r="KTS8" s="60"/>
      <c r="KTT8" s="60"/>
      <c r="KTU8" s="60"/>
      <c r="KTV8" s="60"/>
      <c r="KTW8" s="60"/>
      <c r="KTX8" s="60"/>
      <c r="KTY8" s="60"/>
      <c r="KTZ8" s="60"/>
      <c r="KUA8" s="60"/>
      <c r="KUB8" s="60"/>
      <c r="KUC8" s="60"/>
      <c r="KUD8" s="60"/>
      <c r="KUE8" s="60"/>
      <c r="KUF8" s="60"/>
      <c r="KUG8" s="60"/>
      <c r="KUH8" s="60"/>
      <c r="KUI8" s="60"/>
      <c r="KUJ8" s="60"/>
      <c r="KUK8" s="60"/>
      <c r="KUL8" s="60"/>
      <c r="KUM8" s="60"/>
      <c r="KUN8" s="60"/>
      <c r="KUO8" s="60"/>
      <c r="KUP8" s="60"/>
      <c r="KUQ8" s="60"/>
      <c r="KUR8" s="60"/>
      <c r="KUS8" s="60"/>
      <c r="KUT8" s="60"/>
      <c r="KUU8" s="60"/>
      <c r="KUV8" s="60"/>
      <c r="KUW8" s="60"/>
      <c r="KUX8" s="60"/>
      <c r="KUY8" s="60"/>
      <c r="KUZ8" s="60"/>
      <c r="KVA8" s="60"/>
      <c r="KVB8" s="60"/>
      <c r="KVC8" s="60"/>
      <c r="KVD8" s="60"/>
      <c r="KVE8" s="60"/>
      <c r="KVF8" s="60"/>
      <c r="KVG8" s="60"/>
      <c r="KVH8" s="60"/>
      <c r="KVI8" s="60"/>
      <c r="KVJ8" s="60"/>
      <c r="KVK8" s="60"/>
      <c r="KVL8" s="60"/>
      <c r="KVM8" s="60"/>
      <c r="KVN8" s="60"/>
      <c r="KVO8" s="60"/>
      <c r="KVP8" s="60"/>
      <c r="KVQ8" s="60"/>
      <c r="KVR8" s="60"/>
      <c r="KVS8" s="60"/>
      <c r="KVT8" s="60"/>
      <c r="KVU8" s="60"/>
      <c r="KVV8" s="60"/>
      <c r="KVW8" s="60"/>
      <c r="KVX8" s="60"/>
      <c r="KVY8" s="60"/>
      <c r="KVZ8" s="60"/>
      <c r="KWA8" s="60"/>
      <c r="KWB8" s="60"/>
      <c r="KWC8" s="60"/>
      <c r="KWD8" s="60"/>
      <c r="KWE8" s="60"/>
      <c r="KWF8" s="60"/>
      <c r="KWG8" s="60"/>
      <c r="KWH8" s="60"/>
      <c r="KWI8" s="60"/>
      <c r="KWJ8" s="60"/>
      <c r="KWK8" s="60"/>
      <c r="KWL8" s="60"/>
      <c r="KWM8" s="60"/>
      <c r="KWN8" s="60"/>
      <c r="KWO8" s="60"/>
      <c r="KWP8" s="60"/>
      <c r="KWQ8" s="60"/>
      <c r="KWR8" s="60"/>
      <c r="KWS8" s="60"/>
      <c r="KWT8" s="60"/>
      <c r="KWU8" s="60"/>
      <c r="KWV8" s="60"/>
      <c r="KWW8" s="60"/>
      <c r="KWX8" s="60"/>
      <c r="KWY8" s="60"/>
      <c r="KWZ8" s="60"/>
      <c r="KXA8" s="60"/>
      <c r="KXB8" s="60"/>
      <c r="KXC8" s="60"/>
      <c r="KXD8" s="60"/>
      <c r="KXE8" s="60"/>
      <c r="KXF8" s="60"/>
      <c r="KXG8" s="60"/>
      <c r="KXH8" s="60"/>
      <c r="KXI8" s="60"/>
      <c r="KXJ8" s="60"/>
      <c r="KXK8" s="60"/>
      <c r="KXL8" s="60"/>
      <c r="KXM8" s="60"/>
      <c r="KXN8" s="60"/>
      <c r="KXO8" s="60"/>
      <c r="KXP8" s="60"/>
      <c r="KXQ8" s="60"/>
      <c r="KXR8" s="60"/>
      <c r="KXS8" s="60"/>
      <c r="KXT8" s="60"/>
      <c r="KXU8" s="60"/>
      <c r="KXV8" s="60"/>
      <c r="KXW8" s="60"/>
      <c r="KXX8" s="60"/>
      <c r="KXY8" s="60"/>
      <c r="KXZ8" s="60"/>
      <c r="KYA8" s="60"/>
      <c r="KYB8" s="60"/>
      <c r="KYC8" s="60"/>
      <c r="KYD8" s="60"/>
      <c r="KYE8" s="60"/>
      <c r="KYF8" s="60"/>
      <c r="KYG8" s="60"/>
      <c r="KYH8" s="60"/>
      <c r="KYI8" s="60"/>
      <c r="KYJ8" s="60"/>
      <c r="KYK8" s="60"/>
      <c r="KYL8" s="60"/>
      <c r="KYM8" s="60"/>
      <c r="KYN8" s="60"/>
      <c r="KYO8" s="60"/>
      <c r="KYP8" s="60"/>
      <c r="KYQ8" s="60"/>
      <c r="KYR8" s="60"/>
      <c r="KYS8" s="60"/>
      <c r="KYT8" s="60"/>
      <c r="KYU8" s="60"/>
      <c r="KYV8" s="60"/>
      <c r="KYW8" s="60"/>
      <c r="KYX8" s="60"/>
      <c r="KYY8" s="60"/>
      <c r="KYZ8" s="60"/>
      <c r="KZA8" s="60"/>
      <c r="KZB8" s="60"/>
      <c r="KZC8" s="60"/>
      <c r="KZD8" s="60"/>
      <c r="KZE8" s="60"/>
      <c r="KZF8" s="60"/>
      <c r="KZG8" s="60"/>
      <c r="KZH8" s="60"/>
      <c r="KZI8" s="60"/>
      <c r="KZJ8" s="60"/>
      <c r="KZK8" s="60"/>
      <c r="KZL8" s="60"/>
      <c r="KZM8" s="60"/>
      <c r="KZN8" s="60"/>
      <c r="KZO8" s="60"/>
      <c r="KZP8" s="60"/>
      <c r="KZQ8" s="60"/>
      <c r="KZR8" s="60"/>
      <c r="KZS8" s="60"/>
      <c r="KZT8" s="60"/>
      <c r="KZU8" s="60"/>
      <c r="KZV8" s="60"/>
      <c r="KZW8" s="60"/>
      <c r="KZX8" s="60"/>
      <c r="KZY8" s="60"/>
      <c r="KZZ8" s="60"/>
      <c r="LAA8" s="60"/>
      <c r="LAB8" s="60"/>
      <c r="LAC8" s="60"/>
      <c r="LAD8" s="60"/>
      <c r="LAE8" s="60"/>
      <c r="LAF8" s="60"/>
      <c r="LAG8" s="60"/>
      <c r="LAH8" s="60"/>
      <c r="LAI8" s="60"/>
      <c r="LAJ8" s="60"/>
      <c r="LAK8" s="60"/>
      <c r="LAL8" s="60"/>
      <c r="LAM8" s="60"/>
      <c r="LAN8" s="60"/>
      <c r="LAO8" s="60"/>
      <c r="LAP8" s="60"/>
      <c r="LAQ8" s="60"/>
      <c r="LAR8" s="60"/>
      <c r="LAS8" s="60"/>
      <c r="LAT8" s="60"/>
      <c r="LAU8" s="60"/>
      <c r="LAV8" s="60"/>
      <c r="LAW8" s="60"/>
      <c r="LAX8" s="60"/>
      <c r="LAY8" s="60"/>
      <c r="LAZ8" s="60"/>
      <c r="LBA8" s="60"/>
      <c r="LBB8" s="60"/>
      <c r="LBC8" s="60"/>
      <c r="LBD8" s="60"/>
      <c r="LBE8" s="60"/>
      <c r="LBF8" s="60"/>
      <c r="LBG8" s="60"/>
      <c r="LBH8" s="60"/>
      <c r="LBI8" s="60"/>
      <c r="LBJ8" s="60"/>
      <c r="LBK8" s="60"/>
      <c r="LBL8" s="60"/>
      <c r="LBM8" s="60"/>
      <c r="LBN8" s="60"/>
      <c r="LBO8" s="60"/>
      <c r="LBP8" s="60"/>
      <c r="LBQ8" s="60"/>
      <c r="LBR8" s="60"/>
      <c r="LBS8" s="60"/>
      <c r="LBT8" s="60"/>
      <c r="LBU8" s="60"/>
      <c r="LBV8" s="60"/>
      <c r="LBW8" s="60"/>
      <c r="LBX8" s="60"/>
      <c r="LBY8" s="60"/>
      <c r="LBZ8" s="60"/>
      <c r="LCA8" s="60"/>
      <c r="LCB8" s="60"/>
      <c r="LCC8" s="60"/>
      <c r="LCD8" s="60"/>
      <c r="LCE8" s="60"/>
      <c r="LCF8" s="60"/>
      <c r="LCG8" s="60"/>
      <c r="LCH8" s="60"/>
      <c r="LCI8" s="60"/>
      <c r="LCJ8" s="60"/>
      <c r="LCK8" s="60"/>
      <c r="LCL8" s="60"/>
      <c r="LCM8" s="60"/>
      <c r="LCN8" s="60"/>
      <c r="LCO8" s="60"/>
      <c r="LCP8" s="60"/>
      <c r="LCQ8" s="60"/>
      <c r="LCR8" s="60"/>
      <c r="LCS8" s="60"/>
      <c r="LCT8" s="60"/>
      <c r="LCU8" s="60"/>
      <c r="LCV8" s="60"/>
      <c r="LCW8" s="60"/>
      <c r="LCX8" s="60"/>
      <c r="LCY8" s="60"/>
      <c r="LCZ8" s="60"/>
      <c r="LDA8" s="60"/>
      <c r="LDB8" s="60"/>
      <c r="LDC8" s="60"/>
      <c r="LDD8" s="60"/>
      <c r="LDE8" s="60"/>
      <c r="LDF8" s="60"/>
      <c r="LDG8" s="60"/>
      <c r="LDH8" s="60"/>
      <c r="LDI8" s="60"/>
      <c r="LDJ8" s="60"/>
      <c r="LDK8" s="60"/>
      <c r="LDL8" s="60"/>
      <c r="LDM8" s="60"/>
      <c r="LDN8" s="60"/>
      <c r="LDO8" s="60"/>
      <c r="LDP8" s="60"/>
      <c r="LDQ8" s="60"/>
      <c r="LDR8" s="60"/>
      <c r="LDS8" s="60"/>
      <c r="LDT8" s="60"/>
      <c r="LDU8" s="60"/>
      <c r="LDV8" s="60"/>
      <c r="LDW8" s="60"/>
      <c r="LDX8" s="60"/>
      <c r="LDY8" s="60"/>
      <c r="LDZ8" s="60"/>
      <c r="LEA8" s="60"/>
      <c r="LEB8" s="60"/>
      <c r="LEC8" s="60"/>
      <c r="LED8" s="60"/>
      <c r="LEE8" s="60"/>
      <c r="LEF8" s="60"/>
      <c r="LEG8" s="60"/>
      <c r="LEH8" s="60"/>
      <c r="LEI8" s="60"/>
      <c r="LEJ8" s="60"/>
      <c r="LEK8" s="60"/>
      <c r="LEL8" s="60"/>
      <c r="LEM8" s="60"/>
      <c r="LEN8" s="60"/>
      <c r="LEO8" s="60"/>
      <c r="LEP8" s="60"/>
      <c r="LEQ8" s="60"/>
      <c r="LER8" s="60"/>
      <c r="LES8" s="60"/>
      <c r="LET8" s="60"/>
      <c r="LEU8" s="60"/>
      <c r="LEV8" s="60"/>
      <c r="LEW8" s="60"/>
      <c r="LEX8" s="60"/>
      <c r="LEY8" s="60"/>
      <c r="LEZ8" s="60"/>
      <c r="LFA8" s="60"/>
      <c r="LFB8" s="60"/>
      <c r="LFC8" s="60"/>
      <c r="LFD8" s="60"/>
      <c r="LFE8" s="60"/>
      <c r="LFF8" s="60"/>
      <c r="LFG8" s="60"/>
      <c r="LFH8" s="60"/>
      <c r="LFI8" s="60"/>
      <c r="LFJ8" s="60"/>
      <c r="LFK8" s="60"/>
      <c r="LFL8" s="60"/>
      <c r="LFM8" s="60"/>
      <c r="LFN8" s="60"/>
      <c r="LFO8" s="60"/>
      <c r="LFP8" s="60"/>
      <c r="LFQ8" s="60"/>
      <c r="LFR8" s="60"/>
      <c r="LFS8" s="60"/>
      <c r="LFT8" s="60"/>
      <c r="LFU8" s="60"/>
      <c r="LFV8" s="60"/>
      <c r="LFW8" s="60"/>
      <c r="LFX8" s="60"/>
      <c r="LFY8" s="60"/>
      <c r="LFZ8" s="60"/>
      <c r="LGA8" s="60"/>
      <c r="LGB8" s="60"/>
      <c r="LGC8" s="60"/>
      <c r="LGD8" s="60"/>
      <c r="LGE8" s="60"/>
      <c r="LGF8" s="60"/>
      <c r="LGG8" s="60"/>
      <c r="LGH8" s="60"/>
      <c r="LGI8" s="60"/>
      <c r="LGJ8" s="60"/>
      <c r="LGK8" s="60"/>
      <c r="LGL8" s="60"/>
      <c r="LGM8" s="60"/>
      <c r="LGN8" s="60"/>
      <c r="LGO8" s="60"/>
      <c r="LGP8" s="60"/>
      <c r="LGQ8" s="60"/>
      <c r="LGR8" s="60"/>
      <c r="LGS8" s="60"/>
      <c r="LGT8" s="60"/>
      <c r="LGU8" s="60"/>
      <c r="LGV8" s="60"/>
      <c r="LGW8" s="60"/>
      <c r="LGX8" s="60"/>
      <c r="LGY8" s="60"/>
      <c r="LGZ8" s="60"/>
      <c r="LHA8" s="60"/>
      <c r="LHB8" s="60"/>
      <c r="LHC8" s="60"/>
      <c r="LHD8" s="60"/>
      <c r="LHE8" s="60"/>
      <c r="LHF8" s="60"/>
      <c r="LHG8" s="60"/>
      <c r="LHH8" s="60"/>
      <c r="LHI8" s="60"/>
      <c r="LHJ8" s="60"/>
      <c r="LHK8" s="60"/>
      <c r="LHL8" s="60"/>
      <c r="LHM8" s="60"/>
      <c r="LHN8" s="60"/>
      <c r="LHO8" s="60"/>
      <c r="LHP8" s="60"/>
      <c r="LHQ8" s="60"/>
      <c r="LHR8" s="60"/>
      <c r="LHS8" s="60"/>
      <c r="LHT8" s="60"/>
      <c r="LHU8" s="60"/>
      <c r="LHV8" s="60"/>
      <c r="LHW8" s="60"/>
      <c r="LHX8" s="60"/>
      <c r="LHY8" s="60"/>
      <c r="LHZ8" s="60"/>
      <c r="LIA8" s="60"/>
      <c r="LIB8" s="60"/>
      <c r="LIC8" s="60"/>
      <c r="LID8" s="60"/>
      <c r="LIE8" s="60"/>
      <c r="LIF8" s="60"/>
      <c r="LIG8" s="60"/>
      <c r="LIH8" s="60"/>
      <c r="LII8" s="60"/>
      <c r="LIJ8" s="60"/>
      <c r="LIK8" s="60"/>
      <c r="LIL8" s="60"/>
      <c r="LIM8" s="60"/>
      <c r="LIN8" s="60"/>
      <c r="LIO8" s="60"/>
      <c r="LIP8" s="60"/>
      <c r="LIQ8" s="60"/>
      <c r="LIR8" s="60"/>
      <c r="LIS8" s="60"/>
      <c r="LIT8" s="60"/>
      <c r="LIU8" s="60"/>
      <c r="LIV8" s="60"/>
      <c r="LIW8" s="60"/>
      <c r="LIX8" s="60"/>
      <c r="LIY8" s="60"/>
      <c r="LIZ8" s="60"/>
      <c r="LJA8" s="60"/>
      <c r="LJB8" s="60"/>
      <c r="LJC8" s="60"/>
      <c r="LJD8" s="60"/>
      <c r="LJE8" s="60"/>
      <c r="LJF8" s="60"/>
      <c r="LJG8" s="60"/>
      <c r="LJH8" s="60"/>
      <c r="LJI8" s="60"/>
      <c r="LJJ8" s="60"/>
      <c r="LJK8" s="60"/>
      <c r="LJL8" s="60"/>
      <c r="LJM8" s="60"/>
      <c r="LJN8" s="60"/>
      <c r="LJO8" s="60"/>
      <c r="LJP8" s="60"/>
      <c r="LJQ8" s="60"/>
      <c r="LJR8" s="60"/>
      <c r="LJS8" s="60"/>
      <c r="LJT8" s="60"/>
      <c r="LJU8" s="60"/>
      <c r="LJV8" s="60"/>
      <c r="LJW8" s="60"/>
      <c r="LJX8" s="60"/>
      <c r="LJY8" s="60"/>
      <c r="LJZ8" s="60"/>
      <c r="LKA8" s="60"/>
      <c r="LKB8" s="60"/>
      <c r="LKC8" s="60"/>
      <c r="LKD8" s="60"/>
      <c r="LKE8" s="60"/>
      <c r="LKF8" s="60"/>
      <c r="LKG8" s="60"/>
      <c r="LKH8" s="60"/>
      <c r="LKI8" s="60"/>
      <c r="LKJ8" s="60"/>
      <c r="LKK8" s="60"/>
      <c r="LKL8" s="60"/>
      <c r="LKM8" s="60"/>
      <c r="LKN8" s="60"/>
      <c r="LKO8" s="60"/>
      <c r="LKP8" s="60"/>
      <c r="LKQ8" s="60"/>
      <c r="LKR8" s="60"/>
      <c r="LKS8" s="60"/>
      <c r="LKT8" s="60"/>
      <c r="LKU8" s="60"/>
      <c r="LKV8" s="60"/>
      <c r="LKW8" s="60"/>
      <c r="LKX8" s="60"/>
      <c r="LKY8" s="60"/>
      <c r="LKZ8" s="60"/>
      <c r="LLA8" s="60"/>
      <c r="LLB8" s="60"/>
      <c r="LLC8" s="60"/>
      <c r="LLD8" s="60"/>
      <c r="LLE8" s="60"/>
      <c r="LLF8" s="60"/>
      <c r="LLG8" s="60"/>
      <c r="LLH8" s="60"/>
      <c r="LLI8" s="60"/>
      <c r="LLJ8" s="60"/>
      <c r="LLK8" s="60"/>
      <c r="LLL8" s="60"/>
      <c r="LLM8" s="60"/>
      <c r="LLN8" s="60"/>
      <c r="LLO8" s="60"/>
      <c r="LLP8" s="60"/>
      <c r="LLQ8" s="60"/>
      <c r="LLR8" s="60"/>
      <c r="LLS8" s="60"/>
      <c r="LLT8" s="60"/>
      <c r="LLU8" s="60"/>
      <c r="LLV8" s="60"/>
      <c r="LLW8" s="60"/>
      <c r="LLX8" s="60"/>
      <c r="LLY8" s="60"/>
      <c r="LLZ8" s="60"/>
      <c r="LMA8" s="60"/>
      <c r="LMB8" s="60"/>
      <c r="LMC8" s="60"/>
      <c r="LMD8" s="60"/>
      <c r="LME8" s="60"/>
      <c r="LMF8" s="60"/>
      <c r="LMG8" s="60"/>
      <c r="LMH8" s="60"/>
      <c r="LMI8" s="60"/>
      <c r="LMJ8" s="60"/>
      <c r="LMK8" s="60"/>
      <c r="LML8" s="60"/>
      <c r="LMM8" s="60"/>
      <c r="LMN8" s="60"/>
      <c r="LMO8" s="60"/>
      <c r="LMP8" s="60"/>
      <c r="LMQ8" s="60"/>
      <c r="LMR8" s="60"/>
      <c r="LMS8" s="60"/>
      <c r="LMT8" s="60"/>
      <c r="LMU8" s="60"/>
      <c r="LMV8" s="60"/>
      <c r="LMW8" s="60"/>
      <c r="LMX8" s="60"/>
      <c r="LMY8" s="60"/>
      <c r="LMZ8" s="60"/>
      <c r="LNA8" s="60"/>
      <c r="LNB8" s="60"/>
      <c r="LNC8" s="60"/>
      <c r="LND8" s="60"/>
      <c r="LNE8" s="60"/>
      <c r="LNF8" s="60"/>
      <c r="LNG8" s="60"/>
      <c r="LNH8" s="60"/>
      <c r="LNI8" s="60"/>
      <c r="LNJ8" s="60"/>
      <c r="LNK8" s="60"/>
      <c r="LNL8" s="60"/>
      <c r="LNM8" s="60"/>
      <c r="LNN8" s="60"/>
      <c r="LNO8" s="60"/>
      <c r="LNP8" s="60"/>
      <c r="LNQ8" s="60"/>
      <c r="LNR8" s="60"/>
      <c r="LNS8" s="60"/>
      <c r="LNT8" s="60"/>
      <c r="LNU8" s="60"/>
      <c r="LNV8" s="60"/>
      <c r="LNW8" s="60"/>
      <c r="LNX8" s="60"/>
      <c r="LNY8" s="60"/>
      <c r="LNZ8" s="60"/>
      <c r="LOA8" s="60"/>
      <c r="LOB8" s="60"/>
      <c r="LOC8" s="60"/>
      <c r="LOD8" s="60"/>
      <c r="LOE8" s="60"/>
      <c r="LOF8" s="60"/>
      <c r="LOG8" s="60"/>
      <c r="LOH8" s="60"/>
      <c r="LOI8" s="60"/>
      <c r="LOJ8" s="60"/>
      <c r="LOK8" s="60"/>
      <c r="LOL8" s="60"/>
      <c r="LOM8" s="60"/>
      <c r="LON8" s="60"/>
      <c r="LOO8" s="60"/>
      <c r="LOP8" s="60"/>
      <c r="LOQ8" s="60"/>
      <c r="LOR8" s="60"/>
      <c r="LOS8" s="60"/>
      <c r="LOT8" s="60"/>
      <c r="LOU8" s="60"/>
      <c r="LOV8" s="60"/>
      <c r="LOW8" s="60"/>
      <c r="LOX8" s="60"/>
      <c r="LOY8" s="60"/>
      <c r="LOZ8" s="60"/>
      <c r="LPA8" s="60"/>
      <c r="LPB8" s="60"/>
      <c r="LPC8" s="60"/>
      <c r="LPD8" s="60"/>
      <c r="LPE8" s="60"/>
      <c r="LPF8" s="60"/>
      <c r="LPG8" s="60"/>
      <c r="LPH8" s="60"/>
      <c r="LPI8" s="60"/>
      <c r="LPJ8" s="60"/>
      <c r="LPK8" s="60"/>
      <c r="LPL8" s="60"/>
      <c r="LPM8" s="60"/>
      <c r="LPN8" s="60"/>
      <c r="LPO8" s="60"/>
      <c r="LPP8" s="60"/>
      <c r="LPQ8" s="60"/>
      <c r="LPR8" s="60"/>
      <c r="LPS8" s="60"/>
      <c r="LPT8" s="60"/>
      <c r="LPU8" s="60"/>
      <c r="LPV8" s="60"/>
      <c r="LPW8" s="60"/>
      <c r="LPX8" s="60"/>
      <c r="LPY8" s="60"/>
      <c r="LPZ8" s="60"/>
      <c r="LQA8" s="60"/>
      <c r="LQB8" s="60"/>
      <c r="LQC8" s="60"/>
      <c r="LQD8" s="60"/>
      <c r="LQE8" s="60"/>
      <c r="LQF8" s="60"/>
      <c r="LQG8" s="60"/>
      <c r="LQH8" s="60"/>
      <c r="LQI8" s="60"/>
      <c r="LQJ8" s="60"/>
      <c r="LQK8" s="60"/>
      <c r="LQL8" s="60"/>
      <c r="LQM8" s="60"/>
      <c r="LQN8" s="60"/>
      <c r="LQO8" s="60"/>
      <c r="LQP8" s="60"/>
      <c r="LQQ8" s="60"/>
      <c r="LQR8" s="60"/>
      <c r="LQS8" s="60"/>
      <c r="LQT8" s="60"/>
      <c r="LQU8" s="60"/>
      <c r="LQV8" s="60"/>
      <c r="LQW8" s="60"/>
      <c r="LQX8" s="60"/>
      <c r="LQY8" s="60"/>
      <c r="LQZ8" s="60"/>
      <c r="LRA8" s="60"/>
      <c r="LRB8" s="60"/>
      <c r="LRC8" s="60"/>
      <c r="LRD8" s="60"/>
      <c r="LRE8" s="60"/>
      <c r="LRF8" s="60"/>
      <c r="LRG8" s="60"/>
      <c r="LRH8" s="60"/>
      <c r="LRI8" s="60"/>
      <c r="LRJ8" s="60"/>
      <c r="LRK8" s="60"/>
      <c r="LRL8" s="60"/>
      <c r="LRM8" s="60"/>
      <c r="LRN8" s="60"/>
      <c r="LRO8" s="60"/>
      <c r="LRP8" s="60"/>
      <c r="LRQ8" s="60"/>
      <c r="LRR8" s="60"/>
      <c r="LRS8" s="60"/>
      <c r="LRT8" s="60"/>
      <c r="LRU8" s="60"/>
      <c r="LRV8" s="60"/>
      <c r="LRW8" s="60"/>
      <c r="LRX8" s="60"/>
      <c r="LRY8" s="60"/>
      <c r="LRZ8" s="60"/>
      <c r="LSA8" s="60"/>
      <c r="LSB8" s="60"/>
      <c r="LSC8" s="60"/>
      <c r="LSD8" s="60"/>
      <c r="LSE8" s="60"/>
      <c r="LSF8" s="60"/>
      <c r="LSG8" s="60"/>
      <c r="LSH8" s="60"/>
      <c r="LSI8" s="60"/>
      <c r="LSJ8" s="60"/>
      <c r="LSK8" s="60"/>
      <c r="LSL8" s="60"/>
      <c r="LSM8" s="60"/>
      <c r="LSN8" s="60"/>
      <c r="LSO8" s="60"/>
      <c r="LSP8" s="60"/>
      <c r="LSQ8" s="60"/>
      <c r="LSR8" s="60"/>
      <c r="LSS8" s="60"/>
      <c r="LST8" s="60"/>
      <c r="LSU8" s="60"/>
      <c r="LSV8" s="60"/>
      <c r="LSW8" s="60"/>
      <c r="LSX8" s="60"/>
      <c r="LSY8" s="60"/>
      <c r="LSZ8" s="60"/>
      <c r="LTA8" s="60"/>
      <c r="LTB8" s="60"/>
      <c r="LTC8" s="60"/>
      <c r="LTD8" s="60"/>
      <c r="LTE8" s="60"/>
      <c r="LTF8" s="60"/>
      <c r="LTG8" s="60"/>
      <c r="LTH8" s="60"/>
      <c r="LTI8" s="60"/>
      <c r="LTJ8" s="60"/>
      <c r="LTK8" s="60"/>
      <c r="LTL8" s="60"/>
      <c r="LTM8" s="60"/>
      <c r="LTN8" s="60"/>
      <c r="LTO8" s="60"/>
      <c r="LTP8" s="60"/>
      <c r="LTQ8" s="60"/>
      <c r="LTR8" s="60"/>
      <c r="LTS8" s="60"/>
      <c r="LTT8" s="60"/>
      <c r="LTU8" s="60"/>
      <c r="LTV8" s="60"/>
      <c r="LTW8" s="60"/>
      <c r="LTX8" s="60"/>
      <c r="LTY8" s="60"/>
      <c r="LTZ8" s="60"/>
      <c r="LUA8" s="60"/>
      <c r="LUB8" s="60"/>
      <c r="LUC8" s="60"/>
      <c r="LUD8" s="60"/>
      <c r="LUE8" s="60"/>
      <c r="LUF8" s="60"/>
      <c r="LUG8" s="60"/>
      <c r="LUH8" s="60"/>
      <c r="LUI8" s="60"/>
      <c r="LUJ8" s="60"/>
      <c r="LUK8" s="60"/>
      <c r="LUL8" s="60"/>
      <c r="LUM8" s="60"/>
      <c r="LUN8" s="60"/>
      <c r="LUO8" s="60"/>
      <c r="LUP8" s="60"/>
      <c r="LUQ8" s="60"/>
      <c r="LUR8" s="60"/>
      <c r="LUS8" s="60"/>
      <c r="LUT8" s="60"/>
      <c r="LUU8" s="60"/>
      <c r="LUV8" s="60"/>
      <c r="LUW8" s="60"/>
      <c r="LUX8" s="60"/>
      <c r="LUY8" s="60"/>
      <c r="LUZ8" s="60"/>
      <c r="LVA8" s="60"/>
      <c r="LVB8" s="60"/>
      <c r="LVC8" s="60"/>
      <c r="LVD8" s="60"/>
      <c r="LVE8" s="60"/>
      <c r="LVF8" s="60"/>
      <c r="LVG8" s="60"/>
      <c r="LVH8" s="60"/>
      <c r="LVI8" s="60"/>
      <c r="LVJ8" s="60"/>
      <c r="LVK8" s="60"/>
      <c r="LVL8" s="60"/>
      <c r="LVM8" s="60"/>
      <c r="LVN8" s="60"/>
      <c r="LVO8" s="60"/>
      <c r="LVP8" s="60"/>
      <c r="LVQ8" s="60"/>
      <c r="LVR8" s="60"/>
      <c r="LVS8" s="60"/>
      <c r="LVT8" s="60"/>
      <c r="LVU8" s="60"/>
      <c r="LVV8" s="60"/>
      <c r="LVW8" s="60"/>
      <c r="LVX8" s="60"/>
      <c r="LVY8" s="60"/>
      <c r="LVZ8" s="60"/>
      <c r="LWA8" s="60"/>
      <c r="LWB8" s="60"/>
      <c r="LWC8" s="60"/>
      <c r="LWD8" s="60"/>
      <c r="LWE8" s="60"/>
      <c r="LWF8" s="60"/>
      <c r="LWG8" s="60"/>
      <c r="LWH8" s="60"/>
      <c r="LWI8" s="60"/>
      <c r="LWJ8" s="60"/>
      <c r="LWK8" s="60"/>
      <c r="LWL8" s="60"/>
      <c r="LWM8" s="60"/>
      <c r="LWN8" s="60"/>
      <c r="LWO8" s="60"/>
      <c r="LWP8" s="60"/>
      <c r="LWQ8" s="60"/>
      <c r="LWR8" s="60"/>
      <c r="LWS8" s="60"/>
      <c r="LWT8" s="60"/>
      <c r="LWU8" s="60"/>
      <c r="LWV8" s="60"/>
      <c r="LWW8" s="60"/>
      <c r="LWX8" s="60"/>
      <c r="LWY8" s="60"/>
      <c r="LWZ8" s="60"/>
      <c r="LXA8" s="60"/>
      <c r="LXB8" s="60"/>
      <c r="LXC8" s="60"/>
      <c r="LXD8" s="60"/>
      <c r="LXE8" s="60"/>
      <c r="LXF8" s="60"/>
      <c r="LXG8" s="60"/>
      <c r="LXH8" s="60"/>
      <c r="LXI8" s="60"/>
      <c r="LXJ8" s="60"/>
      <c r="LXK8" s="60"/>
      <c r="LXL8" s="60"/>
      <c r="LXM8" s="60"/>
      <c r="LXN8" s="60"/>
      <c r="LXO8" s="60"/>
      <c r="LXP8" s="60"/>
      <c r="LXQ8" s="60"/>
      <c r="LXR8" s="60"/>
      <c r="LXS8" s="60"/>
      <c r="LXT8" s="60"/>
      <c r="LXU8" s="60"/>
      <c r="LXV8" s="60"/>
      <c r="LXW8" s="60"/>
      <c r="LXX8" s="60"/>
      <c r="LXY8" s="60"/>
      <c r="LXZ8" s="60"/>
      <c r="LYA8" s="60"/>
      <c r="LYB8" s="60"/>
      <c r="LYC8" s="60"/>
      <c r="LYD8" s="60"/>
      <c r="LYE8" s="60"/>
      <c r="LYF8" s="60"/>
      <c r="LYG8" s="60"/>
      <c r="LYH8" s="60"/>
      <c r="LYI8" s="60"/>
      <c r="LYJ8" s="60"/>
      <c r="LYK8" s="60"/>
      <c r="LYL8" s="60"/>
      <c r="LYM8" s="60"/>
      <c r="LYN8" s="60"/>
      <c r="LYO8" s="60"/>
      <c r="LYP8" s="60"/>
      <c r="LYQ8" s="60"/>
      <c r="LYR8" s="60"/>
      <c r="LYS8" s="60"/>
      <c r="LYT8" s="60"/>
      <c r="LYU8" s="60"/>
      <c r="LYV8" s="60"/>
      <c r="LYW8" s="60"/>
      <c r="LYX8" s="60"/>
      <c r="LYY8" s="60"/>
      <c r="LYZ8" s="60"/>
      <c r="LZA8" s="60"/>
      <c r="LZB8" s="60"/>
      <c r="LZC8" s="60"/>
      <c r="LZD8" s="60"/>
      <c r="LZE8" s="60"/>
      <c r="LZF8" s="60"/>
      <c r="LZG8" s="60"/>
      <c r="LZH8" s="60"/>
      <c r="LZI8" s="60"/>
      <c r="LZJ8" s="60"/>
      <c r="LZK8" s="60"/>
      <c r="LZL8" s="60"/>
      <c r="LZM8" s="60"/>
      <c r="LZN8" s="60"/>
      <c r="LZO8" s="60"/>
      <c r="LZP8" s="60"/>
      <c r="LZQ8" s="60"/>
      <c r="LZR8" s="60"/>
      <c r="LZS8" s="60"/>
      <c r="LZT8" s="60"/>
      <c r="LZU8" s="60"/>
      <c r="LZV8" s="60"/>
      <c r="LZW8" s="60"/>
      <c r="LZX8" s="60"/>
      <c r="LZY8" s="60"/>
      <c r="LZZ8" s="60"/>
      <c r="MAA8" s="60"/>
      <c r="MAB8" s="60"/>
      <c r="MAC8" s="60"/>
      <c r="MAD8" s="60"/>
      <c r="MAE8" s="60"/>
      <c r="MAF8" s="60"/>
      <c r="MAG8" s="60"/>
      <c r="MAH8" s="60"/>
      <c r="MAI8" s="60"/>
      <c r="MAJ8" s="60"/>
      <c r="MAK8" s="60"/>
      <c r="MAL8" s="60"/>
      <c r="MAM8" s="60"/>
      <c r="MAN8" s="60"/>
      <c r="MAO8" s="60"/>
      <c r="MAP8" s="60"/>
      <c r="MAQ8" s="60"/>
      <c r="MAR8" s="60"/>
      <c r="MAS8" s="60"/>
      <c r="MAT8" s="60"/>
      <c r="MAU8" s="60"/>
      <c r="MAV8" s="60"/>
      <c r="MAW8" s="60"/>
      <c r="MAX8" s="60"/>
      <c r="MAY8" s="60"/>
      <c r="MAZ8" s="60"/>
      <c r="MBA8" s="60"/>
      <c r="MBB8" s="60"/>
      <c r="MBC8" s="60"/>
      <c r="MBD8" s="60"/>
      <c r="MBE8" s="60"/>
      <c r="MBF8" s="60"/>
      <c r="MBG8" s="60"/>
      <c r="MBH8" s="60"/>
      <c r="MBI8" s="60"/>
      <c r="MBJ8" s="60"/>
      <c r="MBK8" s="60"/>
      <c r="MBL8" s="60"/>
      <c r="MBM8" s="60"/>
      <c r="MBN8" s="60"/>
      <c r="MBO8" s="60"/>
      <c r="MBP8" s="60"/>
      <c r="MBQ8" s="60"/>
      <c r="MBR8" s="60"/>
      <c r="MBS8" s="60"/>
      <c r="MBT8" s="60"/>
      <c r="MBU8" s="60"/>
      <c r="MBV8" s="60"/>
      <c r="MBW8" s="60"/>
      <c r="MBX8" s="60"/>
      <c r="MBY8" s="60"/>
      <c r="MBZ8" s="60"/>
      <c r="MCA8" s="60"/>
      <c r="MCB8" s="60"/>
      <c r="MCC8" s="60"/>
      <c r="MCD8" s="60"/>
      <c r="MCE8" s="60"/>
      <c r="MCF8" s="60"/>
      <c r="MCG8" s="60"/>
      <c r="MCH8" s="60"/>
      <c r="MCI8" s="60"/>
      <c r="MCJ8" s="60"/>
      <c r="MCK8" s="60"/>
      <c r="MCL8" s="60"/>
      <c r="MCM8" s="60"/>
      <c r="MCN8" s="60"/>
      <c r="MCO8" s="60"/>
      <c r="MCP8" s="60"/>
      <c r="MCQ8" s="60"/>
      <c r="MCR8" s="60"/>
      <c r="MCS8" s="60"/>
      <c r="MCT8" s="60"/>
      <c r="MCU8" s="60"/>
      <c r="MCV8" s="60"/>
      <c r="MCW8" s="60"/>
      <c r="MCX8" s="60"/>
      <c r="MCY8" s="60"/>
      <c r="MCZ8" s="60"/>
      <c r="MDA8" s="60"/>
      <c r="MDB8" s="60"/>
      <c r="MDC8" s="60"/>
      <c r="MDD8" s="60"/>
      <c r="MDE8" s="60"/>
      <c r="MDF8" s="60"/>
      <c r="MDG8" s="60"/>
      <c r="MDH8" s="60"/>
      <c r="MDI8" s="60"/>
      <c r="MDJ8" s="60"/>
      <c r="MDK8" s="60"/>
      <c r="MDL8" s="60"/>
      <c r="MDM8" s="60"/>
      <c r="MDN8" s="60"/>
      <c r="MDO8" s="60"/>
      <c r="MDP8" s="60"/>
      <c r="MDQ8" s="60"/>
      <c r="MDR8" s="60"/>
      <c r="MDS8" s="60"/>
      <c r="MDT8" s="60"/>
      <c r="MDU8" s="60"/>
      <c r="MDV8" s="60"/>
      <c r="MDW8" s="60"/>
      <c r="MDX8" s="60"/>
      <c r="MDY8" s="60"/>
      <c r="MDZ8" s="60"/>
      <c r="MEA8" s="60"/>
      <c r="MEB8" s="60"/>
      <c r="MEC8" s="60"/>
      <c r="MED8" s="60"/>
      <c r="MEE8" s="60"/>
      <c r="MEF8" s="60"/>
      <c r="MEG8" s="60"/>
      <c r="MEH8" s="60"/>
      <c r="MEI8" s="60"/>
      <c r="MEJ8" s="60"/>
      <c r="MEK8" s="60"/>
      <c r="MEL8" s="60"/>
      <c r="MEM8" s="60"/>
      <c r="MEN8" s="60"/>
      <c r="MEO8" s="60"/>
      <c r="MEP8" s="60"/>
      <c r="MEQ8" s="60"/>
      <c r="MER8" s="60"/>
      <c r="MES8" s="60"/>
      <c r="MET8" s="60"/>
      <c r="MEU8" s="60"/>
      <c r="MEV8" s="60"/>
      <c r="MEW8" s="60"/>
      <c r="MEX8" s="60"/>
      <c r="MEY8" s="60"/>
      <c r="MEZ8" s="60"/>
      <c r="MFA8" s="60"/>
      <c r="MFB8" s="60"/>
      <c r="MFC8" s="60"/>
      <c r="MFD8" s="60"/>
      <c r="MFE8" s="60"/>
      <c r="MFF8" s="60"/>
      <c r="MFG8" s="60"/>
      <c r="MFH8" s="60"/>
      <c r="MFI8" s="60"/>
      <c r="MFJ8" s="60"/>
      <c r="MFK8" s="60"/>
      <c r="MFL8" s="60"/>
      <c r="MFM8" s="60"/>
      <c r="MFN8" s="60"/>
      <c r="MFO8" s="60"/>
      <c r="MFP8" s="60"/>
      <c r="MFQ8" s="60"/>
      <c r="MFR8" s="60"/>
      <c r="MFS8" s="60"/>
      <c r="MFT8" s="60"/>
      <c r="MFU8" s="60"/>
      <c r="MFV8" s="60"/>
      <c r="MFW8" s="60"/>
      <c r="MFX8" s="60"/>
      <c r="MFY8" s="60"/>
      <c r="MFZ8" s="60"/>
      <c r="MGA8" s="60"/>
      <c r="MGB8" s="60"/>
      <c r="MGC8" s="60"/>
      <c r="MGD8" s="60"/>
      <c r="MGE8" s="60"/>
      <c r="MGF8" s="60"/>
      <c r="MGG8" s="60"/>
      <c r="MGH8" s="60"/>
      <c r="MGI8" s="60"/>
      <c r="MGJ8" s="60"/>
      <c r="MGK8" s="60"/>
      <c r="MGL8" s="60"/>
      <c r="MGM8" s="60"/>
      <c r="MGN8" s="60"/>
      <c r="MGO8" s="60"/>
      <c r="MGP8" s="60"/>
      <c r="MGQ8" s="60"/>
      <c r="MGR8" s="60"/>
      <c r="MGS8" s="60"/>
      <c r="MGT8" s="60"/>
      <c r="MGU8" s="60"/>
      <c r="MGV8" s="60"/>
      <c r="MGW8" s="60"/>
      <c r="MGX8" s="60"/>
      <c r="MGY8" s="60"/>
      <c r="MGZ8" s="60"/>
      <c r="MHA8" s="60"/>
      <c r="MHB8" s="60"/>
      <c r="MHC8" s="60"/>
      <c r="MHD8" s="60"/>
      <c r="MHE8" s="60"/>
      <c r="MHF8" s="60"/>
      <c r="MHG8" s="60"/>
      <c r="MHH8" s="60"/>
      <c r="MHI8" s="60"/>
      <c r="MHJ8" s="60"/>
      <c r="MHK8" s="60"/>
      <c r="MHL8" s="60"/>
      <c r="MHM8" s="60"/>
      <c r="MHN8" s="60"/>
      <c r="MHO8" s="60"/>
      <c r="MHP8" s="60"/>
      <c r="MHQ8" s="60"/>
      <c r="MHR8" s="60"/>
      <c r="MHS8" s="60"/>
      <c r="MHT8" s="60"/>
      <c r="MHU8" s="60"/>
      <c r="MHV8" s="60"/>
      <c r="MHW8" s="60"/>
      <c r="MHX8" s="60"/>
      <c r="MHY8" s="60"/>
      <c r="MHZ8" s="60"/>
      <c r="MIA8" s="60"/>
      <c r="MIB8" s="60"/>
      <c r="MIC8" s="60"/>
      <c r="MID8" s="60"/>
      <c r="MIE8" s="60"/>
      <c r="MIF8" s="60"/>
      <c r="MIG8" s="60"/>
      <c r="MIH8" s="60"/>
      <c r="MII8" s="60"/>
      <c r="MIJ8" s="60"/>
      <c r="MIK8" s="60"/>
      <c r="MIL8" s="60"/>
      <c r="MIM8" s="60"/>
      <c r="MIN8" s="60"/>
      <c r="MIO8" s="60"/>
      <c r="MIP8" s="60"/>
      <c r="MIQ8" s="60"/>
      <c r="MIR8" s="60"/>
      <c r="MIS8" s="60"/>
      <c r="MIT8" s="60"/>
      <c r="MIU8" s="60"/>
      <c r="MIV8" s="60"/>
      <c r="MIW8" s="60"/>
      <c r="MIX8" s="60"/>
      <c r="MIY8" s="60"/>
      <c r="MIZ8" s="60"/>
      <c r="MJA8" s="60"/>
      <c r="MJB8" s="60"/>
      <c r="MJC8" s="60"/>
      <c r="MJD8" s="60"/>
      <c r="MJE8" s="60"/>
      <c r="MJF8" s="60"/>
      <c r="MJG8" s="60"/>
      <c r="MJH8" s="60"/>
      <c r="MJI8" s="60"/>
      <c r="MJJ8" s="60"/>
      <c r="MJK8" s="60"/>
      <c r="MJL8" s="60"/>
      <c r="MJM8" s="60"/>
      <c r="MJN8" s="60"/>
      <c r="MJO8" s="60"/>
      <c r="MJP8" s="60"/>
      <c r="MJQ8" s="60"/>
      <c r="MJR8" s="60"/>
      <c r="MJS8" s="60"/>
      <c r="MJT8" s="60"/>
      <c r="MJU8" s="60"/>
      <c r="MJV8" s="60"/>
      <c r="MJW8" s="60"/>
      <c r="MJX8" s="60"/>
      <c r="MJY8" s="60"/>
      <c r="MJZ8" s="60"/>
      <c r="MKA8" s="60"/>
      <c r="MKB8" s="60"/>
      <c r="MKC8" s="60"/>
      <c r="MKD8" s="60"/>
      <c r="MKE8" s="60"/>
      <c r="MKF8" s="60"/>
      <c r="MKG8" s="60"/>
      <c r="MKH8" s="60"/>
      <c r="MKI8" s="60"/>
      <c r="MKJ8" s="60"/>
      <c r="MKK8" s="60"/>
      <c r="MKL8" s="60"/>
      <c r="MKM8" s="60"/>
      <c r="MKN8" s="60"/>
      <c r="MKO8" s="60"/>
      <c r="MKP8" s="60"/>
      <c r="MKQ8" s="60"/>
      <c r="MKR8" s="60"/>
      <c r="MKS8" s="60"/>
      <c r="MKT8" s="60"/>
      <c r="MKU8" s="60"/>
      <c r="MKV8" s="60"/>
      <c r="MKW8" s="60"/>
      <c r="MKX8" s="60"/>
      <c r="MKY8" s="60"/>
      <c r="MKZ8" s="60"/>
      <c r="MLA8" s="60"/>
      <c r="MLB8" s="60"/>
      <c r="MLC8" s="60"/>
      <c r="MLD8" s="60"/>
      <c r="MLE8" s="60"/>
      <c r="MLF8" s="60"/>
      <c r="MLG8" s="60"/>
      <c r="MLH8" s="60"/>
      <c r="MLI8" s="60"/>
      <c r="MLJ8" s="60"/>
      <c r="MLK8" s="60"/>
      <c r="MLL8" s="60"/>
      <c r="MLM8" s="60"/>
      <c r="MLN8" s="60"/>
      <c r="MLO8" s="60"/>
      <c r="MLP8" s="60"/>
      <c r="MLQ8" s="60"/>
      <c r="MLR8" s="60"/>
      <c r="MLS8" s="60"/>
      <c r="MLT8" s="60"/>
      <c r="MLU8" s="60"/>
      <c r="MLV8" s="60"/>
      <c r="MLW8" s="60"/>
      <c r="MLX8" s="60"/>
      <c r="MLY8" s="60"/>
      <c r="MLZ8" s="60"/>
      <c r="MMA8" s="60"/>
      <c r="MMB8" s="60"/>
      <c r="MMC8" s="60"/>
      <c r="MMD8" s="60"/>
      <c r="MME8" s="60"/>
      <c r="MMF8" s="60"/>
      <c r="MMG8" s="60"/>
      <c r="MMH8" s="60"/>
      <c r="MMI8" s="60"/>
      <c r="MMJ8" s="60"/>
      <c r="MMK8" s="60"/>
      <c r="MML8" s="60"/>
      <c r="MMM8" s="60"/>
      <c r="MMN8" s="60"/>
      <c r="MMO8" s="60"/>
      <c r="MMP8" s="60"/>
      <c r="MMQ8" s="60"/>
      <c r="MMR8" s="60"/>
      <c r="MMS8" s="60"/>
      <c r="MMT8" s="60"/>
      <c r="MMU8" s="60"/>
      <c r="MMV8" s="60"/>
      <c r="MMW8" s="60"/>
      <c r="MMX8" s="60"/>
      <c r="MMY8" s="60"/>
      <c r="MMZ8" s="60"/>
      <c r="MNA8" s="60"/>
      <c r="MNB8" s="60"/>
      <c r="MNC8" s="60"/>
      <c r="MND8" s="60"/>
      <c r="MNE8" s="60"/>
      <c r="MNF8" s="60"/>
      <c r="MNG8" s="60"/>
      <c r="MNH8" s="60"/>
      <c r="MNI8" s="60"/>
      <c r="MNJ8" s="60"/>
      <c r="MNK8" s="60"/>
      <c r="MNL8" s="60"/>
      <c r="MNM8" s="60"/>
      <c r="MNN8" s="60"/>
      <c r="MNO8" s="60"/>
      <c r="MNP8" s="60"/>
      <c r="MNQ8" s="60"/>
      <c r="MNR8" s="60"/>
      <c r="MNS8" s="60"/>
      <c r="MNT8" s="60"/>
      <c r="MNU8" s="60"/>
      <c r="MNV8" s="60"/>
      <c r="MNW8" s="60"/>
      <c r="MNX8" s="60"/>
      <c r="MNY8" s="60"/>
      <c r="MNZ8" s="60"/>
      <c r="MOA8" s="60"/>
      <c r="MOB8" s="60"/>
      <c r="MOC8" s="60"/>
      <c r="MOD8" s="60"/>
      <c r="MOE8" s="60"/>
      <c r="MOF8" s="60"/>
      <c r="MOG8" s="60"/>
      <c r="MOH8" s="60"/>
      <c r="MOI8" s="60"/>
      <c r="MOJ8" s="60"/>
      <c r="MOK8" s="60"/>
      <c r="MOL8" s="60"/>
      <c r="MOM8" s="60"/>
      <c r="MON8" s="60"/>
      <c r="MOO8" s="60"/>
      <c r="MOP8" s="60"/>
      <c r="MOQ8" s="60"/>
      <c r="MOR8" s="60"/>
      <c r="MOS8" s="60"/>
      <c r="MOT8" s="60"/>
      <c r="MOU8" s="60"/>
      <c r="MOV8" s="60"/>
      <c r="MOW8" s="60"/>
      <c r="MOX8" s="60"/>
      <c r="MOY8" s="60"/>
      <c r="MOZ8" s="60"/>
      <c r="MPA8" s="60"/>
      <c r="MPB8" s="60"/>
      <c r="MPC8" s="60"/>
      <c r="MPD8" s="60"/>
      <c r="MPE8" s="60"/>
      <c r="MPF8" s="60"/>
      <c r="MPG8" s="60"/>
      <c r="MPH8" s="60"/>
      <c r="MPI8" s="60"/>
      <c r="MPJ8" s="60"/>
      <c r="MPK8" s="60"/>
      <c r="MPL8" s="60"/>
      <c r="MPM8" s="60"/>
      <c r="MPN8" s="60"/>
      <c r="MPO8" s="60"/>
      <c r="MPP8" s="60"/>
      <c r="MPQ8" s="60"/>
      <c r="MPR8" s="60"/>
      <c r="MPS8" s="60"/>
      <c r="MPT8" s="60"/>
      <c r="MPU8" s="60"/>
      <c r="MPV8" s="60"/>
      <c r="MPW8" s="60"/>
      <c r="MPX8" s="60"/>
      <c r="MPY8" s="60"/>
      <c r="MPZ8" s="60"/>
      <c r="MQA8" s="60"/>
      <c r="MQB8" s="60"/>
      <c r="MQC8" s="60"/>
      <c r="MQD8" s="60"/>
      <c r="MQE8" s="60"/>
      <c r="MQF8" s="60"/>
      <c r="MQG8" s="60"/>
      <c r="MQH8" s="60"/>
      <c r="MQI8" s="60"/>
      <c r="MQJ8" s="60"/>
      <c r="MQK8" s="60"/>
      <c r="MQL8" s="60"/>
      <c r="MQM8" s="60"/>
      <c r="MQN8" s="60"/>
      <c r="MQO8" s="60"/>
      <c r="MQP8" s="60"/>
      <c r="MQQ8" s="60"/>
      <c r="MQR8" s="60"/>
      <c r="MQS8" s="60"/>
      <c r="MQT8" s="60"/>
      <c r="MQU8" s="60"/>
      <c r="MQV8" s="60"/>
      <c r="MQW8" s="60"/>
      <c r="MQX8" s="60"/>
      <c r="MQY8" s="60"/>
      <c r="MQZ8" s="60"/>
      <c r="MRA8" s="60"/>
      <c r="MRB8" s="60"/>
      <c r="MRC8" s="60"/>
      <c r="MRD8" s="60"/>
      <c r="MRE8" s="60"/>
      <c r="MRF8" s="60"/>
      <c r="MRG8" s="60"/>
      <c r="MRH8" s="60"/>
      <c r="MRI8" s="60"/>
      <c r="MRJ8" s="60"/>
      <c r="MRK8" s="60"/>
      <c r="MRL8" s="60"/>
      <c r="MRM8" s="60"/>
      <c r="MRN8" s="60"/>
      <c r="MRO8" s="60"/>
      <c r="MRP8" s="60"/>
      <c r="MRQ8" s="60"/>
      <c r="MRR8" s="60"/>
      <c r="MRS8" s="60"/>
      <c r="MRT8" s="60"/>
      <c r="MRU8" s="60"/>
      <c r="MRV8" s="60"/>
      <c r="MRW8" s="60"/>
      <c r="MRX8" s="60"/>
      <c r="MRY8" s="60"/>
      <c r="MRZ8" s="60"/>
      <c r="MSA8" s="60"/>
      <c r="MSB8" s="60"/>
      <c r="MSC8" s="60"/>
      <c r="MSD8" s="60"/>
      <c r="MSE8" s="60"/>
      <c r="MSF8" s="60"/>
      <c r="MSG8" s="60"/>
      <c r="MSH8" s="60"/>
      <c r="MSI8" s="60"/>
      <c r="MSJ8" s="60"/>
      <c r="MSK8" s="60"/>
      <c r="MSL8" s="60"/>
      <c r="MSM8" s="60"/>
      <c r="MSN8" s="60"/>
      <c r="MSO8" s="60"/>
      <c r="MSP8" s="60"/>
      <c r="MSQ8" s="60"/>
      <c r="MSR8" s="60"/>
      <c r="MSS8" s="60"/>
      <c r="MST8" s="60"/>
      <c r="MSU8" s="60"/>
      <c r="MSV8" s="60"/>
      <c r="MSW8" s="60"/>
      <c r="MSX8" s="60"/>
      <c r="MSY8" s="60"/>
      <c r="MSZ8" s="60"/>
      <c r="MTA8" s="60"/>
      <c r="MTB8" s="60"/>
      <c r="MTC8" s="60"/>
      <c r="MTD8" s="60"/>
      <c r="MTE8" s="60"/>
      <c r="MTF8" s="60"/>
      <c r="MTG8" s="60"/>
      <c r="MTH8" s="60"/>
      <c r="MTI8" s="60"/>
      <c r="MTJ8" s="60"/>
      <c r="MTK8" s="60"/>
      <c r="MTL8" s="60"/>
      <c r="MTM8" s="60"/>
      <c r="MTN8" s="60"/>
      <c r="MTO8" s="60"/>
      <c r="MTP8" s="60"/>
      <c r="MTQ8" s="60"/>
      <c r="MTR8" s="60"/>
      <c r="MTS8" s="60"/>
      <c r="MTT8" s="60"/>
      <c r="MTU8" s="60"/>
      <c r="MTV8" s="60"/>
      <c r="MTW8" s="60"/>
      <c r="MTX8" s="60"/>
      <c r="MTY8" s="60"/>
      <c r="MTZ8" s="60"/>
      <c r="MUA8" s="60"/>
      <c r="MUB8" s="60"/>
      <c r="MUC8" s="60"/>
      <c r="MUD8" s="60"/>
      <c r="MUE8" s="60"/>
      <c r="MUF8" s="60"/>
      <c r="MUG8" s="60"/>
      <c r="MUH8" s="60"/>
      <c r="MUI8" s="60"/>
      <c r="MUJ8" s="60"/>
      <c r="MUK8" s="60"/>
      <c r="MUL8" s="60"/>
      <c r="MUM8" s="60"/>
      <c r="MUN8" s="60"/>
      <c r="MUO8" s="60"/>
      <c r="MUP8" s="60"/>
      <c r="MUQ8" s="60"/>
      <c r="MUR8" s="60"/>
      <c r="MUS8" s="60"/>
      <c r="MUT8" s="60"/>
      <c r="MUU8" s="60"/>
      <c r="MUV8" s="60"/>
      <c r="MUW8" s="60"/>
      <c r="MUX8" s="60"/>
      <c r="MUY8" s="60"/>
      <c r="MUZ8" s="60"/>
      <c r="MVA8" s="60"/>
      <c r="MVB8" s="60"/>
      <c r="MVC8" s="60"/>
      <c r="MVD8" s="60"/>
      <c r="MVE8" s="60"/>
      <c r="MVF8" s="60"/>
      <c r="MVG8" s="60"/>
      <c r="MVH8" s="60"/>
      <c r="MVI8" s="60"/>
      <c r="MVJ8" s="60"/>
      <c r="MVK8" s="60"/>
      <c r="MVL8" s="60"/>
      <c r="MVM8" s="60"/>
      <c r="MVN8" s="60"/>
      <c r="MVO8" s="60"/>
      <c r="MVP8" s="60"/>
      <c r="MVQ8" s="60"/>
      <c r="MVR8" s="60"/>
      <c r="MVS8" s="60"/>
      <c r="MVT8" s="60"/>
      <c r="MVU8" s="60"/>
      <c r="MVV8" s="60"/>
      <c r="MVW8" s="60"/>
      <c r="MVX8" s="60"/>
      <c r="MVY8" s="60"/>
      <c r="MVZ8" s="60"/>
      <c r="MWA8" s="60"/>
      <c r="MWB8" s="60"/>
      <c r="MWC8" s="60"/>
      <c r="MWD8" s="60"/>
      <c r="MWE8" s="60"/>
      <c r="MWF8" s="60"/>
      <c r="MWG8" s="60"/>
      <c r="MWH8" s="60"/>
      <c r="MWI8" s="60"/>
      <c r="MWJ8" s="60"/>
      <c r="MWK8" s="60"/>
      <c r="MWL8" s="60"/>
      <c r="MWM8" s="60"/>
      <c r="MWN8" s="60"/>
      <c r="MWO8" s="60"/>
      <c r="MWP8" s="60"/>
      <c r="MWQ8" s="60"/>
      <c r="MWR8" s="60"/>
      <c r="MWS8" s="60"/>
      <c r="MWT8" s="60"/>
      <c r="MWU8" s="60"/>
      <c r="MWV8" s="60"/>
      <c r="MWW8" s="60"/>
      <c r="MWX8" s="60"/>
      <c r="MWY8" s="60"/>
      <c r="MWZ8" s="60"/>
      <c r="MXA8" s="60"/>
      <c r="MXB8" s="60"/>
      <c r="MXC8" s="60"/>
      <c r="MXD8" s="60"/>
      <c r="MXE8" s="60"/>
      <c r="MXF8" s="60"/>
      <c r="MXG8" s="60"/>
      <c r="MXH8" s="60"/>
      <c r="MXI8" s="60"/>
      <c r="MXJ8" s="60"/>
      <c r="MXK8" s="60"/>
      <c r="MXL8" s="60"/>
      <c r="MXM8" s="60"/>
      <c r="MXN8" s="60"/>
      <c r="MXO8" s="60"/>
      <c r="MXP8" s="60"/>
      <c r="MXQ8" s="60"/>
      <c r="MXR8" s="60"/>
      <c r="MXS8" s="60"/>
      <c r="MXT8" s="60"/>
      <c r="MXU8" s="60"/>
      <c r="MXV8" s="60"/>
      <c r="MXW8" s="60"/>
      <c r="MXX8" s="60"/>
      <c r="MXY8" s="60"/>
      <c r="MXZ8" s="60"/>
      <c r="MYA8" s="60"/>
      <c r="MYB8" s="60"/>
      <c r="MYC8" s="60"/>
      <c r="MYD8" s="60"/>
      <c r="MYE8" s="60"/>
      <c r="MYF8" s="60"/>
      <c r="MYG8" s="60"/>
      <c r="MYH8" s="60"/>
      <c r="MYI8" s="60"/>
      <c r="MYJ8" s="60"/>
      <c r="MYK8" s="60"/>
      <c r="MYL8" s="60"/>
      <c r="MYM8" s="60"/>
      <c r="MYN8" s="60"/>
      <c r="MYO8" s="60"/>
      <c r="MYP8" s="60"/>
      <c r="MYQ8" s="60"/>
      <c r="MYR8" s="60"/>
      <c r="MYS8" s="60"/>
      <c r="MYT8" s="60"/>
      <c r="MYU8" s="60"/>
      <c r="MYV8" s="60"/>
      <c r="MYW8" s="60"/>
      <c r="MYX8" s="60"/>
      <c r="MYY8" s="60"/>
      <c r="MYZ8" s="60"/>
      <c r="MZA8" s="60"/>
      <c r="MZB8" s="60"/>
      <c r="MZC8" s="60"/>
      <c r="MZD8" s="60"/>
      <c r="MZE8" s="60"/>
      <c r="MZF8" s="60"/>
      <c r="MZG8" s="60"/>
      <c r="MZH8" s="60"/>
      <c r="MZI8" s="60"/>
      <c r="MZJ8" s="60"/>
      <c r="MZK8" s="60"/>
      <c r="MZL8" s="60"/>
      <c r="MZM8" s="60"/>
      <c r="MZN8" s="60"/>
      <c r="MZO8" s="60"/>
      <c r="MZP8" s="60"/>
      <c r="MZQ8" s="60"/>
      <c r="MZR8" s="60"/>
      <c r="MZS8" s="60"/>
      <c r="MZT8" s="60"/>
      <c r="MZU8" s="60"/>
      <c r="MZV8" s="60"/>
      <c r="MZW8" s="60"/>
      <c r="MZX8" s="60"/>
      <c r="MZY8" s="60"/>
      <c r="MZZ8" s="60"/>
      <c r="NAA8" s="60"/>
      <c r="NAB8" s="60"/>
      <c r="NAC8" s="60"/>
      <c r="NAD8" s="60"/>
      <c r="NAE8" s="60"/>
      <c r="NAF8" s="60"/>
      <c r="NAG8" s="60"/>
      <c r="NAH8" s="60"/>
      <c r="NAI8" s="60"/>
      <c r="NAJ8" s="60"/>
      <c r="NAK8" s="60"/>
      <c r="NAL8" s="60"/>
      <c r="NAM8" s="60"/>
      <c r="NAN8" s="60"/>
      <c r="NAO8" s="60"/>
      <c r="NAP8" s="60"/>
      <c r="NAQ8" s="60"/>
      <c r="NAR8" s="60"/>
      <c r="NAS8" s="60"/>
      <c r="NAT8" s="60"/>
      <c r="NAU8" s="60"/>
      <c r="NAV8" s="60"/>
      <c r="NAW8" s="60"/>
      <c r="NAX8" s="60"/>
      <c r="NAY8" s="60"/>
      <c r="NAZ8" s="60"/>
      <c r="NBA8" s="60"/>
      <c r="NBB8" s="60"/>
      <c r="NBC8" s="60"/>
      <c r="NBD8" s="60"/>
      <c r="NBE8" s="60"/>
      <c r="NBF8" s="60"/>
      <c r="NBG8" s="60"/>
      <c r="NBH8" s="60"/>
      <c r="NBI8" s="60"/>
      <c r="NBJ8" s="60"/>
      <c r="NBK8" s="60"/>
      <c r="NBL8" s="60"/>
      <c r="NBM8" s="60"/>
      <c r="NBN8" s="60"/>
      <c r="NBO8" s="60"/>
      <c r="NBP8" s="60"/>
      <c r="NBQ8" s="60"/>
      <c r="NBR8" s="60"/>
      <c r="NBS8" s="60"/>
      <c r="NBT8" s="60"/>
      <c r="NBU8" s="60"/>
      <c r="NBV8" s="60"/>
      <c r="NBW8" s="60"/>
      <c r="NBX8" s="60"/>
      <c r="NBY8" s="60"/>
      <c r="NBZ8" s="60"/>
      <c r="NCA8" s="60"/>
      <c r="NCB8" s="60"/>
      <c r="NCC8" s="60"/>
      <c r="NCD8" s="60"/>
      <c r="NCE8" s="60"/>
      <c r="NCF8" s="60"/>
      <c r="NCG8" s="60"/>
      <c r="NCH8" s="60"/>
      <c r="NCI8" s="60"/>
      <c r="NCJ8" s="60"/>
      <c r="NCK8" s="60"/>
      <c r="NCL8" s="60"/>
      <c r="NCM8" s="60"/>
      <c r="NCN8" s="60"/>
      <c r="NCO8" s="60"/>
      <c r="NCP8" s="60"/>
      <c r="NCQ8" s="60"/>
      <c r="NCR8" s="60"/>
      <c r="NCS8" s="60"/>
      <c r="NCT8" s="60"/>
      <c r="NCU8" s="60"/>
      <c r="NCV8" s="60"/>
      <c r="NCW8" s="60"/>
      <c r="NCX8" s="60"/>
      <c r="NCY8" s="60"/>
      <c r="NCZ8" s="60"/>
      <c r="NDA8" s="60"/>
      <c r="NDB8" s="60"/>
      <c r="NDC8" s="60"/>
      <c r="NDD8" s="60"/>
      <c r="NDE8" s="60"/>
      <c r="NDF8" s="60"/>
      <c r="NDG8" s="60"/>
      <c r="NDH8" s="60"/>
      <c r="NDI8" s="60"/>
      <c r="NDJ8" s="60"/>
      <c r="NDK8" s="60"/>
      <c r="NDL8" s="60"/>
      <c r="NDM8" s="60"/>
      <c r="NDN8" s="60"/>
      <c r="NDO8" s="60"/>
      <c r="NDP8" s="60"/>
      <c r="NDQ8" s="60"/>
      <c r="NDR8" s="60"/>
      <c r="NDS8" s="60"/>
      <c r="NDT8" s="60"/>
      <c r="NDU8" s="60"/>
      <c r="NDV8" s="60"/>
      <c r="NDW8" s="60"/>
      <c r="NDX8" s="60"/>
      <c r="NDY8" s="60"/>
      <c r="NDZ8" s="60"/>
      <c r="NEA8" s="60"/>
      <c r="NEB8" s="60"/>
      <c r="NEC8" s="60"/>
      <c r="NED8" s="60"/>
      <c r="NEE8" s="60"/>
      <c r="NEF8" s="60"/>
      <c r="NEG8" s="60"/>
      <c r="NEH8" s="60"/>
      <c r="NEI8" s="60"/>
      <c r="NEJ8" s="60"/>
      <c r="NEK8" s="60"/>
      <c r="NEL8" s="60"/>
      <c r="NEM8" s="60"/>
      <c r="NEN8" s="60"/>
      <c r="NEO8" s="60"/>
      <c r="NEP8" s="60"/>
      <c r="NEQ8" s="60"/>
      <c r="NER8" s="60"/>
      <c r="NES8" s="60"/>
      <c r="NET8" s="60"/>
      <c r="NEU8" s="60"/>
      <c r="NEV8" s="60"/>
      <c r="NEW8" s="60"/>
      <c r="NEX8" s="60"/>
      <c r="NEY8" s="60"/>
      <c r="NEZ8" s="60"/>
      <c r="NFA8" s="60"/>
      <c r="NFB8" s="60"/>
      <c r="NFC8" s="60"/>
      <c r="NFD8" s="60"/>
      <c r="NFE8" s="60"/>
      <c r="NFF8" s="60"/>
      <c r="NFG8" s="60"/>
      <c r="NFH8" s="60"/>
      <c r="NFI8" s="60"/>
      <c r="NFJ8" s="60"/>
      <c r="NFK8" s="60"/>
      <c r="NFL8" s="60"/>
      <c r="NFM8" s="60"/>
      <c r="NFN8" s="60"/>
      <c r="NFO8" s="60"/>
      <c r="NFP8" s="60"/>
      <c r="NFQ8" s="60"/>
      <c r="NFR8" s="60"/>
      <c r="NFS8" s="60"/>
      <c r="NFT8" s="60"/>
      <c r="NFU8" s="60"/>
      <c r="NFV8" s="60"/>
      <c r="NFW8" s="60"/>
      <c r="NFX8" s="60"/>
      <c r="NFY8" s="60"/>
      <c r="NFZ8" s="60"/>
      <c r="NGA8" s="60"/>
      <c r="NGB8" s="60"/>
      <c r="NGC8" s="60"/>
      <c r="NGD8" s="60"/>
      <c r="NGE8" s="60"/>
      <c r="NGF8" s="60"/>
      <c r="NGG8" s="60"/>
      <c r="NGH8" s="60"/>
      <c r="NGI8" s="60"/>
      <c r="NGJ8" s="60"/>
      <c r="NGK8" s="60"/>
      <c r="NGL8" s="60"/>
      <c r="NGM8" s="60"/>
      <c r="NGN8" s="60"/>
      <c r="NGO8" s="60"/>
      <c r="NGP8" s="60"/>
      <c r="NGQ8" s="60"/>
      <c r="NGR8" s="60"/>
      <c r="NGS8" s="60"/>
      <c r="NGT8" s="60"/>
      <c r="NGU8" s="60"/>
      <c r="NGV8" s="60"/>
      <c r="NGW8" s="60"/>
      <c r="NGX8" s="60"/>
      <c r="NGY8" s="60"/>
      <c r="NGZ8" s="60"/>
      <c r="NHA8" s="60"/>
      <c r="NHB8" s="60"/>
      <c r="NHC8" s="60"/>
      <c r="NHD8" s="60"/>
      <c r="NHE8" s="60"/>
      <c r="NHF8" s="60"/>
      <c r="NHG8" s="60"/>
      <c r="NHH8" s="60"/>
      <c r="NHI8" s="60"/>
      <c r="NHJ8" s="60"/>
      <c r="NHK8" s="60"/>
      <c r="NHL8" s="60"/>
      <c r="NHM8" s="60"/>
      <c r="NHN8" s="60"/>
      <c r="NHO8" s="60"/>
      <c r="NHP8" s="60"/>
      <c r="NHQ8" s="60"/>
      <c r="NHR8" s="60"/>
      <c r="NHS8" s="60"/>
      <c r="NHT8" s="60"/>
      <c r="NHU8" s="60"/>
      <c r="NHV8" s="60"/>
      <c r="NHW8" s="60"/>
      <c r="NHX8" s="60"/>
      <c r="NHY8" s="60"/>
      <c r="NHZ8" s="60"/>
      <c r="NIA8" s="60"/>
      <c r="NIB8" s="60"/>
      <c r="NIC8" s="60"/>
      <c r="NID8" s="60"/>
      <c r="NIE8" s="60"/>
      <c r="NIF8" s="60"/>
      <c r="NIG8" s="60"/>
      <c r="NIH8" s="60"/>
      <c r="NII8" s="60"/>
      <c r="NIJ8" s="60"/>
      <c r="NIK8" s="60"/>
      <c r="NIL8" s="60"/>
      <c r="NIM8" s="60"/>
      <c r="NIN8" s="60"/>
      <c r="NIO8" s="60"/>
      <c r="NIP8" s="60"/>
      <c r="NIQ8" s="60"/>
      <c r="NIR8" s="60"/>
      <c r="NIS8" s="60"/>
      <c r="NIT8" s="60"/>
      <c r="NIU8" s="60"/>
      <c r="NIV8" s="60"/>
      <c r="NIW8" s="60"/>
      <c r="NIX8" s="60"/>
      <c r="NIY8" s="60"/>
      <c r="NIZ8" s="60"/>
      <c r="NJA8" s="60"/>
      <c r="NJB8" s="60"/>
      <c r="NJC8" s="60"/>
      <c r="NJD8" s="60"/>
      <c r="NJE8" s="60"/>
      <c r="NJF8" s="60"/>
      <c r="NJG8" s="60"/>
      <c r="NJH8" s="60"/>
      <c r="NJI8" s="60"/>
      <c r="NJJ8" s="60"/>
      <c r="NJK8" s="60"/>
      <c r="NJL8" s="60"/>
      <c r="NJM8" s="60"/>
      <c r="NJN8" s="60"/>
      <c r="NJO8" s="60"/>
      <c r="NJP8" s="60"/>
      <c r="NJQ8" s="60"/>
      <c r="NJR8" s="60"/>
      <c r="NJS8" s="60"/>
      <c r="NJT8" s="60"/>
      <c r="NJU8" s="60"/>
      <c r="NJV8" s="60"/>
      <c r="NJW8" s="60"/>
      <c r="NJX8" s="60"/>
      <c r="NJY8" s="60"/>
      <c r="NJZ8" s="60"/>
      <c r="NKA8" s="60"/>
      <c r="NKB8" s="60"/>
      <c r="NKC8" s="60"/>
      <c r="NKD8" s="60"/>
      <c r="NKE8" s="60"/>
      <c r="NKF8" s="60"/>
      <c r="NKG8" s="60"/>
      <c r="NKH8" s="60"/>
      <c r="NKI8" s="60"/>
      <c r="NKJ8" s="60"/>
      <c r="NKK8" s="60"/>
      <c r="NKL8" s="60"/>
      <c r="NKM8" s="60"/>
      <c r="NKN8" s="60"/>
      <c r="NKO8" s="60"/>
      <c r="NKP8" s="60"/>
      <c r="NKQ8" s="60"/>
      <c r="NKR8" s="60"/>
      <c r="NKS8" s="60"/>
      <c r="NKT8" s="60"/>
      <c r="NKU8" s="60"/>
      <c r="NKV8" s="60"/>
      <c r="NKW8" s="60"/>
      <c r="NKX8" s="60"/>
      <c r="NKY8" s="60"/>
      <c r="NKZ8" s="60"/>
      <c r="NLA8" s="60"/>
      <c r="NLB8" s="60"/>
      <c r="NLC8" s="60"/>
      <c r="NLD8" s="60"/>
      <c r="NLE8" s="60"/>
      <c r="NLF8" s="60"/>
      <c r="NLG8" s="60"/>
      <c r="NLH8" s="60"/>
      <c r="NLI8" s="60"/>
      <c r="NLJ8" s="60"/>
      <c r="NLK8" s="60"/>
      <c r="NLL8" s="60"/>
      <c r="NLM8" s="60"/>
      <c r="NLN8" s="60"/>
      <c r="NLO8" s="60"/>
      <c r="NLP8" s="60"/>
      <c r="NLQ8" s="60"/>
      <c r="NLR8" s="60"/>
      <c r="NLS8" s="60"/>
      <c r="NLT8" s="60"/>
      <c r="NLU8" s="60"/>
      <c r="NLV8" s="60"/>
      <c r="NLW8" s="60"/>
      <c r="NLX8" s="60"/>
      <c r="NLY8" s="60"/>
      <c r="NLZ8" s="60"/>
      <c r="NMA8" s="60"/>
      <c r="NMB8" s="60"/>
      <c r="NMC8" s="60"/>
      <c r="NMD8" s="60"/>
      <c r="NME8" s="60"/>
      <c r="NMF8" s="60"/>
      <c r="NMG8" s="60"/>
      <c r="NMH8" s="60"/>
      <c r="NMI8" s="60"/>
      <c r="NMJ8" s="60"/>
      <c r="NMK8" s="60"/>
      <c r="NML8" s="60"/>
      <c r="NMM8" s="60"/>
      <c r="NMN8" s="60"/>
      <c r="NMO8" s="60"/>
      <c r="NMP8" s="60"/>
      <c r="NMQ8" s="60"/>
      <c r="NMR8" s="60"/>
      <c r="NMS8" s="60"/>
      <c r="NMT8" s="60"/>
      <c r="NMU8" s="60"/>
      <c r="NMV8" s="60"/>
      <c r="NMW8" s="60"/>
      <c r="NMX8" s="60"/>
      <c r="NMY8" s="60"/>
      <c r="NMZ8" s="60"/>
      <c r="NNA8" s="60"/>
      <c r="NNB8" s="60"/>
      <c r="NNC8" s="60"/>
      <c r="NND8" s="60"/>
      <c r="NNE8" s="60"/>
      <c r="NNF8" s="60"/>
      <c r="NNG8" s="60"/>
      <c r="NNH8" s="60"/>
      <c r="NNI8" s="60"/>
      <c r="NNJ8" s="60"/>
      <c r="NNK8" s="60"/>
      <c r="NNL8" s="60"/>
      <c r="NNM8" s="60"/>
      <c r="NNN8" s="60"/>
      <c r="NNO8" s="60"/>
      <c r="NNP8" s="60"/>
      <c r="NNQ8" s="60"/>
      <c r="NNR8" s="60"/>
      <c r="NNS8" s="60"/>
      <c r="NNT8" s="60"/>
      <c r="NNU8" s="60"/>
      <c r="NNV8" s="60"/>
      <c r="NNW8" s="60"/>
      <c r="NNX8" s="60"/>
      <c r="NNY8" s="60"/>
      <c r="NNZ8" s="60"/>
      <c r="NOA8" s="60"/>
      <c r="NOB8" s="60"/>
      <c r="NOC8" s="60"/>
      <c r="NOD8" s="60"/>
      <c r="NOE8" s="60"/>
      <c r="NOF8" s="60"/>
      <c r="NOG8" s="60"/>
      <c r="NOH8" s="60"/>
      <c r="NOI8" s="60"/>
      <c r="NOJ8" s="60"/>
      <c r="NOK8" s="60"/>
      <c r="NOL8" s="60"/>
      <c r="NOM8" s="60"/>
      <c r="NON8" s="60"/>
      <c r="NOO8" s="60"/>
      <c r="NOP8" s="60"/>
      <c r="NOQ8" s="60"/>
      <c r="NOR8" s="60"/>
      <c r="NOS8" s="60"/>
      <c r="NOT8" s="60"/>
      <c r="NOU8" s="60"/>
      <c r="NOV8" s="60"/>
      <c r="NOW8" s="60"/>
      <c r="NOX8" s="60"/>
      <c r="NOY8" s="60"/>
      <c r="NOZ8" s="60"/>
      <c r="NPA8" s="60"/>
      <c r="NPB8" s="60"/>
      <c r="NPC8" s="60"/>
      <c r="NPD8" s="60"/>
      <c r="NPE8" s="60"/>
      <c r="NPF8" s="60"/>
      <c r="NPG8" s="60"/>
      <c r="NPH8" s="60"/>
      <c r="NPI8" s="60"/>
      <c r="NPJ8" s="60"/>
      <c r="NPK8" s="60"/>
      <c r="NPL8" s="60"/>
      <c r="NPM8" s="60"/>
      <c r="NPN8" s="60"/>
      <c r="NPO8" s="60"/>
      <c r="NPP8" s="60"/>
      <c r="NPQ8" s="60"/>
      <c r="NPR8" s="60"/>
      <c r="NPS8" s="60"/>
      <c r="NPT8" s="60"/>
      <c r="NPU8" s="60"/>
      <c r="NPV8" s="60"/>
      <c r="NPW8" s="60"/>
      <c r="NPX8" s="60"/>
      <c r="NPY8" s="60"/>
      <c r="NPZ8" s="60"/>
      <c r="NQA8" s="60"/>
      <c r="NQB8" s="60"/>
      <c r="NQC8" s="60"/>
      <c r="NQD8" s="60"/>
      <c r="NQE8" s="60"/>
      <c r="NQF8" s="60"/>
      <c r="NQG8" s="60"/>
      <c r="NQH8" s="60"/>
      <c r="NQI8" s="60"/>
      <c r="NQJ8" s="60"/>
      <c r="NQK8" s="60"/>
      <c r="NQL8" s="60"/>
      <c r="NQM8" s="60"/>
      <c r="NQN8" s="60"/>
      <c r="NQO8" s="60"/>
      <c r="NQP8" s="60"/>
      <c r="NQQ8" s="60"/>
      <c r="NQR8" s="60"/>
      <c r="NQS8" s="60"/>
      <c r="NQT8" s="60"/>
      <c r="NQU8" s="60"/>
      <c r="NQV8" s="60"/>
      <c r="NQW8" s="60"/>
      <c r="NQX8" s="60"/>
      <c r="NQY8" s="60"/>
      <c r="NQZ8" s="60"/>
      <c r="NRA8" s="60"/>
      <c r="NRB8" s="60"/>
      <c r="NRC8" s="60"/>
      <c r="NRD8" s="60"/>
      <c r="NRE8" s="60"/>
      <c r="NRF8" s="60"/>
      <c r="NRG8" s="60"/>
      <c r="NRH8" s="60"/>
      <c r="NRI8" s="60"/>
      <c r="NRJ8" s="60"/>
      <c r="NRK8" s="60"/>
      <c r="NRL8" s="60"/>
      <c r="NRM8" s="60"/>
      <c r="NRN8" s="60"/>
      <c r="NRO8" s="60"/>
      <c r="NRP8" s="60"/>
      <c r="NRQ8" s="60"/>
      <c r="NRR8" s="60"/>
      <c r="NRS8" s="60"/>
      <c r="NRT8" s="60"/>
      <c r="NRU8" s="60"/>
      <c r="NRV8" s="60"/>
      <c r="NRW8" s="60"/>
      <c r="NRX8" s="60"/>
      <c r="NRY8" s="60"/>
      <c r="NRZ8" s="60"/>
      <c r="NSA8" s="60"/>
      <c r="NSB8" s="60"/>
      <c r="NSC8" s="60"/>
      <c r="NSD8" s="60"/>
      <c r="NSE8" s="60"/>
      <c r="NSF8" s="60"/>
      <c r="NSG8" s="60"/>
      <c r="NSH8" s="60"/>
      <c r="NSI8" s="60"/>
      <c r="NSJ8" s="60"/>
      <c r="NSK8" s="60"/>
      <c r="NSL8" s="60"/>
      <c r="NSM8" s="60"/>
      <c r="NSN8" s="60"/>
      <c r="NSO8" s="60"/>
      <c r="NSP8" s="60"/>
      <c r="NSQ8" s="60"/>
      <c r="NSR8" s="60"/>
      <c r="NSS8" s="60"/>
      <c r="NST8" s="60"/>
      <c r="NSU8" s="60"/>
      <c r="NSV8" s="60"/>
      <c r="NSW8" s="60"/>
      <c r="NSX8" s="60"/>
      <c r="NSY8" s="60"/>
      <c r="NSZ8" s="60"/>
      <c r="NTA8" s="60"/>
      <c r="NTB8" s="60"/>
      <c r="NTC8" s="60"/>
      <c r="NTD8" s="60"/>
      <c r="NTE8" s="60"/>
      <c r="NTF8" s="60"/>
      <c r="NTG8" s="60"/>
      <c r="NTH8" s="60"/>
      <c r="NTI8" s="60"/>
      <c r="NTJ8" s="60"/>
      <c r="NTK8" s="60"/>
      <c r="NTL8" s="60"/>
      <c r="NTM8" s="60"/>
      <c r="NTN8" s="60"/>
      <c r="NTO8" s="60"/>
      <c r="NTP8" s="60"/>
      <c r="NTQ8" s="60"/>
      <c r="NTR8" s="60"/>
      <c r="NTS8" s="60"/>
      <c r="NTT8" s="60"/>
      <c r="NTU8" s="60"/>
      <c r="NTV8" s="60"/>
      <c r="NTW8" s="60"/>
      <c r="NTX8" s="60"/>
      <c r="NTY8" s="60"/>
      <c r="NTZ8" s="60"/>
      <c r="NUA8" s="60"/>
      <c r="NUB8" s="60"/>
      <c r="NUC8" s="60"/>
      <c r="NUD8" s="60"/>
      <c r="NUE8" s="60"/>
      <c r="NUF8" s="60"/>
      <c r="NUG8" s="60"/>
      <c r="NUH8" s="60"/>
      <c r="NUI8" s="60"/>
      <c r="NUJ8" s="60"/>
      <c r="NUK8" s="60"/>
      <c r="NUL8" s="60"/>
      <c r="NUM8" s="60"/>
      <c r="NUN8" s="60"/>
      <c r="NUO8" s="60"/>
      <c r="NUP8" s="60"/>
      <c r="NUQ8" s="60"/>
      <c r="NUR8" s="60"/>
      <c r="NUS8" s="60"/>
      <c r="NUT8" s="60"/>
      <c r="NUU8" s="60"/>
      <c r="NUV8" s="60"/>
      <c r="NUW8" s="60"/>
      <c r="NUX8" s="60"/>
      <c r="NUY8" s="60"/>
      <c r="NUZ8" s="60"/>
      <c r="NVA8" s="60"/>
      <c r="NVB8" s="60"/>
      <c r="NVC8" s="60"/>
      <c r="NVD8" s="60"/>
      <c r="NVE8" s="60"/>
      <c r="NVF8" s="60"/>
      <c r="NVG8" s="60"/>
      <c r="NVH8" s="60"/>
      <c r="NVI8" s="60"/>
      <c r="NVJ8" s="60"/>
      <c r="NVK8" s="60"/>
      <c r="NVL8" s="60"/>
      <c r="NVM8" s="60"/>
      <c r="NVN8" s="60"/>
      <c r="NVO8" s="60"/>
      <c r="NVP8" s="60"/>
      <c r="NVQ8" s="60"/>
      <c r="NVR8" s="60"/>
      <c r="NVS8" s="60"/>
      <c r="NVT8" s="60"/>
      <c r="NVU8" s="60"/>
      <c r="NVV8" s="60"/>
      <c r="NVW8" s="60"/>
      <c r="NVX8" s="60"/>
      <c r="NVY8" s="60"/>
      <c r="NVZ8" s="60"/>
      <c r="NWA8" s="60"/>
      <c r="NWB8" s="60"/>
      <c r="NWC8" s="60"/>
      <c r="NWD8" s="60"/>
      <c r="NWE8" s="60"/>
      <c r="NWF8" s="60"/>
      <c r="NWG8" s="60"/>
      <c r="NWH8" s="60"/>
      <c r="NWI8" s="60"/>
      <c r="NWJ8" s="60"/>
      <c r="NWK8" s="60"/>
      <c r="NWL8" s="60"/>
      <c r="NWM8" s="60"/>
      <c r="NWN8" s="60"/>
      <c r="NWO8" s="60"/>
      <c r="NWP8" s="60"/>
      <c r="NWQ8" s="60"/>
      <c r="NWR8" s="60"/>
      <c r="NWS8" s="60"/>
      <c r="NWT8" s="60"/>
      <c r="NWU8" s="60"/>
      <c r="NWV8" s="60"/>
      <c r="NWW8" s="60"/>
      <c r="NWX8" s="60"/>
      <c r="NWY8" s="60"/>
      <c r="NWZ8" s="60"/>
      <c r="NXA8" s="60"/>
      <c r="NXB8" s="60"/>
      <c r="NXC8" s="60"/>
      <c r="NXD8" s="60"/>
      <c r="NXE8" s="60"/>
      <c r="NXF8" s="60"/>
      <c r="NXG8" s="60"/>
      <c r="NXH8" s="60"/>
      <c r="NXI8" s="60"/>
      <c r="NXJ8" s="60"/>
      <c r="NXK8" s="60"/>
      <c r="NXL8" s="60"/>
      <c r="NXM8" s="60"/>
      <c r="NXN8" s="60"/>
      <c r="NXO8" s="60"/>
      <c r="NXP8" s="60"/>
      <c r="NXQ8" s="60"/>
      <c r="NXR8" s="60"/>
      <c r="NXS8" s="60"/>
      <c r="NXT8" s="60"/>
      <c r="NXU8" s="60"/>
      <c r="NXV8" s="60"/>
      <c r="NXW8" s="60"/>
      <c r="NXX8" s="60"/>
      <c r="NXY8" s="60"/>
      <c r="NXZ8" s="60"/>
      <c r="NYA8" s="60"/>
      <c r="NYB8" s="60"/>
      <c r="NYC8" s="60"/>
      <c r="NYD8" s="60"/>
      <c r="NYE8" s="60"/>
      <c r="NYF8" s="60"/>
      <c r="NYG8" s="60"/>
      <c r="NYH8" s="60"/>
      <c r="NYI8" s="60"/>
      <c r="NYJ8" s="60"/>
      <c r="NYK8" s="60"/>
      <c r="NYL8" s="60"/>
      <c r="NYM8" s="60"/>
      <c r="NYN8" s="60"/>
      <c r="NYO8" s="60"/>
      <c r="NYP8" s="60"/>
      <c r="NYQ8" s="60"/>
      <c r="NYR8" s="60"/>
      <c r="NYS8" s="60"/>
      <c r="NYT8" s="60"/>
      <c r="NYU8" s="60"/>
      <c r="NYV8" s="60"/>
      <c r="NYW8" s="60"/>
      <c r="NYX8" s="60"/>
      <c r="NYY8" s="60"/>
      <c r="NYZ8" s="60"/>
      <c r="NZA8" s="60"/>
      <c r="NZB8" s="60"/>
      <c r="NZC8" s="60"/>
      <c r="NZD8" s="60"/>
      <c r="NZE8" s="60"/>
      <c r="NZF8" s="60"/>
      <c r="NZG8" s="60"/>
      <c r="NZH8" s="60"/>
      <c r="NZI8" s="60"/>
      <c r="NZJ8" s="60"/>
      <c r="NZK8" s="60"/>
      <c r="NZL8" s="60"/>
      <c r="NZM8" s="60"/>
      <c r="NZN8" s="60"/>
      <c r="NZO8" s="60"/>
      <c r="NZP8" s="60"/>
      <c r="NZQ8" s="60"/>
      <c r="NZR8" s="60"/>
      <c r="NZS8" s="60"/>
      <c r="NZT8" s="60"/>
      <c r="NZU8" s="60"/>
      <c r="NZV8" s="60"/>
      <c r="NZW8" s="60"/>
      <c r="NZX8" s="60"/>
      <c r="NZY8" s="60"/>
      <c r="NZZ8" s="60"/>
      <c r="OAA8" s="60"/>
      <c r="OAB8" s="60"/>
      <c r="OAC8" s="60"/>
      <c r="OAD8" s="60"/>
      <c r="OAE8" s="60"/>
      <c r="OAF8" s="60"/>
      <c r="OAG8" s="60"/>
      <c r="OAH8" s="60"/>
      <c r="OAI8" s="60"/>
      <c r="OAJ8" s="60"/>
      <c r="OAK8" s="60"/>
      <c r="OAL8" s="60"/>
      <c r="OAM8" s="60"/>
      <c r="OAN8" s="60"/>
      <c r="OAO8" s="60"/>
      <c r="OAP8" s="60"/>
      <c r="OAQ8" s="60"/>
      <c r="OAR8" s="60"/>
      <c r="OAS8" s="60"/>
      <c r="OAT8" s="60"/>
      <c r="OAU8" s="60"/>
      <c r="OAV8" s="60"/>
      <c r="OAW8" s="60"/>
      <c r="OAX8" s="60"/>
      <c r="OAY8" s="60"/>
      <c r="OAZ8" s="60"/>
      <c r="OBA8" s="60"/>
      <c r="OBB8" s="60"/>
      <c r="OBC8" s="60"/>
      <c r="OBD8" s="60"/>
      <c r="OBE8" s="60"/>
      <c r="OBF8" s="60"/>
      <c r="OBG8" s="60"/>
      <c r="OBH8" s="60"/>
      <c r="OBI8" s="60"/>
      <c r="OBJ8" s="60"/>
      <c r="OBK8" s="60"/>
      <c r="OBL8" s="60"/>
      <c r="OBM8" s="60"/>
      <c r="OBN8" s="60"/>
      <c r="OBO8" s="60"/>
      <c r="OBP8" s="60"/>
      <c r="OBQ8" s="60"/>
      <c r="OBR8" s="60"/>
      <c r="OBS8" s="60"/>
      <c r="OBT8" s="60"/>
      <c r="OBU8" s="60"/>
      <c r="OBV8" s="60"/>
      <c r="OBW8" s="60"/>
      <c r="OBX8" s="60"/>
      <c r="OBY8" s="60"/>
      <c r="OBZ8" s="60"/>
      <c r="OCA8" s="60"/>
      <c r="OCB8" s="60"/>
      <c r="OCC8" s="60"/>
      <c r="OCD8" s="60"/>
      <c r="OCE8" s="60"/>
      <c r="OCF8" s="60"/>
      <c r="OCG8" s="60"/>
      <c r="OCH8" s="60"/>
      <c r="OCI8" s="60"/>
      <c r="OCJ8" s="60"/>
      <c r="OCK8" s="60"/>
      <c r="OCL8" s="60"/>
      <c r="OCM8" s="60"/>
      <c r="OCN8" s="60"/>
      <c r="OCO8" s="60"/>
      <c r="OCP8" s="60"/>
      <c r="OCQ8" s="60"/>
      <c r="OCR8" s="60"/>
      <c r="OCS8" s="60"/>
      <c r="OCT8" s="60"/>
      <c r="OCU8" s="60"/>
      <c r="OCV8" s="60"/>
      <c r="OCW8" s="60"/>
      <c r="OCX8" s="60"/>
      <c r="OCY8" s="60"/>
      <c r="OCZ8" s="60"/>
      <c r="ODA8" s="60"/>
      <c r="ODB8" s="60"/>
      <c r="ODC8" s="60"/>
      <c r="ODD8" s="60"/>
      <c r="ODE8" s="60"/>
      <c r="ODF8" s="60"/>
      <c r="ODG8" s="60"/>
      <c r="ODH8" s="60"/>
      <c r="ODI8" s="60"/>
      <c r="ODJ8" s="60"/>
      <c r="ODK8" s="60"/>
      <c r="ODL8" s="60"/>
      <c r="ODM8" s="60"/>
      <c r="ODN8" s="60"/>
      <c r="ODO8" s="60"/>
      <c r="ODP8" s="60"/>
      <c r="ODQ8" s="60"/>
      <c r="ODR8" s="60"/>
      <c r="ODS8" s="60"/>
      <c r="ODT8" s="60"/>
      <c r="ODU8" s="60"/>
      <c r="ODV8" s="60"/>
      <c r="ODW8" s="60"/>
      <c r="ODX8" s="60"/>
      <c r="ODY8" s="60"/>
      <c r="ODZ8" s="60"/>
      <c r="OEA8" s="60"/>
      <c r="OEB8" s="60"/>
      <c r="OEC8" s="60"/>
      <c r="OED8" s="60"/>
      <c r="OEE8" s="60"/>
      <c r="OEF8" s="60"/>
      <c r="OEG8" s="60"/>
      <c r="OEH8" s="60"/>
      <c r="OEI8" s="60"/>
      <c r="OEJ8" s="60"/>
      <c r="OEK8" s="60"/>
      <c r="OEL8" s="60"/>
      <c r="OEM8" s="60"/>
      <c r="OEN8" s="60"/>
      <c r="OEO8" s="60"/>
      <c r="OEP8" s="60"/>
      <c r="OEQ8" s="60"/>
      <c r="OER8" s="60"/>
      <c r="OES8" s="60"/>
      <c r="OET8" s="60"/>
      <c r="OEU8" s="60"/>
      <c r="OEV8" s="60"/>
      <c r="OEW8" s="60"/>
      <c r="OEX8" s="60"/>
      <c r="OEY8" s="60"/>
      <c r="OEZ8" s="60"/>
      <c r="OFA8" s="60"/>
      <c r="OFB8" s="60"/>
      <c r="OFC8" s="60"/>
      <c r="OFD8" s="60"/>
      <c r="OFE8" s="60"/>
      <c r="OFF8" s="60"/>
      <c r="OFG8" s="60"/>
      <c r="OFH8" s="60"/>
      <c r="OFI8" s="60"/>
      <c r="OFJ8" s="60"/>
      <c r="OFK8" s="60"/>
      <c r="OFL8" s="60"/>
      <c r="OFM8" s="60"/>
      <c r="OFN8" s="60"/>
      <c r="OFO8" s="60"/>
      <c r="OFP8" s="60"/>
      <c r="OFQ8" s="60"/>
      <c r="OFR8" s="60"/>
      <c r="OFS8" s="60"/>
      <c r="OFT8" s="60"/>
      <c r="OFU8" s="60"/>
      <c r="OFV8" s="60"/>
      <c r="OFW8" s="60"/>
      <c r="OFX8" s="60"/>
      <c r="OFY8" s="60"/>
      <c r="OFZ8" s="60"/>
      <c r="OGA8" s="60"/>
      <c r="OGB8" s="60"/>
      <c r="OGC8" s="60"/>
      <c r="OGD8" s="60"/>
      <c r="OGE8" s="60"/>
      <c r="OGF8" s="60"/>
      <c r="OGG8" s="60"/>
      <c r="OGH8" s="60"/>
      <c r="OGI8" s="60"/>
      <c r="OGJ8" s="60"/>
      <c r="OGK8" s="60"/>
      <c r="OGL8" s="60"/>
      <c r="OGM8" s="60"/>
      <c r="OGN8" s="60"/>
      <c r="OGO8" s="60"/>
      <c r="OGP8" s="60"/>
      <c r="OGQ8" s="60"/>
      <c r="OGR8" s="60"/>
      <c r="OGS8" s="60"/>
      <c r="OGT8" s="60"/>
      <c r="OGU8" s="60"/>
      <c r="OGV8" s="60"/>
      <c r="OGW8" s="60"/>
      <c r="OGX8" s="60"/>
      <c r="OGY8" s="60"/>
      <c r="OGZ8" s="60"/>
      <c r="OHA8" s="60"/>
      <c r="OHB8" s="60"/>
      <c r="OHC8" s="60"/>
      <c r="OHD8" s="60"/>
      <c r="OHE8" s="60"/>
      <c r="OHF8" s="60"/>
      <c r="OHG8" s="60"/>
      <c r="OHH8" s="60"/>
      <c r="OHI8" s="60"/>
      <c r="OHJ8" s="60"/>
      <c r="OHK8" s="60"/>
      <c r="OHL8" s="60"/>
      <c r="OHM8" s="60"/>
      <c r="OHN8" s="60"/>
      <c r="OHO8" s="60"/>
      <c r="OHP8" s="60"/>
      <c r="OHQ8" s="60"/>
      <c r="OHR8" s="60"/>
      <c r="OHS8" s="60"/>
      <c r="OHT8" s="60"/>
      <c r="OHU8" s="60"/>
      <c r="OHV8" s="60"/>
      <c r="OHW8" s="60"/>
      <c r="OHX8" s="60"/>
      <c r="OHY8" s="60"/>
      <c r="OHZ8" s="60"/>
      <c r="OIA8" s="60"/>
      <c r="OIB8" s="60"/>
      <c r="OIC8" s="60"/>
      <c r="OID8" s="60"/>
      <c r="OIE8" s="60"/>
      <c r="OIF8" s="60"/>
      <c r="OIG8" s="60"/>
      <c r="OIH8" s="60"/>
      <c r="OII8" s="60"/>
      <c r="OIJ8" s="60"/>
      <c r="OIK8" s="60"/>
      <c r="OIL8" s="60"/>
      <c r="OIM8" s="60"/>
      <c r="OIN8" s="60"/>
      <c r="OIO8" s="60"/>
      <c r="OIP8" s="60"/>
      <c r="OIQ8" s="60"/>
      <c r="OIR8" s="60"/>
      <c r="OIS8" s="60"/>
      <c r="OIT8" s="60"/>
      <c r="OIU8" s="60"/>
      <c r="OIV8" s="60"/>
      <c r="OIW8" s="60"/>
      <c r="OIX8" s="60"/>
      <c r="OIY8" s="60"/>
      <c r="OIZ8" s="60"/>
      <c r="OJA8" s="60"/>
      <c r="OJB8" s="60"/>
      <c r="OJC8" s="60"/>
      <c r="OJD8" s="60"/>
      <c r="OJE8" s="60"/>
      <c r="OJF8" s="60"/>
      <c r="OJG8" s="60"/>
      <c r="OJH8" s="60"/>
      <c r="OJI8" s="60"/>
      <c r="OJJ8" s="60"/>
      <c r="OJK8" s="60"/>
      <c r="OJL8" s="60"/>
      <c r="OJM8" s="60"/>
      <c r="OJN8" s="60"/>
      <c r="OJO8" s="60"/>
      <c r="OJP8" s="60"/>
      <c r="OJQ8" s="60"/>
      <c r="OJR8" s="60"/>
      <c r="OJS8" s="60"/>
      <c r="OJT8" s="60"/>
      <c r="OJU8" s="60"/>
      <c r="OJV8" s="60"/>
      <c r="OJW8" s="60"/>
      <c r="OJX8" s="60"/>
      <c r="OJY8" s="60"/>
      <c r="OJZ8" s="60"/>
      <c r="OKA8" s="60"/>
      <c r="OKB8" s="60"/>
      <c r="OKC8" s="60"/>
      <c r="OKD8" s="60"/>
      <c r="OKE8" s="60"/>
      <c r="OKF8" s="60"/>
      <c r="OKG8" s="60"/>
      <c r="OKH8" s="60"/>
      <c r="OKI8" s="60"/>
      <c r="OKJ8" s="60"/>
      <c r="OKK8" s="60"/>
      <c r="OKL8" s="60"/>
      <c r="OKM8" s="60"/>
      <c r="OKN8" s="60"/>
      <c r="OKO8" s="60"/>
      <c r="OKP8" s="60"/>
      <c r="OKQ8" s="60"/>
      <c r="OKR8" s="60"/>
      <c r="OKS8" s="60"/>
      <c r="OKT8" s="60"/>
      <c r="OKU8" s="60"/>
      <c r="OKV8" s="60"/>
      <c r="OKW8" s="60"/>
      <c r="OKX8" s="60"/>
      <c r="OKY8" s="60"/>
      <c r="OKZ8" s="60"/>
      <c r="OLA8" s="60"/>
      <c r="OLB8" s="60"/>
      <c r="OLC8" s="60"/>
      <c r="OLD8" s="60"/>
      <c r="OLE8" s="60"/>
      <c r="OLF8" s="60"/>
      <c r="OLG8" s="60"/>
      <c r="OLH8" s="60"/>
      <c r="OLI8" s="60"/>
      <c r="OLJ8" s="60"/>
      <c r="OLK8" s="60"/>
      <c r="OLL8" s="60"/>
      <c r="OLM8" s="60"/>
      <c r="OLN8" s="60"/>
      <c r="OLO8" s="60"/>
      <c r="OLP8" s="60"/>
      <c r="OLQ8" s="60"/>
      <c r="OLR8" s="60"/>
      <c r="OLS8" s="60"/>
      <c r="OLT8" s="60"/>
      <c r="OLU8" s="60"/>
      <c r="OLV8" s="60"/>
      <c r="OLW8" s="60"/>
      <c r="OLX8" s="60"/>
      <c r="OLY8" s="60"/>
      <c r="OLZ8" s="60"/>
      <c r="OMA8" s="60"/>
      <c r="OMB8" s="60"/>
      <c r="OMC8" s="60"/>
      <c r="OMD8" s="60"/>
      <c r="OME8" s="60"/>
      <c r="OMF8" s="60"/>
      <c r="OMG8" s="60"/>
      <c r="OMH8" s="60"/>
      <c r="OMI8" s="60"/>
      <c r="OMJ8" s="60"/>
      <c r="OMK8" s="60"/>
      <c r="OML8" s="60"/>
      <c r="OMM8" s="60"/>
      <c r="OMN8" s="60"/>
      <c r="OMO8" s="60"/>
      <c r="OMP8" s="60"/>
      <c r="OMQ8" s="60"/>
      <c r="OMR8" s="60"/>
      <c r="OMS8" s="60"/>
      <c r="OMT8" s="60"/>
      <c r="OMU8" s="60"/>
      <c r="OMV8" s="60"/>
      <c r="OMW8" s="60"/>
      <c r="OMX8" s="60"/>
      <c r="OMY8" s="60"/>
      <c r="OMZ8" s="60"/>
      <c r="ONA8" s="60"/>
      <c r="ONB8" s="60"/>
      <c r="ONC8" s="60"/>
      <c r="OND8" s="60"/>
      <c r="ONE8" s="60"/>
      <c r="ONF8" s="60"/>
      <c r="ONG8" s="60"/>
      <c r="ONH8" s="60"/>
      <c r="ONI8" s="60"/>
      <c r="ONJ8" s="60"/>
      <c r="ONK8" s="60"/>
      <c r="ONL8" s="60"/>
      <c r="ONM8" s="60"/>
      <c r="ONN8" s="60"/>
      <c r="ONO8" s="60"/>
      <c r="ONP8" s="60"/>
      <c r="ONQ8" s="60"/>
      <c r="ONR8" s="60"/>
      <c r="ONS8" s="60"/>
      <c r="ONT8" s="60"/>
      <c r="ONU8" s="60"/>
      <c r="ONV8" s="60"/>
      <c r="ONW8" s="60"/>
      <c r="ONX8" s="60"/>
      <c r="ONY8" s="60"/>
      <c r="ONZ8" s="60"/>
      <c r="OOA8" s="60"/>
      <c r="OOB8" s="60"/>
      <c r="OOC8" s="60"/>
      <c r="OOD8" s="60"/>
      <c r="OOE8" s="60"/>
      <c r="OOF8" s="60"/>
      <c r="OOG8" s="60"/>
      <c r="OOH8" s="60"/>
      <c r="OOI8" s="60"/>
      <c r="OOJ8" s="60"/>
      <c r="OOK8" s="60"/>
      <c r="OOL8" s="60"/>
      <c r="OOM8" s="60"/>
      <c r="OON8" s="60"/>
      <c r="OOO8" s="60"/>
      <c r="OOP8" s="60"/>
      <c r="OOQ8" s="60"/>
      <c r="OOR8" s="60"/>
      <c r="OOS8" s="60"/>
      <c r="OOT8" s="60"/>
      <c r="OOU8" s="60"/>
      <c r="OOV8" s="60"/>
      <c r="OOW8" s="60"/>
      <c r="OOX8" s="60"/>
      <c r="OOY8" s="60"/>
      <c r="OOZ8" s="60"/>
      <c r="OPA8" s="60"/>
      <c r="OPB8" s="60"/>
      <c r="OPC8" s="60"/>
      <c r="OPD8" s="60"/>
      <c r="OPE8" s="60"/>
      <c r="OPF8" s="60"/>
      <c r="OPG8" s="60"/>
      <c r="OPH8" s="60"/>
      <c r="OPI8" s="60"/>
      <c r="OPJ8" s="60"/>
      <c r="OPK8" s="60"/>
      <c r="OPL8" s="60"/>
      <c r="OPM8" s="60"/>
      <c r="OPN8" s="60"/>
      <c r="OPO8" s="60"/>
      <c r="OPP8" s="60"/>
      <c r="OPQ8" s="60"/>
      <c r="OPR8" s="60"/>
      <c r="OPS8" s="60"/>
      <c r="OPT8" s="60"/>
      <c r="OPU8" s="60"/>
      <c r="OPV8" s="60"/>
      <c r="OPW8" s="60"/>
      <c r="OPX8" s="60"/>
      <c r="OPY8" s="60"/>
      <c r="OPZ8" s="60"/>
      <c r="OQA8" s="60"/>
      <c r="OQB8" s="60"/>
      <c r="OQC8" s="60"/>
      <c r="OQD8" s="60"/>
      <c r="OQE8" s="60"/>
      <c r="OQF8" s="60"/>
      <c r="OQG8" s="60"/>
      <c r="OQH8" s="60"/>
      <c r="OQI8" s="60"/>
      <c r="OQJ8" s="60"/>
      <c r="OQK8" s="60"/>
      <c r="OQL8" s="60"/>
      <c r="OQM8" s="60"/>
      <c r="OQN8" s="60"/>
      <c r="OQO8" s="60"/>
      <c r="OQP8" s="60"/>
      <c r="OQQ8" s="60"/>
      <c r="OQR8" s="60"/>
      <c r="OQS8" s="60"/>
      <c r="OQT8" s="60"/>
      <c r="OQU8" s="60"/>
      <c r="OQV8" s="60"/>
      <c r="OQW8" s="60"/>
      <c r="OQX8" s="60"/>
      <c r="OQY8" s="60"/>
      <c r="OQZ8" s="60"/>
      <c r="ORA8" s="60"/>
      <c r="ORB8" s="60"/>
      <c r="ORC8" s="60"/>
      <c r="ORD8" s="60"/>
      <c r="ORE8" s="60"/>
      <c r="ORF8" s="60"/>
      <c r="ORG8" s="60"/>
      <c r="ORH8" s="60"/>
      <c r="ORI8" s="60"/>
      <c r="ORJ8" s="60"/>
      <c r="ORK8" s="60"/>
      <c r="ORL8" s="60"/>
      <c r="ORM8" s="60"/>
      <c r="ORN8" s="60"/>
      <c r="ORO8" s="60"/>
      <c r="ORP8" s="60"/>
      <c r="ORQ8" s="60"/>
      <c r="ORR8" s="60"/>
      <c r="ORS8" s="60"/>
      <c r="ORT8" s="60"/>
      <c r="ORU8" s="60"/>
      <c r="ORV8" s="60"/>
      <c r="ORW8" s="60"/>
      <c r="ORX8" s="60"/>
      <c r="ORY8" s="60"/>
      <c r="ORZ8" s="60"/>
      <c r="OSA8" s="60"/>
      <c r="OSB8" s="60"/>
      <c r="OSC8" s="60"/>
      <c r="OSD8" s="60"/>
      <c r="OSE8" s="60"/>
      <c r="OSF8" s="60"/>
      <c r="OSG8" s="60"/>
      <c r="OSH8" s="60"/>
      <c r="OSI8" s="60"/>
      <c r="OSJ8" s="60"/>
      <c r="OSK8" s="60"/>
      <c r="OSL8" s="60"/>
      <c r="OSM8" s="60"/>
      <c r="OSN8" s="60"/>
      <c r="OSO8" s="60"/>
      <c r="OSP8" s="60"/>
      <c r="OSQ8" s="60"/>
      <c r="OSR8" s="60"/>
      <c r="OSS8" s="60"/>
      <c r="OST8" s="60"/>
      <c r="OSU8" s="60"/>
      <c r="OSV8" s="60"/>
      <c r="OSW8" s="60"/>
      <c r="OSX8" s="60"/>
      <c r="OSY8" s="60"/>
      <c r="OSZ8" s="60"/>
      <c r="OTA8" s="60"/>
      <c r="OTB8" s="60"/>
      <c r="OTC8" s="60"/>
      <c r="OTD8" s="60"/>
      <c r="OTE8" s="60"/>
      <c r="OTF8" s="60"/>
      <c r="OTG8" s="60"/>
      <c r="OTH8" s="60"/>
      <c r="OTI8" s="60"/>
      <c r="OTJ8" s="60"/>
      <c r="OTK8" s="60"/>
      <c r="OTL8" s="60"/>
      <c r="OTM8" s="60"/>
      <c r="OTN8" s="60"/>
      <c r="OTO8" s="60"/>
      <c r="OTP8" s="60"/>
      <c r="OTQ8" s="60"/>
      <c r="OTR8" s="60"/>
      <c r="OTS8" s="60"/>
      <c r="OTT8" s="60"/>
      <c r="OTU8" s="60"/>
      <c r="OTV8" s="60"/>
      <c r="OTW8" s="60"/>
      <c r="OTX8" s="60"/>
      <c r="OTY8" s="60"/>
      <c r="OTZ8" s="60"/>
      <c r="OUA8" s="60"/>
      <c r="OUB8" s="60"/>
      <c r="OUC8" s="60"/>
      <c r="OUD8" s="60"/>
      <c r="OUE8" s="60"/>
      <c r="OUF8" s="60"/>
      <c r="OUG8" s="60"/>
      <c r="OUH8" s="60"/>
      <c r="OUI8" s="60"/>
      <c r="OUJ8" s="60"/>
      <c r="OUK8" s="60"/>
      <c r="OUL8" s="60"/>
      <c r="OUM8" s="60"/>
      <c r="OUN8" s="60"/>
      <c r="OUO8" s="60"/>
      <c r="OUP8" s="60"/>
      <c r="OUQ8" s="60"/>
      <c r="OUR8" s="60"/>
      <c r="OUS8" s="60"/>
      <c r="OUT8" s="60"/>
      <c r="OUU8" s="60"/>
      <c r="OUV8" s="60"/>
      <c r="OUW8" s="60"/>
      <c r="OUX8" s="60"/>
      <c r="OUY8" s="60"/>
      <c r="OUZ8" s="60"/>
      <c r="OVA8" s="60"/>
      <c r="OVB8" s="60"/>
      <c r="OVC8" s="60"/>
      <c r="OVD8" s="60"/>
      <c r="OVE8" s="60"/>
      <c r="OVF8" s="60"/>
      <c r="OVG8" s="60"/>
      <c r="OVH8" s="60"/>
      <c r="OVI8" s="60"/>
      <c r="OVJ8" s="60"/>
      <c r="OVK8" s="60"/>
      <c r="OVL8" s="60"/>
      <c r="OVM8" s="60"/>
      <c r="OVN8" s="60"/>
      <c r="OVO8" s="60"/>
      <c r="OVP8" s="60"/>
      <c r="OVQ8" s="60"/>
      <c r="OVR8" s="60"/>
      <c r="OVS8" s="60"/>
      <c r="OVT8" s="60"/>
      <c r="OVU8" s="60"/>
      <c r="OVV8" s="60"/>
      <c r="OVW8" s="60"/>
      <c r="OVX8" s="60"/>
      <c r="OVY8" s="60"/>
      <c r="OVZ8" s="60"/>
      <c r="OWA8" s="60"/>
      <c r="OWB8" s="60"/>
      <c r="OWC8" s="60"/>
      <c r="OWD8" s="60"/>
      <c r="OWE8" s="60"/>
      <c r="OWF8" s="60"/>
      <c r="OWG8" s="60"/>
      <c r="OWH8" s="60"/>
      <c r="OWI8" s="60"/>
      <c r="OWJ8" s="60"/>
      <c r="OWK8" s="60"/>
      <c r="OWL8" s="60"/>
      <c r="OWM8" s="60"/>
      <c r="OWN8" s="60"/>
      <c r="OWO8" s="60"/>
      <c r="OWP8" s="60"/>
      <c r="OWQ8" s="60"/>
      <c r="OWR8" s="60"/>
      <c r="OWS8" s="60"/>
      <c r="OWT8" s="60"/>
      <c r="OWU8" s="60"/>
      <c r="OWV8" s="60"/>
      <c r="OWW8" s="60"/>
      <c r="OWX8" s="60"/>
      <c r="OWY8" s="60"/>
      <c r="OWZ8" s="60"/>
      <c r="OXA8" s="60"/>
      <c r="OXB8" s="60"/>
      <c r="OXC8" s="60"/>
      <c r="OXD8" s="60"/>
      <c r="OXE8" s="60"/>
      <c r="OXF8" s="60"/>
      <c r="OXG8" s="60"/>
      <c r="OXH8" s="60"/>
      <c r="OXI8" s="60"/>
      <c r="OXJ8" s="60"/>
      <c r="OXK8" s="60"/>
      <c r="OXL8" s="60"/>
      <c r="OXM8" s="60"/>
      <c r="OXN8" s="60"/>
      <c r="OXO8" s="60"/>
      <c r="OXP8" s="60"/>
      <c r="OXQ8" s="60"/>
      <c r="OXR8" s="60"/>
      <c r="OXS8" s="60"/>
      <c r="OXT8" s="60"/>
      <c r="OXU8" s="60"/>
      <c r="OXV8" s="60"/>
      <c r="OXW8" s="60"/>
      <c r="OXX8" s="60"/>
      <c r="OXY8" s="60"/>
      <c r="OXZ8" s="60"/>
      <c r="OYA8" s="60"/>
      <c r="OYB8" s="60"/>
      <c r="OYC8" s="60"/>
      <c r="OYD8" s="60"/>
      <c r="OYE8" s="60"/>
      <c r="OYF8" s="60"/>
      <c r="OYG8" s="60"/>
      <c r="OYH8" s="60"/>
      <c r="OYI8" s="60"/>
      <c r="OYJ8" s="60"/>
      <c r="OYK8" s="60"/>
      <c r="OYL8" s="60"/>
      <c r="OYM8" s="60"/>
      <c r="OYN8" s="60"/>
      <c r="OYO8" s="60"/>
      <c r="OYP8" s="60"/>
      <c r="OYQ8" s="60"/>
      <c r="OYR8" s="60"/>
      <c r="OYS8" s="60"/>
      <c r="OYT8" s="60"/>
      <c r="OYU8" s="60"/>
      <c r="OYV8" s="60"/>
      <c r="OYW8" s="60"/>
      <c r="OYX8" s="60"/>
      <c r="OYY8" s="60"/>
      <c r="OYZ8" s="60"/>
      <c r="OZA8" s="60"/>
      <c r="OZB8" s="60"/>
      <c r="OZC8" s="60"/>
      <c r="OZD8" s="60"/>
      <c r="OZE8" s="60"/>
      <c r="OZF8" s="60"/>
      <c r="OZG8" s="60"/>
      <c r="OZH8" s="60"/>
      <c r="OZI8" s="60"/>
      <c r="OZJ8" s="60"/>
      <c r="OZK8" s="60"/>
      <c r="OZL8" s="60"/>
      <c r="OZM8" s="60"/>
      <c r="OZN8" s="60"/>
      <c r="OZO8" s="60"/>
      <c r="OZP8" s="60"/>
      <c r="OZQ8" s="60"/>
      <c r="OZR8" s="60"/>
      <c r="OZS8" s="60"/>
      <c r="OZT8" s="60"/>
      <c r="OZU8" s="60"/>
      <c r="OZV8" s="60"/>
      <c r="OZW8" s="60"/>
      <c r="OZX8" s="60"/>
      <c r="OZY8" s="60"/>
      <c r="OZZ8" s="60"/>
      <c r="PAA8" s="60"/>
      <c r="PAB8" s="60"/>
      <c r="PAC8" s="60"/>
      <c r="PAD8" s="60"/>
      <c r="PAE8" s="60"/>
      <c r="PAF8" s="60"/>
      <c r="PAG8" s="60"/>
      <c r="PAH8" s="60"/>
      <c r="PAI8" s="60"/>
      <c r="PAJ8" s="60"/>
      <c r="PAK8" s="60"/>
      <c r="PAL8" s="60"/>
      <c r="PAM8" s="60"/>
      <c r="PAN8" s="60"/>
      <c r="PAO8" s="60"/>
      <c r="PAP8" s="60"/>
      <c r="PAQ8" s="60"/>
      <c r="PAR8" s="60"/>
      <c r="PAS8" s="60"/>
      <c r="PAT8" s="60"/>
      <c r="PAU8" s="60"/>
      <c r="PAV8" s="60"/>
      <c r="PAW8" s="60"/>
      <c r="PAX8" s="60"/>
      <c r="PAY8" s="60"/>
      <c r="PAZ8" s="60"/>
      <c r="PBA8" s="60"/>
      <c r="PBB8" s="60"/>
      <c r="PBC8" s="60"/>
      <c r="PBD8" s="60"/>
      <c r="PBE8" s="60"/>
      <c r="PBF8" s="60"/>
      <c r="PBG8" s="60"/>
      <c r="PBH8" s="60"/>
      <c r="PBI8" s="60"/>
      <c r="PBJ8" s="60"/>
      <c r="PBK8" s="60"/>
      <c r="PBL8" s="60"/>
      <c r="PBM8" s="60"/>
      <c r="PBN8" s="60"/>
      <c r="PBO8" s="60"/>
      <c r="PBP8" s="60"/>
      <c r="PBQ8" s="60"/>
      <c r="PBR8" s="60"/>
      <c r="PBS8" s="60"/>
      <c r="PBT8" s="60"/>
      <c r="PBU8" s="60"/>
      <c r="PBV8" s="60"/>
      <c r="PBW8" s="60"/>
      <c r="PBX8" s="60"/>
      <c r="PBY8" s="60"/>
      <c r="PBZ8" s="60"/>
      <c r="PCA8" s="60"/>
      <c r="PCB8" s="60"/>
      <c r="PCC8" s="60"/>
      <c r="PCD8" s="60"/>
      <c r="PCE8" s="60"/>
      <c r="PCF8" s="60"/>
      <c r="PCG8" s="60"/>
      <c r="PCH8" s="60"/>
      <c r="PCI8" s="60"/>
      <c r="PCJ8" s="60"/>
      <c r="PCK8" s="60"/>
      <c r="PCL8" s="60"/>
      <c r="PCM8" s="60"/>
      <c r="PCN8" s="60"/>
      <c r="PCO8" s="60"/>
      <c r="PCP8" s="60"/>
      <c r="PCQ8" s="60"/>
      <c r="PCR8" s="60"/>
      <c r="PCS8" s="60"/>
      <c r="PCT8" s="60"/>
      <c r="PCU8" s="60"/>
      <c r="PCV8" s="60"/>
      <c r="PCW8" s="60"/>
      <c r="PCX8" s="60"/>
      <c r="PCY8" s="60"/>
      <c r="PCZ8" s="60"/>
      <c r="PDA8" s="60"/>
      <c r="PDB8" s="60"/>
      <c r="PDC8" s="60"/>
      <c r="PDD8" s="60"/>
      <c r="PDE8" s="60"/>
      <c r="PDF8" s="60"/>
      <c r="PDG8" s="60"/>
      <c r="PDH8" s="60"/>
      <c r="PDI8" s="60"/>
      <c r="PDJ8" s="60"/>
      <c r="PDK8" s="60"/>
      <c r="PDL8" s="60"/>
      <c r="PDM8" s="60"/>
      <c r="PDN8" s="60"/>
      <c r="PDO8" s="60"/>
      <c r="PDP8" s="60"/>
      <c r="PDQ8" s="60"/>
      <c r="PDR8" s="60"/>
      <c r="PDS8" s="60"/>
      <c r="PDT8" s="60"/>
      <c r="PDU8" s="60"/>
      <c r="PDV8" s="60"/>
      <c r="PDW8" s="60"/>
      <c r="PDX8" s="60"/>
      <c r="PDY8" s="60"/>
      <c r="PDZ8" s="60"/>
      <c r="PEA8" s="60"/>
      <c r="PEB8" s="60"/>
      <c r="PEC8" s="60"/>
      <c r="PED8" s="60"/>
      <c r="PEE8" s="60"/>
      <c r="PEF8" s="60"/>
      <c r="PEG8" s="60"/>
      <c r="PEH8" s="60"/>
      <c r="PEI8" s="60"/>
      <c r="PEJ8" s="60"/>
      <c r="PEK8" s="60"/>
      <c r="PEL8" s="60"/>
      <c r="PEM8" s="60"/>
      <c r="PEN8" s="60"/>
      <c r="PEO8" s="60"/>
      <c r="PEP8" s="60"/>
      <c r="PEQ8" s="60"/>
      <c r="PER8" s="60"/>
      <c r="PES8" s="60"/>
      <c r="PET8" s="60"/>
      <c r="PEU8" s="60"/>
      <c r="PEV8" s="60"/>
      <c r="PEW8" s="60"/>
      <c r="PEX8" s="60"/>
      <c r="PEY8" s="60"/>
      <c r="PEZ8" s="60"/>
      <c r="PFA8" s="60"/>
      <c r="PFB8" s="60"/>
      <c r="PFC8" s="60"/>
      <c r="PFD8" s="60"/>
      <c r="PFE8" s="60"/>
      <c r="PFF8" s="60"/>
      <c r="PFG8" s="60"/>
      <c r="PFH8" s="60"/>
      <c r="PFI8" s="60"/>
      <c r="PFJ8" s="60"/>
      <c r="PFK8" s="60"/>
      <c r="PFL8" s="60"/>
      <c r="PFM8" s="60"/>
      <c r="PFN8" s="60"/>
      <c r="PFO8" s="60"/>
      <c r="PFP8" s="60"/>
      <c r="PFQ8" s="60"/>
      <c r="PFR8" s="60"/>
      <c r="PFS8" s="60"/>
      <c r="PFT8" s="60"/>
      <c r="PFU8" s="60"/>
      <c r="PFV8" s="60"/>
      <c r="PFW8" s="60"/>
      <c r="PFX8" s="60"/>
      <c r="PFY8" s="60"/>
      <c r="PFZ8" s="60"/>
      <c r="PGA8" s="60"/>
      <c r="PGB8" s="60"/>
      <c r="PGC8" s="60"/>
      <c r="PGD8" s="60"/>
      <c r="PGE8" s="60"/>
      <c r="PGF8" s="60"/>
      <c r="PGG8" s="60"/>
      <c r="PGH8" s="60"/>
      <c r="PGI8" s="60"/>
      <c r="PGJ8" s="60"/>
      <c r="PGK8" s="60"/>
      <c r="PGL8" s="60"/>
      <c r="PGM8" s="60"/>
      <c r="PGN8" s="60"/>
      <c r="PGO8" s="60"/>
      <c r="PGP8" s="60"/>
      <c r="PGQ8" s="60"/>
      <c r="PGR8" s="60"/>
      <c r="PGS8" s="60"/>
      <c r="PGT8" s="60"/>
      <c r="PGU8" s="60"/>
      <c r="PGV8" s="60"/>
      <c r="PGW8" s="60"/>
      <c r="PGX8" s="60"/>
      <c r="PGY8" s="60"/>
      <c r="PGZ8" s="60"/>
      <c r="PHA8" s="60"/>
      <c r="PHB8" s="60"/>
      <c r="PHC8" s="60"/>
      <c r="PHD8" s="60"/>
      <c r="PHE8" s="60"/>
      <c r="PHF8" s="60"/>
      <c r="PHG8" s="60"/>
      <c r="PHH8" s="60"/>
      <c r="PHI8" s="60"/>
      <c r="PHJ8" s="60"/>
      <c r="PHK8" s="60"/>
      <c r="PHL8" s="60"/>
      <c r="PHM8" s="60"/>
      <c r="PHN8" s="60"/>
      <c r="PHO8" s="60"/>
      <c r="PHP8" s="60"/>
      <c r="PHQ8" s="60"/>
      <c r="PHR8" s="60"/>
      <c r="PHS8" s="60"/>
      <c r="PHT8" s="60"/>
      <c r="PHU8" s="60"/>
      <c r="PHV8" s="60"/>
      <c r="PHW8" s="60"/>
      <c r="PHX8" s="60"/>
      <c r="PHY8" s="60"/>
      <c r="PHZ8" s="60"/>
      <c r="PIA8" s="60"/>
      <c r="PIB8" s="60"/>
      <c r="PIC8" s="60"/>
      <c r="PID8" s="60"/>
      <c r="PIE8" s="60"/>
      <c r="PIF8" s="60"/>
      <c r="PIG8" s="60"/>
      <c r="PIH8" s="60"/>
      <c r="PII8" s="60"/>
      <c r="PIJ8" s="60"/>
      <c r="PIK8" s="60"/>
      <c r="PIL8" s="60"/>
      <c r="PIM8" s="60"/>
      <c r="PIN8" s="60"/>
      <c r="PIO8" s="60"/>
      <c r="PIP8" s="60"/>
      <c r="PIQ8" s="60"/>
      <c r="PIR8" s="60"/>
      <c r="PIS8" s="60"/>
      <c r="PIT8" s="60"/>
      <c r="PIU8" s="60"/>
      <c r="PIV8" s="60"/>
      <c r="PIW8" s="60"/>
      <c r="PIX8" s="60"/>
      <c r="PIY8" s="60"/>
      <c r="PIZ8" s="60"/>
      <c r="PJA8" s="60"/>
      <c r="PJB8" s="60"/>
      <c r="PJC8" s="60"/>
      <c r="PJD8" s="60"/>
      <c r="PJE8" s="60"/>
      <c r="PJF8" s="60"/>
      <c r="PJG8" s="60"/>
      <c r="PJH8" s="60"/>
      <c r="PJI8" s="60"/>
      <c r="PJJ8" s="60"/>
      <c r="PJK8" s="60"/>
      <c r="PJL8" s="60"/>
      <c r="PJM8" s="60"/>
      <c r="PJN8" s="60"/>
      <c r="PJO8" s="60"/>
      <c r="PJP8" s="60"/>
      <c r="PJQ8" s="60"/>
      <c r="PJR8" s="60"/>
      <c r="PJS8" s="60"/>
      <c r="PJT8" s="60"/>
      <c r="PJU8" s="60"/>
      <c r="PJV8" s="60"/>
      <c r="PJW8" s="60"/>
      <c r="PJX8" s="60"/>
      <c r="PJY8" s="60"/>
      <c r="PJZ8" s="60"/>
      <c r="PKA8" s="60"/>
      <c r="PKB8" s="60"/>
      <c r="PKC8" s="60"/>
      <c r="PKD8" s="60"/>
      <c r="PKE8" s="60"/>
      <c r="PKF8" s="60"/>
      <c r="PKG8" s="60"/>
      <c r="PKH8" s="60"/>
      <c r="PKI8" s="60"/>
      <c r="PKJ8" s="60"/>
      <c r="PKK8" s="60"/>
      <c r="PKL8" s="60"/>
      <c r="PKM8" s="60"/>
      <c r="PKN8" s="60"/>
      <c r="PKO8" s="60"/>
      <c r="PKP8" s="60"/>
      <c r="PKQ8" s="60"/>
      <c r="PKR8" s="60"/>
      <c r="PKS8" s="60"/>
      <c r="PKT8" s="60"/>
      <c r="PKU8" s="60"/>
      <c r="PKV8" s="60"/>
      <c r="PKW8" s="60"/>
      <c r="PKX8" s="60"/>
      <c r="PKY8" s="60"/>
      <c r="PKZ8" s="60"/>
      <c r="PLA8" s="60"/>
      <c r="PLB8" s="60"/>
      <c r="PLC8" s="60"/>
      <c r="PLD8" s="60"/>
      <c r="PLE8" s="60"/>
      <c r="PLF8" s="60"/>
      <c r="PLG8" s="60"/>
      <c r="PLH8" s="60"/>
      <c r="PLI8" s="60"/>
      <c r="PLJ8" s="60"/>
      <c r="PLK8" s="60"/>
      <c r="PLL8" s="60"/>
      <c r="PLM8" s="60"/>
      <c r="PLN8" s="60"/>
      <c r="PLO8" s="60"/>
      <c r="PLP8" s="60"/>
      <c r="PLQ8" s="60"/>
      <c r="PLR8" s="60"/>
      <c r="PLS8" s="60"/>
      <c r="PLT8" s="60"/>
      <c r="PLU8" s="60"/>
      <c r="PLV8" s="60"/>
      <c r="PLW8" s="60"/>
      <c r="PLX8" s="60"/>
      <c r="PLY8" s="60"/>
      <c r="PLZ8" s="60"/>
      <c r="PMA8" s="60"/>
      <c r="PMB8" s="60"/>
      <c r="PMC8" s="60"/>
      <c r="PMD8" s="60"/>
      <c r="PME8" s="60"/>
      <c r="PMF8" s="60"/>
      <c r="PMG8" s="60"/>
      <c r="PMH8" s="60"/>
      <c r="PMI8" s="60"/>
      <c r="PMJ8" s="60"/>
      <c r="PMK8" s="60"/>
      <c r="PML8" s="60"/>
      <c r="PMM8" s="60"/>
      <c r="PMN8" s="60"/>
      <c r="PMO8" s="60"/>
      <c r="PMP8" s="60"/>
      <c r="PMQ8" s="60"/>
      <c r="PMR8" s="60"/>
      <c r="PMS8" s="60"/>
      <c r="PMT8" s="60"/>
      <c r="PMU8" s="60"/>
      <c r="PMV8" s="60"/>
      <c r="PMW8" s="60"/>
      <c r="PMX8" s="60"/>
      <c r="PMY8" s="60"/>
      <c r="PMZ8" s="60"/>
      <c r="PNA8" s="60"/>
      <c r="PNB8" s="60"/>
      <c r="PNC8" s="60"/>
      <c r="PND8" s="60"/>
      <c r="PNE8" s="60"/>
      <c r="PNF8" s="60"/>
      <c r="PNG8" s="60"/>
      <c r="PNH8" s="60"/>
      <c r="PNI8" s="60"/>
      <c r="PNJ8" s="60"/>
      <c r="PNK8" s="60"/>
      <c r="PNL8" s="60"/>
      <c r="PNM8" s="60"/>
      <c r="PNN8" s="60"/>
      <c r="PNO8" s="60"/>
      <c r="PNP8" s="60"/>
      <c r="PNQ8" s="60"/>
      <c r="PNR8" s="60"/>
      <c r="PNS8" s="60"/>
      <c r="PNT8" s="60"/>
      <c r="PNU8" s="60"/>
      <c r="PNV8" s="60"/>
      <c r="PNW8" s="60"/>
      <c r="PNX8" s="60"/>
      <c r="PNY8" s="60"/>
      <c r="PNZ8" s="60"/>
      <c r="POA8" s="60"/>
      <c r="POB8" s="60"/>
      <c r="POC8" s="60"/>
      <c r="POD8" s="60"/>
      <c r="POE8" s="60"/>
      <c r="POF8" s="60"/>
      <c r="POG8" s="60"/>
      <c r="POH8" s="60"/>
      <c r="POI8" s="60"/>
      <c r="POJ8" s="60"/>
      <c r="POK8" s="60"/>
      <c r="POL8" s="60"/>
      <c r="POM8" s="60"/>
      <c r="PON8" s="60"/>
      <c r="POO8" s="60"/>
      <c r="POP8" s="60"/>
      <c r="POQ8" s="60"/>
      <c r="POR8" s="60"/>
      <c r="POS8" s="60"/>
      <c r="POT8" s="60"/>
      <c r="POU8" s="60"/>
      <c r="POV8" s="60"/>
      <c r="POW8" s="60"/>
      <c r="POX8" s="60"/>
      <c r="POY8" s="60"/>
      <c r="POZ8" s="60"/>
      <c r="PPA8" s="60"/>
      <c r="PPB8" s="60"/>
      <c r="PPC8" s="60"/>
      <c r="PPD8" s="60"/>
      <c r="PPE8" s="60"/>
      <c r="PPF8" s="60"/>
      <c r="PPG8" s="60"/>
      <c r="PPH8" s="60"/>
      <c r="PPI8" s="60"/>
      <c r="PPJ8" s="60"/>
      <c r="PPK8" s="60"/>
      <c r="PPL8" s="60"/>
      <c r="PPM8" s="60"/>
      <c r="PPN8" s="60"/>
      <c r="PPO8" s="60"/>
      <c r="PPP8" s="60"/>
      <c r="PPQ8" s="60"/>
      <c r="PPR8" s="60"/>
      <c r="PPS8" s="60"/>
      <c r="PPT8" s="60"/>
      <c r="PPU8" s="60"/>
      <c r="PPV8" s="60"/>
      <c r="PPW8" s="60"/>
      <c r="PPX8" s="60"/>
      <c r="PPY8" s="60"/>
      <c r="PPZ8" s="60"/>
      <c r="PQA8" s="60"/>
      <c r="PQB8" s="60"/>
      <c r="PQC8" s="60"/>
      <c r="PQD8" s="60"/>
      <c r="PQE8" s="60"/>
      <c r="PQF8" s="60"/>
      <c r="PQG8" s="60"/>
      <c r="PQH8" s="60"/>
      <c r="PQI8" s="60"/>
      <c r="PQJ8" s="60"/>
      <c r="PQK8" s="60"/>
      <c r="PQL8" s="60"/>
      <c r="PQM8" s="60"/>
      <c r="PQN8" s="60"/>
      <c r="PQO8" s="60"/>
      <c r="PQP8" s="60"/>
      <c r="PQQ8" s="60"/>
      <c r="PQR8" s="60"/>
      <c r="PQS8" s="60"/>
      <c r="PQT8" s="60"/>
      <c r="PQU8" s="60"/>
      <c r="PQV8" s="60"/>
      <c r="PQW8" s="60"/>
      <c r="PQX8" s="60"/>
      <c r="PQY8" s="60"/>
      <c r="PQZ8" s="60"/>
      <c r="PRA8" s="60"/>
      <c r="PRB8" s="60"/>
      <c r="PRC8" s="60"/>
      <c r="PRD8" s="60"/>
      <c r="PRE8" s="60"/>
      <c r="PRF8" s="60"/>
      <c r="PRG8" s="60"/>
      <c r="PRH8" s="60"/>
      <c r="PRI8" s="60"/>
      <c r="PRJ8" s="60"/>
      <c r="PRK8" s="60"/>
      <c r="PRL8" s="60"/>
      <c r="PRM8" s="60"/>
      <c r="PRN8" s="60"/>
      <c r="PRO8" s="60"/>
      <c r="PRP8" s="60"/>
      <c r="PRQ8" s="60"/>
      <c r="PRR8" s="60"/>
      <c r="PRS8" s="60"/>
      <c r="PRT8" s="60"/>
      <c r="PRU8" s="60"/>
      <c r="PRV8" s="60"/>
      <c r="PRW8" s="60"/>
      <c r="PRX8" s="60"/>
      <c r="PRY8" s="60"/>
      <c r="PRZ8" s="60"/>
      <c r="PSA8" s="60"/>
      <c r="PSB8" s="60"/>
      <c r="PSC8" s="60"/>
      <c r="PSD8" s="60"/>
      <c r="PSE8" s="60"/>
      <c r="PSF8" s="60"/>
      <c r="PSG8" s="60"/>
      <c r="PSH8" s="60"/>
      <c r="PSI8" s="60"/>
      <c r="PSJ8" s="60"/>
      <c r="PSK8" s="60"/>
      <c r="PSL8" s="60"/>
      <c r="PSM8" s="60"/>
      <c r="PSN8" s="60"/>
      <c r="PSO8" s="60"/>
      <c r="PSP8" s="60"/>
      <c r="PSQ8" s="60"/>
      <c r="PSR8" s="60"/>
      <c r="PSS8" s="60"/>
      <c r="PST8" s="60"/>
      <c r="PSU8" s="60"/>
      <c r="PSV8" s="60"/>
      <c r="PSW8" s="60"/>
      <c r="PSX8" s="60"/>
      <c r="PSY8" s="60"/>
      <c r="PSZ8" s="60"/>
      <c r="PTA8" s="60"/>
      <c r="PTB8" s="60"/>
      <c r="PTC8" s="60"/>
      <c r="PTD8" s="60"/>
      <c r="PTE8" s="60"/>
      <c r="PTF8" s="60"/>
      <c r="PTG8" s="60"/>
      <c r="PTH8" s="60"/>
      <c r="PTI8" s="60"/>
      <c r="PTJ8" s="60"/>
      <c r="PTK8" s="60"/>
      <c r="PTL8" s="60"/>
      <c r="PTM8" s="60"/>
      <c r="PTN8" s="60"/>
      <c r="PTO8" s="60"/>
      <c r="PTP8" s="60"/>
      <c r="PTQ8" s="60"/>
      <c r="PTR8" s="60"/>
      <c r="PTS8" s="60"/>
      <c r="PTT8" s="60"/>
      <c r="PTU8" s="60"/>
      <c r="PTV8" s="60"/>
      <c r="PTW8" s="60"/>
      <c r="PTX8" s="60"/>
      <c r="PTY8" s="60"/>
      <c r="PTZ8" s="60"/>
      <c r="PUA8" s="60"/>
      <c r="PUB8" s="60"/>
      <c r="PUC8" s="60"/>
      <c r="PUD8" s="60"/>
      <c r="PUE8" s="60"/>
      <c r="PUF8" s="60"/>
      <c r="PUG8" s="60"/>
      <c r="PUH8" s="60"/>
      <c r="PUI8" s="60"/>
      <c r="PUJ8" s="60"/>
      <c r="PUK8" s="60"/>
      <c r="PUL8" s="60"/>
      <c r="PUM8" s="60"/>
      <c r="PUN8" s="60"/>
      <c r="PUO8" s="60"/>
      <c r="PUP8" s="60"/>
      <c r="PUQ8" s="60"/>
      <c r="PUR8" s="60"/>
      <c r="PUS8" s="60"/>
      <c r="PUT8" s="60"/>
      <c r="PUU8" s="60"/>
      <c r="PUV8" s="60"/>
      <c r="PUW8" s="60"/>
      <c r="PUX8" s="60"/>
      <c r="PUY8" s="60"/>
      <c r="PUZ8" s="60"/>
      <c r="PVA8" s="60"/>
      <c r="PVB8" s="60"/>
      <c r="PVC8" s="60"/>
      <c r="PVD8" s="60"/>
      <c r="PVE8" s="60"/>
      <c r="PVF8" s="60"/>
      <c r="PVG8" s="60"/>
      <c r="PVH8" s="60"/>
      <c r="PVI8" s="60"/>
      <c r="PVJ8" s="60"/>
      <c r="PVK8" s="60"/>
      <c r="PVL8" s="60"/>
      <c r="PVM8" s="60"/>
      <c r="PVN8" s="60"/>
      <c r="PVO8" s="60"/>
      <c r="PVP8" s="60"/>
      <c r="PVQ8" s="60"/>
      <c r="PVR8" s="60"/>
      <c r="PVS8" s="60"/>
      <c r="PVT8" s="60"/>
      <c r="PVU8" s="60"/>
      <c r="PVV8" s="60"/>
      <c r="PVW8" s="60"/>
      <c r="PVX8" s="60"/>
      <c r="PVY8" s="60"/>
      <c r="PVZ8" s="60"/>
      <c r="PWA8" s="60"/>
      <c r="PWB8" s="60"/>
      <c r="PWC8" s="60"/>
      <c r="PWD8" s="60"/>
      <c r="PWE8" s="60"/>
      <c r="PWF8" s="60"/>
      <c r="PWG8" s="60"/>
      <c r="PWH8" s="60"/>
      <c r="PWI8" s="60"/>
      <c r="PWJ8" s="60"/>
      <c r="PWK8" s="60"/>
      <c r="PWL8" s="60"/>
      <c r="PWM8" s="60"/>
      <c r="PWN8" s="60"/>
      <c r="PWO8" s="60"/>
      <c r="PWP8" s="60"/>
      <c r="PWQ8" s="60"/>
      <c r="PWR8" s="60"/>
      <c r="PWS8" s="60"/>
      <c r="PWT8" s="60"/>
      <c r="PWU8" s="60"/>
      <c r="PWV8" s="60"/>
      <c r="PWW8" s="60"/>
      <c r="PWX8" s="60"/>
      <c r="PWY8" s="60"/>
      <c r="PWZ8" s="60"/>
      <c r="PXA8" s="60"/>
      <c r="PXB8" s="60"/>
      <c r="PXC8" s="60"/>
      <c r="PXD8" s="60"/>
      <c r="PXE8" s="60"/>
      <c r="PXF8" s="60"/>
      <c r="PXG8" s="60"/>
      <c r="PXH8" s="60"/>
      <c r="PXI8" s="60"/>
      <c r="PXJ8" s="60"/>
      <c r="PXK8" s="60"/>
      <c r="PXL8" s="60"/>
      <c r="PXM8" s="60"/>
      <c r="PXN8" s="60"/>
      <c r="PXO8" s="60"/>
      <c r="PXP8" s="60"/>
      <c r="PXQ8" s="60"/>
      <c r="PXR8" s="60"/>
      <c r="PXS8" s="60"/>
      <c r="PXT8" s="60"/>
      <c r="PXU8" s="60"/>
      <c r="PXV8" s="60"/>
      <c r="PXW8" s="60"/>
      <c r="PXX8" s="60"/>
      <c r="PXY8" s="60"/>
      <c r="PXZ8" s="60"/>
      <c r="PYA8" s="60"/>
      <c r="PYB8" s="60"/>
      <c r="PYC8" s="60"/>
      <c r="PYD8" s="60"/>
      <c r="PYE8" s="60"/>
      <c r="PYF8" s="60"/>
      <c r="PYG8" s="60"/>
      <c r="PYH8" s="60"/>
      <c r="PYI8" s="60"/>
      <c r="PYJ8" s="60"/>
      <c r="PYK8" s="60"/>
      <c r="PYL8" s="60"/>
      <c r="PYM8" s="60"/>
      <c r="PYN8" s="60"/>
      <c r="PYO8" s="60"/>
      <c r="PYP8" s="60"/>
      <c r="PYQ8" s="60"/>
      <c r="PYR8" s="60"/>
      <c r="PYS8" s="60"/>
      <c r="PYT8" s="60"/>
      <c r="PYU8" s="60"/>
      <c r="PYV8" s="60"/>
      <c r="PYW8" s="60"/>
      <c r="PYX8" s="60"/>
      <c r="PYY8" s="60"/>
      <c r="PYZ8" s="60"/>
      <c r="PZA8" s="60"/>
      <c r="PZB8" s="60"/>
      <c r="PZC8" s="60"/>
      <c r="PZD8" s="60"/>
      <c r="PZE8" s="60"/>
      <c r="PZF8" s="60"/>
      <c r="PZG8" s="60"/>
      <c r="PZH8" s="60"/>
      <c r="PZI8" s="60"/>
      <c r="PZJ8" s="60"/>
      <c r="PZK8" s="60"/>
      <c r="PZL8" s="60"/>
      <c r="PZM8" s="60"/>
      <c r="PZN8" s="60"/>
      <c r="PZO8" s="60"/>
      <c r="PZP8" s="60"/>
      <c r="PZQ8" s="60"/>
      <c r="PZR8" s="60"/>
      <c r="PZS8" s="60"/>
      <c r="PZT8" s="60"/>
      <c r="PZU8" s="60"/>
      <c r="PZV8" s="60"/>
      <c r="PZW8" s="60"/>
      <c r="PZX8" s="60"/>
      <c r="PZY8" s="60"/>
      <c r="PZZ8" s="60"/>
      <c r="QAA8" s="60"/>
      <c r="QAB8" s="60"/>
      <c r="QAC8" s="60"/>
      <c r="QAD8" s="60"/>
      <c r="QAE8" s="60"/>
      <c r="QAF8" s="60"/>
      <c r="QAG8" s="60"/>
      <c r="QAH8" s="60"/>
      <c r="QAI8" s="60"/>
      <c r="QAJ8" s="60"/>
      <c r="QAK8" s="60"/>
      <c r="QAL8" s="60"/>
      <c r="QAM8" s="60"/>
      <c r="QAN8" s="60"/>
      <c r="QAO8" s="60"/>
      <c r="QAP8" s="60"/>
      <c r="QAQ8" s="60"/>
      <c r="QAR8" s="60"/>
      <c r="QAS8" s="60"/>
      <c r="QAT8" s="60"/>
      <c r="QAU8" s="60"/>
      <c r="QAV8" s="60"/>
      <c r="QAW8" s="60"/>
      <c r="QAX8" s="60"/>
      <c r="QAY8" s="60"/>
      <c r="QAZ8" s="60"/>
      <c r="QBA8" s="60"/>
      <c r="QBB8" s="60"/>
      <c r="QBC8" s="60"/>
      <c r="QBD8" s="60"/>
      <c r="QBE8" s="60"/>
      <c r="QBF8" s="60"/>
      <c r="QBG8" s="60"/>
      <c r="QBH8" s="60"/>
      <c r="QBI8" s="60"/>
      <c r="QBJ8" s="60"/>
      <c r="QBK8" s="60"/>
      <c r="QBL8" s="60"/>
      <c r="QBM8" s="60"/>
      <c r="QBN8" s="60"/>
      <c r="QBO8" s="60"/>
      <c r="QBP8" s="60"/>
      <c r="QBQ8" s="60"/>
      <c r="QBR8" s="60"/>
      <c r="QBS8" s="60"/>
      <c r="QBT8" s="60"/>
      <c r="QBU8" s="60"/>
      <c r="QBV8" s="60"/>
      <c r="QBW8" s="60"/>
      <c r="QBX8" s="60"/>
      <c r="QBY8" s="60"/>
      <c r="QBZ8" s="60"/>
      <c r="QCA8" s="60"/>
      <c r="QCB8" s="60"/>
      <c r="QCC8" s="60"/>
      <c r="QCD8" s="60"/>
      <c r="QCE8" s="60"/>
      <c r="QCF8" s="60"/>
      <c r="QCG8" s="60"/>
      <c r="QCH8" s="60"/>
      <c r="QCI8" s="60"/>
      <c r="QCJ8" s="60"/>
      <c r="QCK8" s="60"/>
      <c r="QCL8" s="60"/>
      <c r="QCM8" s="60"/>
      <c r="QCN8" s="60"/>
      <c r="QCO8" s="60"/>
      <c r="QCP8" s="60"/>
      <c r="QCQ8" s="60"/>
      <c r="QCR8" s="60"/>
      <c r="QCS8" s="60"/>
      <c r="QCT8" s="60"/>
      <c r="QCU8" s="60"/>
      <c r="QCV8" s="60"/>
      <c r="QCW8" s="60"/>
      <c r="QCX8" s="60"/>
      <c r="QCY8" s="60"/>
      <c r="QCZ8" s="60"/>
      <c r="QDA8" s="60"/>
      <c r="QDB8" s="60"/>
      <c r="QDC8" s="60"/>
      <c r="QDD8" s="60"/>
      <c r="QDE8" s="60"/>
      <c r="QDF8" s="60"/>
      <c r="QDG8" s="60"/>
      <c r="QDH8" s="60"/>
      <c r="QDI8" s="60"/>
      <c r="QDJ8" s="60"/>
      <c r="QDK8" s="60"/>
      <c r="QDL8" s="60"/>
      <c r="QDM8" s="60"/>
      <c r="QDN8" s="60"/>
      <c r="QDO8" s="60"/>
      <c r="QDP8" s="60"/>
      <c r="QDQ8" s="60"/>
      <c r="QDR8" s="60"/>
      <c r="QDS8" s="60"/>
      <c r="QDT8" s="60"/>
      <c r="QDU8" s="60"/>
      <c r="QDV8" s="60"/>
      <c r="QDW8" s="60"/>
      <c r="QDX8" s="60"/>
      <c r="QDY8" s="60"/>
      <c r="QDZ8" s="60"/>
      <c r="QEA8" s="60"/>
      <c r="QEB8" s="60"/>
      <c r="QEC8" s="60"/>
      <c r="QED8" s="60"/>
      <c r="QEE8" s="60"/>
      <c r="QEF8" s="60"/>
      <c r="QEG8" s="60"/>
      <c r="QEH8" s="60"/>
      <c r="QEI8" s="60"/>
      <c r="QEJ8" s="60"/>
      <c r="QEK8" s="60"/>
      <c r="QEL8" s="60"/>
      <c r="QEM8" s="60"/>
      <c r="QEN8" s="60"/>
      <c r="QEO8" s="60"/>
      <c r="QEP8" s="60"/>
      <c r="QEQ8" s="60"/>
      <c r="QER8" s="60"/>
      <c r="QES8" s="60"/>
      <c r="QET8" s="60"/>
      <c r="QEU8" s="60"/>
      <c r="QEV8" s="60"/>
      <c r="QEW8" s="60"/>
      <c r="QEX8" s="60"/>
      <c r="QEY8" s="60"/>
      <c r="QEZ8" s="60"/>
      <c r="QFA8" s="60"/>
      <c r="QFB8" s="60"/>
      <c r="QFC8" s="60"/>
      <c r="QFD8" s="60"/>
      <c r="QFE8" s="60"/>
      <c r="QFF8" s="60"/>
      <c r="QFG8" s="60"/>
      <c r="QFH8" s="60"/>
      <c r="QFI8" s="60"/>
      <c r="QFJ8" s="60"/>
      <c r="QFK8" s="60"/>
      <c r="QFL8" s="60"/>
      <c r="QFM8" s="60"/>
      <c r="QFN8" s="60"/>
      <c r="QFO8" s="60"/>
      <c r="QFP8" s="60"/>
      <c r="QFQ8" s="60"/>
      <c r="QFR8" s="60"/>
      <c r="QFS8" s="60"/>
      <c r="QFT8" s="60"/>
      <c r="QFU8" s="60"/>
      <c r="QFV8" s="60"/>
      <c r="QFW8" s="60"/>
      <c r="QFX8" s="60"/>
      <c r="QFY8" s="60"/>
      <c r="QFZ8" s="60"/>
      <c r="QGA8" s="60"/>
      <c r="QGB8" s="60"/>
      <c r="QGC8" s="60"/>
      <c r="QGD8" s="60"/>
      <c r="QGE8" s="60"/>
      <c r="QGF8" s="60"/>
      <c r="QGG8" s="60"/>
      <c r="QGH8" s="60"/>
      <c r="QGI8" s="60"/>
      <c r="QGJ8" s="60"/>
      <c r="QGK8" s="60"/>
      <c r="QGL8" s="60"/>
      <c r="QGM8" s="60"/>
      <c r="QGN8" s="60"/>
      <c r="QGO8" s="60"/>
      <c r="QGP8" s="60"/>
      <c r="QGQ8" s="60"/>
      <c r="QGR8" s="60"/>
      <c r="QGS8" s="60"/>
      <c r="QGT8" s="60"/>
      <c r="QGU8" s="60"/>
      <c r="QGV8" s="60"/>
      <c r="QGW8" s="60"/>
      <c r="QGX8" s="60"/>
      <c r="QGY8" s="60"/>
      <c r="QGZ8" s="60"/>
      <c r="QHA8" s="60"/>
      <c r="QHB8" s="60"/>
      <c r="QHC8" s="60"/>
      <c r="QHD8" s="60"/>
      <c r="QHE8" s="60"/>
      <c r="QHF8" s="60"/>
      <c r="QHG8" s="60"/>
      <c r="QHH8" s="60"/>
      <c r="QHI8" s="60"/>
      <c r="QHJ8" s="60"/>
      <c r="QHK8" s="60"/>
      <c r="QHL8" s="60"/>
      <c r="QHM8" s="60"/>
      <c r="QHN8" s="60"/>
      <c r="QHO8" s="60"/>
      <c r="QHP8" s="60"/>
      <c r="QHQ8" s="60"/>
      <c r="QHR8" s="60"/>
      <c r="QHS8" s="60"/>
      <c r="QHT8" s="60"/>
      <c r="QHU8" s="60"/>
      <c r="QHV8" s="60"/>
      <c r="QHW8" s="60"/>
      <c r="QHX8" s="60"/>
      <c r="QHY8" s="60"/>
      <c r="QHZ8" s="60"/>
      <c r="QIA8" s="60"/>
      <c r="QIB8" s="60"/>
      <c r="QIC8" s="60"/>
      <c r="QID8" s="60"/>
      <c r="QIE8" s="60"/>
      <c r="QIF8" s="60"/>
      <c r="QIG8" s="60"/>
      <c r="QIH8" s="60"/>
      <c r="QII8" s="60"/>
      <c r="QIJ8" s="60"/>
      <c r="QIK8" s="60"/>
      <c r="QIL8" s="60"/>
      <c r="QIM8" s="60"/>
      <c r="QIN8" s="60"/>
      <c r="QIO8" s="60"/>
      <c r="QIP8" s="60"/>
      <c r="QIQ8" s="60"/>
      <c r="QIR8" s="60"/>
      <c r="QIS8" s="60"/>
      <c r="QIT8" s="60"/>
      <c r="QIU8" s="60"/>
      <c r="QIV8" s="60"/>
      <c r="QIW8" s="60"/>
      <c r="QIX8" s="60"/>
      <c r="QIY8" s="60"/>
      <c r="QIZ8" s="60"/>
      <c r="QJA8" s="60"/>
      <c r="QJB8" s="60"/>
      <c r="QJC8" s="60"/>
      <c r="QJD8" s="60"/>
      <c r="QJE8" s="60"/>
      <c r="QJF8" s="60"/>
      <c r="QJG8" s="60"/>
      <c r="QJH8" s="60"/>
      <c r="QJI8" s="60"/>
      <c r="QJJ8" s="60"/>
      <c r="QJK8" s="60"/>
      <c r="QJL8" s="60"/>
      <c r="QJM8" s="60"/>
      <c r="QJN8" s="60"/>
      <c r="QJO8" s="60"/>
      <c r="QJP8" s="60"/>
      <c r="QJQ8" s="60"/>
      <c r="QJR8" s="60"/>
      <c r="QJS8" s="60"/>
      <c r="QJT8" s="60"/>
      <c r="QJU8" s="60"/>
      <c r="QJV8" s="60"/>
      <c r="QJW8" s="60"/>
      <c r="QJX8" s="60"/>
      <c r="QJY8" s="60"/>
      <c r="QJZ8" s="60"/>
      <c r="QKA8" s="60"/>
      <c r="QKB8" s="60"/>
      <c r="QKC8" s="60"/>
      <c r="QKD8" s="60"/>
      <c r="QKE8" s="60"/>
      <c r="QKF8" s="60"/>
      <c r="QKG8" s="60"/>
      <c r="QKH8" s="60"/>
      <c r="QKI8" s="60"/>
      <c r="QKJ8" s="60"/>
      <c r="QKK8" s="60"/>
      <c r="QKL8" s="60"/>
      <c r="QKM8" s="60"/>
      <c r="QKN8" s="60"/>
      <c r="QKO8" s="60"/>
      <c r="QKP8" s="60"/>
      <c r="QKQ8" s="60"/>
      <c r="QKR8" s="60"/>
      <c r="QKS8" s="60"/>
      <c r="QKT8" s="60"/>
      <c r="QKU8" s="60"/>
      <c r="QKV8" s="60"/>
      <c r="QKW8" s="60"/>
      <c r="QKX8" s="60"/>
      <c r="QKY8" s="60"/>
      <c r="QKZ8" s="60"/>
      <c r="QLA8" s="60"/>
      <c r="QLB8" s="60"/>
      <c r="QLC8" s="60"/>
      <c r="QLD8" s="60"/>
      <c r="QLE8" s="60"/>
      <c r="QLF8" s="60"/>
      <c r="QLG8" s="60"/>
      <c r="QLH8" s="60"/>
      <c r="QLI8" s="60"/>
      <c r="QLJ8" s="60"/>
      <c r="QLK8" s="60"/>
      <c r="QLL8" s="60"/>
      <c r="QLM8" s="60"/>
      <c r="QLN8" s="60"/>
      <c r="QLO8" s="60"/>
      <c r="QLP8" s="60"/>
      <c r="QLQ8" s="60"/>
      <c r="QLR8" s="60"/>
      <c r="QLS8" s="60"/>
      <c r="QLT8" s="60"/>
      <c r="QLU8" s="60"/>
      <c r="QLV8" s="60"/>
      <c r="QLW8" s="60"/>
      <c r="QLX8" s="60"/>
      <c r="QLY8" s="60"/>
      <c r="QLZ8" s="60"/>
      <c r="QMA8" s="60"/>
      <c r="QMB8" s="60"/>
      <c r="QMC8" s="60"/>
      <c r="QMD8" s="60"/>
      <c r="QME8" s="60"/>
      <c r="QMF8" s="60"/>
      <c r="QMG8" s="60"/>
      <c r="QMH8" s="60"/>
      <c r="QMI8" s="60"/>
      <c r="QMJ8" s="60"/>
      <c r="QMK8" s="60"/>
      <c r="QML8" s="60"/>
      <c r="QMM8" s="60"/>
      <c r="QMN8" s="60"/>
      <c r="QMO8" s="60"/>
      <c r="QMP8" s="60"/>
      <c r="QMQ8" s="60"/>
      <c r="QMR8" s="60"/>
      <c r="QMS8" s="60"/>
      <c r="QMT8" s="60"/>
      <c r="QMU8" s="60"/>
      <c r="QMV8" s="60"/>
      <c r="QMW8" s="60"/>
      <c r="QMX8" s="60"/>
      <c r="QMY8" s="60"/>
      <c r="QMZ8" s="60"/>
      <c r="QNA8" s="60"/>
      <c r="QNB8" s="60"/>
      <c r="QNC8" s="60"/>
      <c r="QND8" s="60"/>
      <c r="QNE8" s="60"/>
      <c r="QNF8" s="60"/>
      <c r="QNG8" s="60"/>
      <c r="QNH8" s="60"/>
      <c r="QNI8" s="60"/>
      <c r="QNJ8" s="60"/>
      <c r="QNK8" s="60"/>
      <c r="QNL8" s="60"/>
      <c r="QNM8" s="60"/>
      <c r="QNN8" s="60"/>
      <c r="QNO8" s="60"/>
      <c r="QNP8" s="60"/>
      <c r="QNQ8" s="60"/>
      <c r="QNR8" s="60"/>
      <c r="QNS8" s="60"/>
      <c r="QNT8" s="60"/>
      <c r="QNU8" s="60"/>
      <c r="QNV8" s="60"/>
      <c r="QNW8" s="60"/>
      <c r="QNX8" s="60"/>
      <c r="QNY8" s="60"/>
      <c r="QNZ8" s="60"/>
      <c r="QOA8" s="60"/>
      <c r="QOB8" s="60"/>
      <c r="QOC8" s="60"/>
      <c r="QOD8" s="60"/>
      <c r="QOE8" s="60"/>
      <c r="QOF8" s="60"/>
      <c r="QOG8" s="60"/>
      <c r="QOH8" s="60"/>
      <c r="QOI8" s="60"/>
      <c r="QOJ8" s="60"/>
      <c r="QOK8" s="60"/>
      <c r="QOL8" s="60"/>
      <c r="QOM8" s="60"/>
      <c r="QON8" s="60"/>
      <c r="QOO8" s="60"/>
      <c r="QOP8" s="60"/>
      <c r="QOQ8" s="60"/>
      <c r="QOR8" s="60"/>
      <c r="QOS8" s="60"/>
      <c r="QOT8" s="60"/>
      <c r="QOU8" s="60"/>
      <c r="QOV8" s="60"/>
      <c r="QOW8" s="60"/>
      <c r="QOX8" s="60"/>
      <c r="QOY8" s="60"/>
      <c r="QOZ8" s="60"/>
      <c r="QPA8" s="60"/>
      <c r="QPB8" s="60"/>
      <c r="QPC8" s="60"/>
      <c r="QPD8" s="60"/>
      <c r="QPE8" s="60"/>
      <c r="QPF8" s="60"/>
      <c r="QPG8" s="60"/>
      <c r="QPH8" s="60"/>
      <c r="QPI8" s="60"/>
      <c r="QPJ8" s="60"/>
      <c r="QPK8" s="60"/>
      <c r="QPL8" s="60"/>
      <c r="QPM8" s="60"/>
      <c r="QPN8" s="60"/>
      <c r="QPO8" s="60"/>
      <c r="QPP8" s="60"/>
      <c r="QPQ8" s="60"/>
      <c r="QPR8" s="60"/>
      <c r="QPS8" s="60"/>
      <c r="QPT8" s="60"/>
      <c r="QPU8" s="60"/>
      <c r="QPV8" s="60"/>
      <c r="QPW8" s="60"/>
      <c r="QPX8" s="60"/>
      <c r="QPY8" s="60"/>
      <c r="QPZ8" s="60"/>
      <c r="QQA8" s="60"/>
      <c r="QQB8" s="60"/>
      <c r="QQC8" s="60"/>
      <c r="QQD8" s="60"/>
      <c r="QQE8" s="60"/>
      <c r="QQF8" s="60"/>
      <c r="QQG8" s="60"/>
      <c r="QQH8" s="60"/>
      <c r="QQI8" s="60"/>
      <c r="QQJ8" s="60"/>
      <c r="QQK8" s="60"/>
      <c r="QQL8" s="60"/>
      <c r="QQM8" s="60"/>
      <c r="QQN8" s="60"/>
      <c r="QQO8" s="60"/>
      <c r="QQP8" s="60"/>
      <c r="QQQ8" s="60"/>
      <c r="QQR8" s="60"/>
      <c r="QQS8" s="60"/>
      <c r="QQT8" s="60"/>
      <c r="QQU8" s="60"/>
      <c r="QQV8" s="60"/>
      <c r="QQW8" s="60"/>
      <c r="QQX8" s="60"/>
      <c r="QQY8" s="60"/>
      <c r="QQZ8" s="60"/>
      <c r="QRA8" s="60"/>
      <c r="QRB8" s="60"/>
      <c r="QRC8" s="60"/>
      <c r="QRD8" s="60"/>
      <c r="QRE8" s="60"/>
      <c r="QRF8" s="60"/>
      <c r="QRG8" s="60"/>
      <c r="QRH8" s="60"/>
      <c r="QRI8" s="60"/>
      <c r="QRJ8" s="60"/>
      <c r="QRK8" s="60"/>
      <c r="QRL8" s="60"/>
      <c r="QRM8" s="60"/>
      <c r="QRN8" s="60"/>
      <c r="QRO8" s="60"/>
      <c r="QRP8" s="60"/>
      <c r="QRQ8" s="60"/>
      <c r="QRR8" s="60"/>
      <c r="QRS8" s="60"/>
      <c r="QRT8" s="60"/>
      <c r="QRU8" s="60"/>
      <c r="QRV8" s="60"/>
      <c r="QRW8" s="60"/>
      <c r="QRX8" s="60"/>
      <c r="QRY8" s="60"/>
      <c r="QRZ8" s="60"/>
      <c r="QSA8" s="60"/>
      <c r="QSB8" s="60"/>
      <c r="QSC8" s="60"/>
      <c r="QSD8" s="60"/>
      <c r="QSE8" s="60"/>
      <c r="QSF8" s="60"/>
      <c r="QSG8" s="60"/>
      <c r="QSH8" s="60"/>
      <c r="QSI8" s="60"/>
      <c r="QSJ8" s="60"/>
      <c r="QSK8" s="60"/>
      <c r="QSL8" s="60"/>
      <c r="QSM8" s="60"/>
      <c r="QSN8" s="60"/>
      <c r="QSO8" s="60"/>
      <c r="QSP8" s="60"/>
      <c r="QSQ8" s="60"/>
      <c r="QSR8" s="60"/>
      <c r="QSS8" s="60"/>
      <c r="QST8" s="60"/>
      <c r="QSU8" s="60"/>
      <c r="QSV8" s="60"/>
      <c r="QSW8" s="60"/>
      <c r="QSX8" s="60"/>
      <c r="QSY8" s="60"/>
      <c r="QSZ8" s="60"/>
      <c r="QTA8" s="60"/>
      <c r="QTB8" s="60"/>
      <c r="QTC8" s="60"/>
      <c r="QTD8" s="60"/>
      <c r="QTE8" s="60"/>
      <c r="QTF8" s="60"/>
      <c r="QTG8" s="60"/>
      <c r="QTH8" s="60"/>
      <c r="QTI8" s="60"/>
      <c r="QTJ8" s="60"/>
      <c r="QTK8" s="60"/>
      <c r="QTL8" s="60"/>
      <c r="QTM8" s="60"/>
      <c r="QTN8" s="60"/>
      <c r="QTO8" s="60"/>
      <c r="QTP8" s="60"/>
      <c r="QTQ8" s="60"/>
      <c r="QTR8" s="60"/>
      <c r="QTS8" s="60"/>
      <c r="QTT8" s="60"/>
      <c r="QTU8" s="60"/>
      <c r="QTV8" s="60"/>
      <c r="QTW8" s="60"/>
      <c r="QTX8" s="60"/>
      <c r="QTY8" s="60"/>
      <c r="QTZ8" s="60"/>
      <c r="QUA8" s="60"/>
      <c r="QUB8" s="60"/>
      <c r="QUC8" s="60"/>
      <c r="QUD8" s="60"/>
      <c r="QUE8" s="60"/>
      <c r="QUF8" s="60"/>
      <c r="QUG8" s="60"/>
      <c r="QUH8" s="60"/>
      <c r="QUI8" s="60"/>
      <c r="QUJ8" s="60"/>
      <c r="QUK8" s="60"/>
      <c r="QUL8" s="60"/>
      <c r="QUM8" s="60"/>
      <c r="QUN8" s="60"/>
      <c r="QUO8" s="60"/>
      <c r="QUP8" s="60"/>
      <c r="QUQ8" s="60"/>
      <c r="QUR8" s="60"/>
      <c r="QUS8" s="60"/>
      <c r="QUT8" s="60"/>
      <c r="QUU8" s="60"/>
      <c r="QUV8" s="60"/>
      <c r="QUW8" s="60"/>
      <c r="QUX8" s="60"/>
      <c r="QUY8" s="60"/>
      <c r="QUZ8" s="60"/>
      <c r="QVA8" s="60"/>
      <c r="QVB8" s="60"/>
      <c r="QVC8" s="60"/>
      <c r="QVD8" s="60"/>
      <c r="QVE8" s="60"/>
      <c r="QVF8" s="60"/>
      <c r="QVG8" s="60"/>
      <c r="QVH8" s="60"/>
      <c r="QVI8" s="60"/>
      <c r="QVJ8" s="60"/>
      <c r="QVK8" s="60"/>
      <c r="QVL8" s="60"/>
      <c r="QVM8" s="60"/>
      <c r="QVN8" s="60"/>
      <c r="QVO8" s="60"/>
      <c r="QVP8" s="60"/>
      <c r="QVQ8" s="60"/>
      <c r="QVR8" s="60"/>
      <c r="QVS8" s="60"/>
      <c r="QVT8" s="60"/>
      <c r="QVU8" s="60"/>
      <c r="QVV8" s="60"/>
      <c r="QVW8" s="60"/>
      <c r="QVX8" s="60"/>
      <c r="QVY8" s="60"/>
      <c r="QVZ8" s="60"/>
      <c r="QWA8" s="60"/>
      <c r="QWB8" s="60"/>
      <c r="QWC8" s="60"/>
      <c r="QWD8" s="60"/>
      <c r="QWE8" s="60"/>
      <c r="QWF8" s="60"/>
      <c r="QWG8" s="60"/>
      <c r="QWH8" s="60"/>
      <c r="QWI8" s="60"/>
      <c r="QWJ8" s="60"/>
      <c r="QWK8" s="60"/>
      <c r="QWL8" s="60"/>
      <c r="QWM8" s="60"/>
      <c r="QWN8" s="60"/>
      <c r="QWO8" s="60"/>
      <c r="QWP8" s="60"/>
      <c r="QWQ8" s="60"/>
      <c r="QWR8" s="60"/>
      <c r="QWS8" s="60"/>
      <c r="QWT8" s="60"/>
      <c r="QWU8" s="60"/>
      <c r="QWV8" s="60"/>
      <c r="QWW8" s="60"/>
      <c r="QWX8" s="60"/>
      <c r="QWY8" s="60"/>
      <c r="QWZ8" s="60"/>
      <c r="QXA8" s="60"/>
      <c r="QXB8" s="60"/>
      <c r="QXC8" s="60"/>
      <c r="QXD8" s="60"/>
      <c r="QXE8" s="60"/>
      <c r="QXF8" s="60"/>
      <c r="QXG8" s="60"/>
      <c r="QXH8" s="60"/>
      <c r="QXI8" s="60"/>
      <c r="QXJ8" s="60"/>
      <c r="QXK8" s="60"/>
      <c r="QXL8" s="60"/>
      <c r="QXM8" s="60"/>
      <c r="QXN8" s="60"/>
      <c r="QXO8" s="60"/>
      <c r="QXP8" s="60"/>
      <c r="QXQ8" s="60"/>
      <c r="QXR8" s="60"/>
      <c r="QXS8" s="60"/>
      <c r="QXT8" s="60"/>
      <c r="QXU8" s="60"/>
      <c r="QXV8" s="60"/>
      <c r="QXW8" s="60"/>
      <c r="QXX8" s="60"/>
      <c r="QXY8" s="60"/>
      <c r="QXZ8" s="60"/>
      <c r="QYA8" s="60"/>
      <c r="QYB8" s="60"/>
      <c r="QYC8" s="60"/>
      <c r="QYD8" s="60"/>
      <c r="QYE8" s="60"/>
      <c r="QYF8" s="60"/>
      <c r="QYG8" s="60"/>
      <c r="QYH8" s="60"/>
      <c r="QYI8" s="60"/>
      <c r="QYJ8" s="60"/>
      <c r="QYK8" s="60"/>
      <c r="QYL8" s="60"/>
      <c r="QYM8" s="60"/>
      <c r="QYN8" s="60"/>
      <c r="QYO8" s="60"/>
      <c r="QYP8" s="60"/>
      <c r="QYQ8" s="60"/>
      <c r="QYR8" s="60"/>
      <c r="QYS8" s="60"/>
      <c r="QYT8" s="60"/>
      <c r="QYU8" s="60"/>
      <c r="QYV8" s="60"/>
      <c r="QYW8" s="60"/>
      <c r="QYX8" s="60"/>
      <c r="QYY8" s="60"/>
      <c r="QYZ8" s="60"/>
      <c r="QZA8" s="60"/>
      <c r="QZB8" s="60"/>
      <c r="QZC8" s="60"/>
      <c r="QZD8" s="60"/>
      <c r="QZE8" s="60"/>
      <c r="QZF8" s="60"/>
      <c r="QZG8" s="60"/>
      <c r="QZH8" s="60"/>
      <c r="QZI8" s="60"/>
      <c r="QZJ8" s="60"/>
      <c r="QZK8" s="60"/>
      <c r="QZL8" s="60"/>
      <c r="QZM8" s="60"/>
      <c r="QZN8" s="60"/>
      <c r="QZO8" s="60"/>
      <c r="QZP8" s="60"/>
      <c r="QZQ8" s="60"/>
      <c r="QZR8" s="60"/>
      <c r="QZS8" s="60"/>
      <c r="QZT8" s="60"/>
      <c r="QZU8" s="60"/>
      <c r="QZV8" s="60"/>
      <c r="QZW8" s="60"/>
      <c r="QZX8" s="60"/>
      <c r="QZY8" s="60"/>
      <c r="QZZ8" s="60"/>
      <c r="RAA8" s="60"/>
      <c r="RAB8" s="60"/>
      <c r="RAC8" s="60"/>
      <c r="RAD8" s="60"/>
      <c r="RAE8" s="60"/>
      <c r="RAF8" s="60"/>
      <c r="RAG8" s="60"/>
      <c r="RAH8" s="60"/>
      <c r="RAI8" s="60"/>
      <c r="RAJ8" s="60"/>
      <c r="RAK8" s="60"/>
      <c r="RAL8" s="60"/>
      <c r="RAM8" s="60"/>
      <c r="RAN8" s="60"/>
      <c r="RAO8" s="60"/>
      <c r="RAP8" s="60"/>
      <c r="RAQ8" s="60"/>
      <c r="RAR8" s="60"/>
      <c r="RAS8" s="60"/>
      <c r="RAT8" s="60"/>
      <c r="RAU8" s="60"/>
      <c r="RAV8" s="60"/>
      <c r="RAW8" s="60"/>
      <c r="RAX8" s="60"/>
      <c r="RAY8" s="60"/>
      <c r="RAZ8" s="60"/>
      <c r="RBA8" s="60"/>
      <c r="RBB8" s="60"/>
      <c r="RBC8" s="60"/>
      <c r="RBD8" s="60"/>
      <c r="RBE8" s="60"/>
      <c r="RBF8" s="60"/>
      <c r="RBG8" s="60"/>
      <c r="RBH8" s="60"/>
      <c r="RBI8" s="60"/>
      <c r="RBJ8" s="60"/>
      <c r="RBK8" s="60"/>
      <c r="RBL8" s="60"/>
      <c r="RBM8" s="60"/>
      <c r="RBN8" s="60"/>
      <c r="RBO8" s="60"/>
      <c r="RBP8" s="60"/>
      <c r="RBQ8" s="60"/>
      <c r="RBR8" s="60"/>
      <c r="RBS8" s="60"/>
      <c r="RBT8" s="60"/>
      <c r="RBU8" s="60"/>
      <c r="RBV8" s="60"/>
      <c r="RBW8" s="60"/>
      <c r="RBX8" s="60"/>
      <c r="RBY8" s="60"/>
      <c r="RBZ8" s="60"/>
      <c r="RCA8" s="60"/>
      <c r="RCB8" s="60"/>
      <c r="RCC8" s="60"/>
      <c r="RCD8" s="60"/>
      <c r="RCE8" s="60"/>
      <c r="RCF8" s="60"/>
      <c r="RCG8" s="60"/>
      <c r="RCH8" s="60"/>
      <c r="RCI8" s="60"/>
      <c r="RCJ8" s="60"/>
      <c r="RCK8" s="60"/>
      <c r="RCL8" s="60"/>
      <c r="RCM8" s="60"/>
      <c r="RCN8" s="60"/>
      <c r="RCO8" s="60"/>
      <c r="RCP8" s="60"/>
      <c r="RCQ8" s="60"/>
      <c r="RCR8" s="60"/>
      <c r="RCS8" s="60"/>
      <c r="RCT8" s="60"/>
      <c r="RCU8" s="60"/>
      <c r="RCV8" s="60"/>
      <c r="RCW8" s="60"/>
      <c r="RCX8" s="60"/>
      <c r="RCY8" s="60"/>
      <c r="RCZ8" s="60"/>
      <c r="RDA8" s="60"/>
      <c r="RDB8" s="60"/>
      <c r="RDC8" s="60"/>
      <c r="RDD8" s="60"/>
      <c r="RDE8" s="60"/>
      <c r="RDF8" s="60"/>
      <c r="RDG8" s="60"/>
      <c r="RDH8" s="60"/>
      <c r="RDI8" s="60"/>
      <c r="RDJ8" s="60"/>
      <c r="RDK8" s="60"/>
      <c r="RDL8" s="60"/>
      <c r="RDM8" s="60"/>
      <c r="RDN8" s="60"/>
      <c r="RDO8" s="60"/>
      <c r="RDP8" s="60"/>
      <c r="RDQ8" s="60"/>
      <c r="RDR8" s="60"/>
      <c r="RDS8" s="60"/>
      <c r="RDT8" s="60"/>
      <c r="RDU8" s="60"/>
      <c r="RDV8" s="60"/>
      <c r="RDW8" s="60"/>
      <c r="RDX8" s="60"/>
      <c r="RDY8" s="60"/>
      <c r="RDZ8" s="60"/>
      <c r="REA8" s="60"/>
      <c r="REB8" s="60"/>
      <c r="REC8" s="60"/>
      <c r="RED8" s="60"/>
      <c r="REE8" s="60"/>
      <c r="REF8" s="60"/>
      <c r="REG8" s="60"/>
      <c r="REH8" s="60"/>
      <c r="REI8" s="60"/>
      <c r="REJ8" s="60"/>
      <c r="REK8" s="60"/>
      <c r="REL8" s="60"/>
      <c r="REM8" s="60"/>
      <c r="REN8" s="60"/>
      <c r="REO8" s="60"/>
      <c r="REP8" s="60"/>
      <c r="REQ8" s="60"/>
      <c r="RER8" s="60"/>
      <c r="RES8" s="60"/>
      <c r="RET8" s="60"/>
      <c r="REU8" s="60"/>
      <c r="REV8" s="60"/>
      <c r="REW8" s="60"/>
      <c r="REX8" s="60"/>
      <c r="REY8" s="60"/>
      <c r="REZ8" s="60"/>
      <c r="RFA8" s="60"/>
      <c r="RFB8" s="60"/>
      <c r="RFC8" s="60"/>
      <c r="RFD8" s="60"/>
      <c r="RFE8" s="60"/>
      <c r="RFF8" s="60"/>
      <c r="RFG8" s="60"/>
      <c r="RFH8" s="60"/>
      <c r="RFI8" s="60"/>
      <c r="RFJ8" s="60"/>
      <c r="RFK8" s="60"/>
      <c r="RFL8" s="60"/>
      <c r="RFM8" s="60"/>
      <c r="RFN8" s="60"/>
      <c r="RFO8" s="60"/>
      <c r="RFP8" s="60"/>
      <c r="RFQ8" s="60"/>
      <c r="RFR8" s="60"/>
      <c r="RFS8" s="60"/>
      <c r="RFT8" s="60"/>
      <c r="RFU8" s="60"/>
      <c r="RFV8" s="60"/>
      <c r="RFW8" s="60"/>
      <c r="RFX8" s="60"/>
      <c r="RFY8" s="60"/>
      <c r="RFZ8" s="60"/>
      <c r="RGA8" s="60"/>
      <c r="RGB8" s="60"/>
      <c r="RGC8" s="60"/>
      <c r="RGD8" s="60"/>
      <c r="RGE8" s="60"/>
      <c r="RGF8" s="60"/>
      <c r="RGG8" s="60"/>
      <c r="RGH8" s="60"/>
      <c r="RGI8" s="60"/>
      <c r="RGJ8" s="60"/>
      <c r="RGK8" s="60"/>
      <c r="RGL8" s="60"/>
      <c r="RGM8" s="60"/>
      <c r="RGN8" s="60"/>
      <c r="RGO8" s="60"/>
      <c r="RGP8" s="60"/>
      <c r="RGQ8" s="60"/>
      <c r="RGR8" s="60"/>
      <c r="RGS8" s="60"/>
      <c r="RGT8" s="60"/>
      <c r="RGU8" s="60"/>
      <c r="RGV8" s="60"/>
      <c r="RGW8" s="60"/>
      <c r="RGX8" s="60"/>
      <c r="RGY8" s="60"/>
      <c r="RGZ8" s="60"/>
      <c r="RHA8" s="60"/>
      <c r="RHB8" s="60"/>
      <c r="RHC8" s="60"/>
      <c r="RHD8" s="60"/>
      <c r="RHE8" s="60"/>
      <c r="RHF8" s="60"/>
      <c r="RHG8" s="60"/>
      <c r="RHH8" s="60"/>
      <c r="RHI8" s="60"/>
      <c r="RHJ8" s="60"/>
      <c r="RHK8" s="60"/>
      <c r="RHL8" s="60"/>
      <c r="RHM8" s="60"/>
      <c r="RHN8" s="60"/>
      <c r="RHO8" s="60"/>
      <c r="RHP8" s="60"/>
      <c r="RHQ8" s="60"/>
      <c r="RHR8" s="60"/>
      <c r="RHS8" s="60"/>
      <c r="RHT8" s="60"/>
      <c r="RHU8" s="60"/>
      <c r="RHV8" s="60"/>
      <c r="RHW8" s="60"/>
      <c r="RHX8" s="60"/>
      <c r="RHY8" s="60"/>
      <c r="RHZ8" s="60"/>
      <c r="RIA8" s="60"/>
      <c r="RIB8" s="60"/>
      <c r="RIC8" s="60"/>
      <c r="RID8" s="60"/>
      <c r="RIE8" s="60"/>
      <c r="RIF8" s="60"/>
      <c r="RIG8" s="60"/>
      <c r="RIH8" s="60"/>
      <c r="RII8" s="60"/>
      <c r="RIJ8" s="60"/>
      <c r="RIK8" s="60"/>
      <c r="RIL8" s="60"/>
      <c r="RIM8" s="60"/>
      <c r="RIN8" s="60"/>
      <c r="RIO8" s="60"/>
      <c r="RIP8" s="60"/>
      <c r="RIQ8" s="60"/>
      <c r="RIR8" s="60"/>
      <c r="RIS8" s="60"/>
      <c r="RIT8" s="60"/>
      <c r="RIU8" s="60"/>
      <c r="RIV8" s="60"/>
      <c r="RIW8" s="60"/>
      <c r="RIX8" s="60"/>
      <c r="RIY8" s="60"/>
      <c r="RIZ8" s="60"/>
      <c r="RJA8" s="60"/>
      <c r="RJB8" s="60"/>
      <c r="RJC8" s="60"/>
      <c r="RJD8" s="60"/>
      <c r="RJE8" s="60"/>
      <c r="RJF8" s="60"/>
      <c r="RJG8" s="60"/>
      <c r="RJH8" s="60"/>
      <c r="RJI8" s="60"/>
      <c r="RJJ8" s="60"/>
      <c r="RJK8" s="60"/>
      <c r="RJL8" s="60"/>
      <c r="RJM8" s="60"/>
      <c r="RJN8" s="60"/>
      <c r="RJO8" s="60"/>
      <c r="RJP8" s="60"/>
      <c r="RJQ8" s="60"/>
      <c r="RJR8" s="60"/>
      <c r="RJS8" s="60"/>
      <c r="RJT8" s="60"/>
      <c r="RJU8" s="60"/>
      <c r="RJV8" s="60"/>
      <c r="RJW8" s="60"/>
      <c r="RJX8" s="60"/>
      <c r="RJY8" s="60"/>
      <c r="RJZ8" s="60"/>
      <c r="RKA8" s="60"/>
      <c r="RKB8" s="60"/>
      <c r="RKC8" s="60"/>
      <c r="RKD8" s="60"/>
      <c r="RKE8" s="60"/>
      <c r="RKF8" s="60"/>
      <c r="RKG8" s="60"/>
      <c r="RKH8" s="60"/>
      <c r="RKI8" s="60"/>
      <c r="RKJ8" s="60"/>
      <c r="RKK8" s="60"/>
      <c r="RKL8" s="60"/>
      <c r="RKM8" s="60"/>
      <c r="RKN8" s="60"/>
      <c r="RKO8" s="60"/>
      <c r="RKP8" s="60"/>
      <c r="RKQ8" s="60"/>
      <c r="RKR8" s="60"/>
      <c r="RKS8" s="60"/>
      <c r="RKT8" s="60"/>
      <c r="RKU8" s="60"/>
      <c r="RKV8" s="60"/>
      <c r="RKW8" s="60"/>
      <c r="RKX8" s="60"/>
      <c r="RKY8" s="60"/>
      <c r="RKZ8" s="60"/>
      <c r="RLA8" s="60"/>
      <c r="RLB8" s="60"/>
      <c r="RLC8" s="60"/>
      <c r="RLD8" s="60"/>
      <c r="RLE8" s="60"/>
      <c r="RLF8" s="60"/>
      <c r="RLG8" s="60"/>
      <c r="RLH8" s="60"/>
      <c r="RLI8" s="60"/>
      <c r="RLJ8" s="60"/>
      <c r="RLK8" s="60"/>
      <c r="RLL8" s="60"/>
      <c r="RLM8" s="60"/>
      <c r="RLN8" s="60"/>
      <c r="RLO8" s="60"/>
      <c r="RLP8" s="60"/>
      <c r="RLQ8" s="60"/>
      <c r="RLR8" s="60"/>
      <c r="RLS8" s="60"/>
      <c r="RLT8" s="60"/>
      <c r="RLU8" s="60"/>
      <c r="RLV8" s="60"/>
      <c r="RLW8" s="60"/>
      <c r="RLX8" s="60"/>
      <c r="RLY8" s="60"/>
      <c r="RLZ8" s="60"/>
      <c r="RMA8" s="60"/>
      <c r="RMB8" s="60"/>
      <c r="RMC8" s="60"/>
      <c r="RMD8" s="60"/>
      <c r="RME8" s="60"/>
      <c r="RMF8" s="60"/>
      <c r="RMG8" s="60"/>
      <c r="RMH8" s="60"/>
      <c r="RMI8" s="60"/>
      <c r="RMJ8" s="60"/>
      <c r="RMK8" s="60"/>
      <c r="RML8" s="60"/>
      <c r="RMM8" s="60"/>
      <c r="RMN8" s="60"/>
      <c r="RMO8" s="60"/>
      <c r="RMP8" s="60"/>
      <c r="RMQ8" s="60"/>
      <c r="RMR8" s="60"/>
      <c r="RMS8" s="60"/>
      <c r="RMT8" s="60"/>
      <c r="RMU8" s="60"/>
      <c r="RMV8" s="60"/>
      <c r="RMW8" s="60"/>
      <c r="RMX8" s="60"/>
      <c r="RMY8" s="60"/>
      <c r="RMZ8" s="60"/>
      <c r="RNA8" s="60"/>
      <c r="RNB8" s="60"/>
      <c r="RNC8" s="60"/>
      <c r="RND8" s="60"/>
      <c r="RNE8" s="60"/>
      <c r="RNF8" s="60"/>
      <c r="RNG8" s="60"/>
      <c r="RNH8" s="60"/>
      <c r="RNI8" s="60"/>
      <c r="RNJ8" s="60"/>
      <c r="RNK8" s="60"/>
      <c r="RNL8" s="60"/>
      <c r="RNM8" s="60"/>
      <c r="RNN8" s="60"/>
      <c r="RNO8" s="60"/>
      <c r="RNP8" s="60"/>
      <c r="RNQ8" s="60"/>
      <c r="RNR8" s="60"/>
      <c r="RNS8" s="60"/>
      <c r="RNT8" s="60"/>
      <c r="RNU8" s="60"/>
      <c r="RNV8" s="60"/>
      <c r="RNW8" s="60"/>
      <c r="RNX8" s="60"/>
      <c r="RNY8" s="60"/>
      <c r="RNZ8" s="60"/>
      <c r="ROA8" s="60"/>
      <c r="ROB8" s="60"/>
      <c r="ROC8" s="60"/>
      <c r="ROD8" s="60"/>
      <c r="ROE8" s="60"/>
      <c r="ROF8" s="60"/>
      <c r="ROG8" s="60"/>
      <c r="ROH8" s="60"/>
      <c r="ROI8" s="60"/>
      <c r="ROJ8" s="60"/>
      <c r="ROK8" s="60"/>
      <c r="ROL8" s="60"/>
      <c r="ROM8" s="60"/>
      <c r="RON8" s="60"/>
      <c r="ROO8" s="60"/>
      <c r="ROP8" s="60"/>
      <c r="ROQ8" s="60"/>
      <c r="ROR8" s="60"/>
      <c r="ROS8" s="60"/>
      <c r="ROT8" s="60"/>
      <c r="ROU8" s="60"/>
      <c r="ROV8" s="60"/>
      <c r="ROW8" s="60"/>
      <c r="ROX8" s="60"/>
      <c r="ROY8" s="60"/>
      <c r="ROZ8" s="60"/>
      <c r="RPA8" s="60"/>
      <c r="RPB8" s="60"/>
      <c r="RPC8" s="60"/>
      <c r="RPD8" s="60"/>
      <c r="RPE8" s="60"/>
      <c r="RPF8" s="60"/>
      <c r="RPG8" s="60"/>
      <c r="RPH8" s="60"/>
      <c r="RPI8" s="60"/>
      <c r="RPJ8" s="60"/>
      <c r="RPK8" s="60"/>
      <c r="RPL8" s="60"/>
      <c r="RPM8" s="60"/>
      <c r="RPN8" s="60"/>
      <c r="RPO8" s="60"/>
      <c r="RPP8" s="60"/>
      <c r="RPQ8" s="60"/>
      <c r="RPR8" s="60"/>
      <c r="RPS8" s="60"/>
      <c r="RPT8" s="60"/>
      <c r="RPU8" s="60"/>
      <c r="RPV8" s="60"/>
      <c r="RPW8" s="60"/>
      <c r="RPX8" s="60"/>
      <c r="RPY8" s="60"/>
      <c r="RPZ8" s="60"/>
      <c r="RQA8" s="60"/>
      <c r="RQB8" s="60"/>
      <c r="RQC8" s="60"/>
      <c r="RQD8" s="60"/>
      <c r="RQE8" s="60"/>
      <c r="RQF8" s="60"/>
      <c r="RQG8" s="60"/>
      <c r="RQH8" s="60"/>
      <c r="RQI8" s="60"/>
      <c r="RQJ8" s="60"/>
      <c r="RQK8" s="60"/>
      <c r="RQL8" s="60"/>
      <c r="RQM8" s="60"/>
      <c r="RQN8" s="60"/>
      <c r="RQO8" s="60"/>
      <c r="RQP8" s="60"/>
      <c r="RQQ8" s="60"/>
      <c r="RQR8" s="60"/>
      <c r="RQS8" s="60"/>
      <c r="RQT8" s="60"/>
      <c r="RQU8" s="60"/>
      <c r="RQV8" s="60"/>
      <c r="RQW8" s="60"/>
      <c r="RQX8" s="60"/>
      <c r="RQY8" s="60"/>
      <c r="RQZ8" s="60"/>
      <c r="RRA8" s="60"/>
      <c r="RRB8" s="60"/>
      <c r="RRC8" s="60"/>
      <c r="RRD8" s="60"/>
      <c r="RRE8" s="60"/>
      <c r="RRF8" s="60"/>
      <c r="RRG8" s="60"/>
      <c r="RRH8" s="60"/>
      <c r="RRI8" s="60"/>
      <c r="RRJ8" s="60"/>
      <c r="RRK8" s="60"/>
      <c r="RRL8" s="60"/>
      <c r="RRM8" s="60"/>
      <c r="RRN8" s="60"/>
      <c r="RRO8" s="60"/>
      <c r="RRP8" s="60"/>
      <c r="RRQ8" s="60"/>
      <c r="RRR8" s="60"/>
      <c r="RRS8" s="60"/>
      <c r="RRT8" s="60"/>
      <c r="RRU8" s="60"/>
      <c r="RRV8" s="60"/>
      <c r="RRW8" s="60"/>
      <c r="RRX8" s="60"/>
      <c r="RRY8" s="60"/>
      <c r="RRZ8" s="60"/>
      <c r="RSA8" s="60"/>
      <c r="RSB8" s="60"/>
      <c r="RSC8" s="60"/>
      <c r="RSD8" s="60"/>
      <c r="RSE8" s="60"/>
      <c r="RSF8" s="60"/>
      <c r="RSG8" s="60"/>
      <c r="RSH8" s="60"/>
      <c r="RSI8" s="60"/>
      <c r="RSJ8" s="60"/>
      <c r="RSK8" s="60"/>
      <c r="RSL8" s="60"/>
      <c r="RSM8" s="60"/>
      <c r="RSN8" s="60"/>
      <c r="RSO8" s="60"/>
      <c r="RSP8" s="60"/>
      <c r="RSQ8" s="60"/>
      <c r="RSR8" s="60"/>
      <c r="RSS8" s="60"/>
      <c r="RST8" s="60"/>
      <c r="RSU8" s="60"/>
      <c r="RSV8" s="60"/>
      <c r="RSW8" s="60"/>
      <c r="RSX8" s="60"/>
      <c r="RSY8" s="60"/>
      <c r="RSZ8" s="60"/>
      <c r="RTA8" s="60"/>
      <c r="RTB8" s="60"/>
      <c r="RTC8" s="60"/>
      <c r="RTD8" s="60"/>
      <c r="RTE8" s="60"/>
      <c r="RTF8" s="60"/>
      <c r="RTG8" s="60"/>
      <c r="RTH8" s="60"/>
      <c r="RTI8" s="60"/>
      <c r="RTJ8" s="60"/>
      <c r="RTK8" s="60"/>
      <c r="RTL8" s="60"/>
      <c r="RTM8" s="60"/>
      <c r="RTN8" s="60"/>
      <c r="RTO8" s="60"/>
      <c r="RTP8" s="60"/>
      <c r="RTQ8" s="60"/>
      <c r="RTR8" s="60"/>
      <c r="RTS8" s="60"/>
      <c r="RTT8" s="60"/>
      <c r="RTU8" s="60"/>
      <c r="RTV8" s="60"/>
      <c r="RTW8" s="60"/>
      <c r="RTX8" s="60"/>
      <c r="RTY8" s="60"/>
      <c r="RTZ8" s="60"/>
      <c r="RUA8" s="60"/>
      <c r="RUB8" s="60"/>
      <c r="RUC8" s="60"/>
      <c r="RUD8" s="60"/>
      <c r="RUE8" s="60"/>
      <c r="RUF8" s="60"/>
      <c r="RUG8" s="60"/>
      <c r="RUH8" s="60"/>
      <c r="RUI8" s="60"/>
      <c r="RUJ8" s="60"/>
      <c r="RUK8" s="60"/>
      <c r="RUL8" s="60"/>
      <c r="RUM8" s="60"/>
      <c r="RUN8" s="60"/>
      <c r="RUO8" s="60"/>
      <c r="RUP8" s="60"/>
      <c r="RUQ8" s="60"/>
      <c r="RUR8" s="60"/>
      <c r="RUS8" s="60"/>
      <c r="RUT8" s="60"/>
      <c r="RUU8" s="60"/>
      <c r="RUV8" s="60"/>
      <c r="RUW8" s="60"/>
      <c r="RUX8" s="60"/>
      <c r="RUY8" s="60"/>
      <c r="RUZ8" s="60"/>
      <c r="RVA8" s="60"/>
      <c r="RVB8" s="60"/>
      <c r="RVC8" s="60"/>
      <c r="RVD8" s="60"/>
      <c r="RVE8" s="60"/>
      <c r="RVF8" s="60"/>
      <c r="RVG8" s="60"/>
      <c r="RVH8" s="60"/>
      <c r="RVI8" s="60"/>
      <c r="RVJ8" s="60"/>
      <c r="RVK8" s="60"/>
      <c r="RVL8" s="60"/>
      <c r="RVM8" s="60"/>
      <c r="RVN8" s="60"/>
      <c r="RVO8" s="60"/>
      <c r="RVP8" s="60"/>
      <c r="RVQ8" s="60"/>
      <c r="RVR8" s="60"/>
      <c r="RVS8" s="60"/>
      <c r="RVT8" s="60"/>
      <c r="RVU8" s="60"/>
      <c r="RVV8" s="60"/>
      <c r="RVW8" s="60"/>
      <c r="RVX8" s="60"/>
      <c r="RVY8" s="60"/>
      <c r="RVZ8" s="60"/>
      <c r="RWA8" s="60"/>
      <c r="RWB8" s="60"/>
      <c r="RWC8" s="60"/>
      <c r="RWD8" s="60"/>
      <c r="RWE8" s="60"/>
      <c r="RWF8" s="60"/>
      <c r="RWG8" s="60"/>
      <c r="RWH8" s="60"/>
      <c r="RWI8" s="60"/>
      <c r="RWJ8" s="60"/>
      <c r="RWK8" s="60"/>
      <c r="RWL8" s="60"/>
      <c r="RWM8" s="60"/>
      <c r="RWN8" s="60"/>
      <c r="RWO8" s="60"/>
      <c r="RWP8" s="60"/>
      <c r="RWQ8" s="60"/>
      <c r="RWR8" s="60"/>
      <c r="RWS8" s="60"/>
      <c r="RWT8" s="60"/>
      <c r="RWU8" s="60"/>
      <c r="RWV8" s="60"/>
      <c r="RWW8" s="60"/>
      <c r="RWX8" s="60"/>
      <c r="RWY8" s="60"/>
      <c r="RWZ8" s="60"/>
      <c r="RXA8" s="60"/>
      <c r="RXB8" s="60"/>
      <c r="RXC8" s="60"/>
      <c r="RXD8" s="60"/>
      <c r="RXE8" s="60"/>
      <c r="RXF8" s="60"/>
      <c r="RXG8" s="60"/>
      <c r="RXH8" s="60"/>
      <c r="RXI8" s="60"/>
      <c r="RXJ8" s="60"/>
      <c r="RXK8" s="60"/>
      <c r="RXL8" s="60"/>
      <c r="RXM8" s="60"/>
      <c r="RXN8" s="60"/>
      <c r="RXO8" s="60"/>
      <c r="RXP8" s="60"/>
      <c r="RXQ8" s="60"/>
      <c r="RXR8" s="60"/>
      <c r="RXS8" s="60"/>
      <c r="RXT8" s="60"/>
      <c r="RXU8" s="60"/>
      <c r="RXV8" s="60"/>
      <c r="RXW8" s="60"/>
      <c r="RXX8" s="60"/>
      <c r="RXY8" s="60"/>
      <c r="RXZ8" s="60"/>
      <c r="RYA8" s="60"/>
      <c r="RYB8" s="60"/>
      <c r="RYC8" s="60"/>
      <c r="RYD8" s="60"/>
      <c r="RYE8" s="60"/>
      <c r="RYF8" s="60"/>
      <c r="RYG8" s="60"/>
      <c r="RYH8" s="60"/>
      <c r="RYI8" s="60"/>
      <c r="RYJ8" s="60"/>
      <c r="RYK8" s="60"/>
      <c r="RYL8" s="60"/>
      <c r="RYM8" s="60"/>
      <c r="RYN8" s="60"/>
      <c r="RYO8" s="60"/>
      <c r="RYP8" s="60"/>
      <c r="RYQ8" s="60"/>
      <c r="RYR8" s="60"/>
      <c r="RYS8" s="60"/>
      <c r="RYT8" s="60"/>
      <c r="RYU8" s="60"/>
      <c r="RYV8" s="60"/>
      <c r="RYW8" s="60"/>
      <c r="RYX8" s="60"/>
      <c r="RYY8" s="60"/>
      <c r="RYZ8" s="60"/>
      <c r="RZA8" s="60"/>
      <c r="RZB8" s="60"/>
      <c r="RZC8" s="60"/>
      <c r="RZD8" s="60"/>
      <c r="RZE8" s="60"/>
      <c r="RZF8" s="60"/>
      <c r="RZG8" s="60"/>
      <c r="RZH8" s="60"/>
      <c r="RZI8" s="60"/>
      <c r="RZJ8" s="60"/>
      <c r="RZK8" s="60"/>
      <c r="RZL8" s="60"/>
      <c r="RZM8" s="60"/>
      <c r="RZN8" s="60"/>
      <c r="RZO8" s="60"/>
      <c r="RZP8" s="60"/>
      <c r="RZQ8" s="60"/>
      <c r="RZR8" s="60"/>
      <c r="RZS8" s="60"/>
      <c r="RZT8" s="60"/>
      <c r="RZU8" s="60"/>
      <c r="RZV8" s="60"/>
      <c r="RZW8" s="60"/>
      <c r="RZX8" s="60"/>
      <c r="RZY8" s="60"/>
      <c r="RZZ8" s="60"/>
      <c r="SAA8" s="60"/>
      <c r="SAB8" s="60"/>
      <c r="SAC8" s="60"/>
      <c r="SAD8" s="60"/>
      <c r="SAE8" s="60"/>
      <c r="SAF8" s="60"/>
      <c r="SAG8" s="60"/>
      <c r="SAH8" s="60"/>
      <c r="SAI8" s="60"/>
      <c r="SAJ8" s="60"/>
      <c r="SAK8" s="60"/>
      <c r="SAL8" s="60"/>
      <c r="SAM8" s="60"/>
      <c r="SAN8" s="60"/>
      <c r="SAO8" s="60"/>
      <c r="SAP8" s="60"/>
      <c r="SAQ8" s="60"/>
      <c r="SAR8" s="60"/>
      <c r="SAS8" s="60"/>
      <c r="SAT8" s="60"/>
      <c r="SAU8" s="60"/>
      <c r="SAV8" s="60"/>
      <c r="SAW8" s="60"/>
      <c r="SAX8" s="60"/>
      <c r="SAY8" s="60"/>
      <c r="SAZ8" s="60"/>
      <c r="SBA8" s="60"/>
      <c r="SBB8" s="60"/>
      <c r="SBC8" s="60"/>
      <c r="SBD8" s="60"/>
      <c r="SBE8" s="60"/>
      <c r="SBF8" s="60"/>
      <c r="SBG8" s="60"/>
      <c r="SBH8" s="60"/>
      <c r="SBI8" s="60"/>
      <c r="SBJ8" s="60"/>
      <c r="SBK8" s="60"/>
      <c r="SBL8" s="60"/>
      <c r="SBM8" s="60"/>
      <c r="SBN8" s="60"/>
      <c r="SBO8" s="60"/>
      <c r="SBP8" s="60"/>
      <c r="SBQ8" s="60"/>
      <c r="SBR8" s="60"/>
      <c r="SBS8" s="60"/>
      <c r="SBT8" s="60"/>
      <c r="SBU8" s="60"/>
      <c r="SBV8" s="60"/>
      <c r="SBW8" s="60"/>
      <c r="SBX8" s="60"/>
      <c r="SBY8" s="60"/>
      <c r="SBZ8" s="60"/>
      <c r="SCA8" s="60"/>
      <c r="SCB8" s="60"/>
      <c r="SCC8" s="60"/>
      <c r="SCD8" s="60"/>
      <c r="SCE8" s="60"/>
      <c r="SCF8" s="60"/>
      <c r="SCG8" s="60"/>
      <c r="SCH8" s="60"/>
      <c r="SCI8" s="60"/>
      <c r="SCJ8" s="60"/>
      <c r="SCK8" s="60"/>
      <c r="SCL8" s="60"/>
      <c r="SCM8" s="60"/>
      <c r="SCN8" s="60"/>
      <c r="SCO8" s="60"/>
      <c r="SCP8" s="60"/>
      <c r="SCQ8" s="60"/>
      <c r="SCR8" s="60"/>
      <c r="SCS8" s="60"/>
      <c r="SCT8" s="60"/>
      <c r="SCU8" s="60"/>
      <c r="SCV8" s="60"/>
      <c r="SCW8" s="60"/>
      <c r="SCX8" s="60"/>
      <c r="SCY8" s="60"/>
      <c r="SCZ8" s="60"/>
      <c r="SDA8" s="60"/>
      <c r="SDB8" s="60"/>
      <c r="SDC8" s="60"/>
      <c r="SDD8" s="60"/>
      <c r="SDE8" s="60"/>
      <c r="SDF8" s="60"/>
      <c r="SDG8" s="60"/>
      <c r="SDH8" s="60"/>
      <c r="SDI8" s="60"/>
      <c r="SDJ8" s="60"/>
      <c r="SDK8" s="60"/>
      <c r="SDL8" s="60"/>
      <c r="SDM8" s="60"/>
      <c r="SDN8" s="60"/>
      <c r="SDO8" s="60"/>
      <c r="SDP8" s="60"/>
      <c r="SDQ8" s="60"/>
      <c r="SDR8" s="60"/>
      <c r="SDS8" s="60"/>
      <c r="SDT8" s="60"/>
      <c r="SDU8" s="60"/>
      <c r="SDV8" s="60"/>
      <c r="SDW8" s="60"/>
      <c r="SDX8" s="60"/>
      <c r="SDY8" s="60"/>
      <c r="SDZ8" s="60"/>
      <c r="SEA8" s="60"/>
      <c r="SEB8" s="60"/>
      <c r="SEC8" s="60"/>
      <c r="SED8" s="60"/>
      <c r="SEE8" s="60"/>
      <c r="SEF8" s="60"/>
      <c r="SEG8" s="60"/>
      <c r="SEH8" s="60"/>
      <c r="SEI8" s="60"/>
      <c r="SEJ8" s="60"/>
      <c r="SEK8" s="60"/>
      <c r="SEL8" s="60"/>
      <c r="SEM8" s="60"/>
      <c r="SEN8" s="60"/>
      <c r="SEO8" s="60"/>
      <c r="SEP8" s="60"/>
      <c r="SEQ8" s="60"/>
      <c r="SER8" s="60"/>
      <c r="SES8" s="60"/>
      <c r="SET8" s="60"/>
      <c r="SEU8" s="60"/>
      <c r="SEV8" s="60"/>
      <c r="SEW8" s="60"/>
      <c r="SEX8" s="60"/>
      <c r="SEY8" s="60"/>
      <c r="SEZ8" s="60"/>
      <c r="SFA8" s="60"/>
      <c r="SFB8" s="60"/>
      <c r="SFC8" s="60"/>
      <c r="SFD8" s="60"/>
      <c r="SFE8" s="60"/>
      <c r="SFF8" s="60"/>
      <c r="SFG8" s="60"/>
      <c r="SFH8" s="60"/>
      <c r="SFI8" s="60"/>
      <c r="SFJ8" s="60"/>
      <c r="SFK8" s="60"/>
      <c r="SFL8" s="60"/>
      <c r="SFM8" s="60"/>
      <c r="SFN8" s="60"/>
      <c r="SFO8" s="60"/>
      <c r="SFP8" s="60"/>
      <c r="SFQ8" s="60"/>
      <c r="SFR8" s="60"/>
      <c r="SFS8" s="60"/>
      <c r="SFT8" s="60"/>
      <c r="SFU8" s="60"/>
      <c r="SFV8" s="60"/>
      <c r="SFW8" s="60"/>
      <c r="SFX8" s="60"/>
      <c r="SFY8" s="60"/>
      <c r="SFZ8" s="60"/>
      <c r="SGA8" s="60"/>
      <c r="SGB8" s="60"/>
      <c r="SGC8" s="60"/>
      <c r="SGD8" s="60"/>
      <c r="SGE8" s="60"/>
      <c r="SGF8" s="60"/>
      <c r="SGG8" s="60"/>
      <c r="SGH8" s="60"/>
      <c r="SGI8" s="60"/>
      <c r="SGJ8" s="60"/>
      <c r="SGK8" s="60"/>
      <c r="SGL8" s="60"/>
      <c r="SGM8" s="60"/>
      <c r="SGN8" s="60"/>
      <c r="SGO8" s="60"/>
      <c r="SGP8" s="60"/>
      <c r="SGQ8" s="60"/>
      <c r="SGR8" s="60"/>
      <c r="SGS8" s="60"/>
      <c r="SGT8" s="60"/>
      <c r="SGU8" s="60"/>
      <c r="SGV8" s="60"/>
      <c r="SGW8" s="60"/>
      <c r="SGX8" s="60"/>
      <c r="SGY8" s="60"/>
      <c r="SGZ8" s="60"/>
      <c r="SHA8" s="60"/>
      <c r="SHB8" s="60"/>
      <c r="SHC8" s="60"/>
      <c r="SHD8" s="60"/>
      <c r="SHE8" s="60"/>
      <c r="SHF8" s="60"/>
      <c r="SHG8" s="60"/>
      <c r="SHH8" s="60"/>
      <c r="SHI8" s="60"/>
      <c r="SHJ8" s="60"/>
      <c r="SHK8" s="60"/>
      <c r="SHL8" s="60"/>
      <c r="SHM8" s="60"/>
      <c r="SHN8" s="60"/>
      <c r="SHO8" s="60"/>
      <c r="SHP8" s="60"/>
      <c r="SHQ8" s="60"/>
      <c r="SHR8" s="60"/>
      <c r="SHS8" s="60"/>
      <c r="SHT8" s="60"/>
      <c r="SHU8" s="60"/>
      <c r="SHV8" s="60"/>
      <c r="SHW8" s="60"/>
      <c r="SHX8" s="60"/>
      <c r="SHY8" s="60"/>
      <c r="SHZ8" s="60"/>
      <c r="SIA8" s="60"/>
      <c r="SIB8" s="60"/>
      <c r="SIC8" s="60"/>
      <c r="SID8" s="60"/>
      <c r="SIE8" s="60"/>
      <c r="SIF8" s="60"/>
      <c r="SIG8" s="60"/>
      <c r="SIH8" s="60"/>
      <c r="SII8" s="60"/>
      <c r="SIJ8" s="60"/>
      <c r="SIK8" s="60"/>
      <c r="SIL8" s="60"/>
      <c r="SIM8" s="60"/>
      <c r="SIN8" s="60"/>
      <c r="SIO8" s="60"/>
      <c r="SIP8" s="60"/>
      <c r="SIQ8" s="60"/>
      <c r="SIR8" s="60"/>
      <c r="SIS8" s="60"/>
      <c r="SIT8" s="60"/>
      <c r="SIU8" s="60"/>
      <c r="SIV8" s="60"/>
      <c r="SIW8" s="60"/>
      <c r="SIX8" s="60"/>
      <c r="SIY8" s="60"/>
      <c r="SIZ8" s="60"/>
      <c r="SJA8" s="60"/>
      <c r="SJB8" s="60"/>
      <c r="SJC8" s="60"/>
      <c r="SJD8" s="60"/>
      <c r="SJE8" s="60"/>
      <c r="SJF8" s="60"/>
      <c r="SJG8" s="60"/>
      <c r="SJH8" s="60"/>
      <c r="SJI8" s="60"/>
      <c r="SJJ8" s="60"/>
      <c r="SJK8" s="60"/>
      <c r="SJL8" s="60"/>
      <c r="SJM8" s="60"/>
      <c r="SJN8" s="60"/>
      <c r="SJO8" s="60"/>
      <c r="SJP8" s="60"/>
      <c r="SJQ8" s="60"/>
      <c r="SJR8" s="60"/>
      <c r="SJS8" s="60"/>
      <c r="SJT8" s="60"/>
      <c r="SJU8" s="60"/>
      <c r="SJV8" s="60"/>
      <c r="SJW8" s="60"/>
      <c r="SJX8" s="60"/>
      <c r="SJY8" s="60"/>
      <c r="SJZ8" s="60"/>
      <c r="SKA8" s="60"/>
      <c r="SKB8" s="60"/>
      <c r="SKC8" s="60"/>
      <c r="SKD8" s="60"/>
      <c r="SKE8" s="60"/>
      <c r="SKF8" s="60"/>
      <c r="SKG8" s="60"/>
      <c r="SKH8" s="60"/>
      <c r="SKI8" s="60"/>
      <c r="SKJ8" s="60"/>
      <c r="SKK8" s="60"/>
      <c r="SKL8" s="60"/>
      <c r="SKM8" s="60"/>
      <c r="SKN8" s="60"/>
      <c r="SKO8" s="60"/>
      <c r="SKP8" s="60"/>
      <c r="SKQ8" s="60"/>
      <c r="SKR8" s="60"/>
      <c r="SKS8" s="60"/>
      <c r="SKT8" s="60"/>
      <c r="SKU8" s="60"/>
      <c r="SKV8" s="60"/>
      <c r="SKW8" s="60"/>
      <c r="SKX8" s="60"/>
      <c r="SKY8" s="60"/>
      <c r="SKZ8" s="60"/>
      <c r="SLA8" s="60"/>
      <c r="SLB8" s="60"/>
      <c r="SLC8" s="60"/>
      <c r="SLD8" s="60"/>
      <c r="SLE8" s="60"/>
      <c r="SLF8" s="60"/>
      <c r="SLG8" s="60"/>
      <c r="SLH8" s="60"/>
      <c r="SLI8" s="60"/>
      <c r="SLJ8" s="60"/>
      <c r="SLK8" s="60"/>
      <c r="SLL8" s="60"/>
      <c r="SLM8" s="60"/>
      <c r="SLN8" s="60"/>
      <c r="SLO8" s="60"/>
      <c r="SLP8" s="60"/>
      <c r="SLQ8" s="60"/>
      <c r="SLR8" s="60"/>
      <c r="SLS8" s="60"/>
      <c r="SLT8" s="60"/>
      <c r="SLU8" s="60"/>
      <c r="SLV8" s="60"/>
      <c r="SLW8" s="60"/>
      <c r="SLX8" s="60"/>
      <c r="SLY8" s="60"/>
      <c r="SLZ8" s="60"/>
      <c r="SMA8" s="60"/>
      <c r="SMB8" s="60"/>
      <c r="SMC8" s="60"/>
      <c r="SMD8" s="60"/>
      <c r="SME8" s="60"/>
      <c r="SMF8" s="60"/>
      <c r="SMG8" s="60"/>
      <c r="SMH8" s="60"/>
      <c r="SMI8" s="60"/>
      <c r="SMJ8" s="60"/>
      <c r="SMK8" s="60"/>
      <c r="SML8" s="60"/>
      <c r="SMM8" s="60"/>
      <c r="SMN8" s="60"/>
      <c r="SMO8" s="60"/>
      <c r="SMP8" s="60"/>
      <c r="SMQ8" s="60"/>
      <c r="SMR8" s="60"/>
      <c r="SMS8" s="60"/>
      <c r="SMT8" s="60"/>
      <c r="SMU8" s="60"/>
      <c r="SMV8" s="60"/>
      <c r="SMW8" s="60"/>
      <c r="SMX8" s="60"/>
      <c r="SMY8" s="60"/>
      <c r="SMZ8" s="60"/>
      <c r="SNA8" s="60"/>
      <c r="SNB8" s="60"/>
      <c r="SNC8" s="60"/>
      <c r="SND8" s="60"/>
      <c r="SNE8" s="60"/>
      <c r="SNF8" s="60"/>
      <c r="SNG8" s="60"/>
      <c r="SNH8" s="60"/>
      <c r="SNI8" s="60"/>
      <c r="SNJ8" s="60"/>
      <c r="SNK8" s="60"/>
      <c r="SNL8" s="60"/>
      <c r="SNM8" s="60"/>
      <c r="SNN8" s="60"/>
      <c r="SNO8" s="60"/>
      <c r="SNP8" s="60"/>
      <c r="SNQ8" s="60"/>
      <c r="SNR8" s="60"/>
      <c r="SNS8" s="60"/>
      <c r="SNT8" s="60"/>
      <c r="SNU8" s="60"/>
      <c r="SNV8" s="60"/>
      <c r="SNW8" s="60"/>
      <c r="SNX8" s="60"/>
      <c r="SNY8" s="60"/>
      <c r="SNZ8" s="60"/>
      <c r="SOA8" s="60"/>
      <c r="SOB8" s="60"/>
      <c r="SOC8" s="60"/>
      <c r="SOD8" s="60"/>
      <c r="SOE8" s="60"/>
      <c r="SOF8" s="60"/>
      <c r="SOG8" s="60"/>
      <c r="SOH8" s="60"/>
      <c r="SOI8" s="60"/>
      <c r="SOJ8" s="60"/>
      <c r="SOK8" s="60"/>
      <c r="SOL8" s="60"/>
      <c r="SOM8" s="60"/>
      <c r="SON8" s="60"/>
      <c r="SOO8" s="60"/>
      <c r="SOP8" s="60"/>
      <c r="SOQ8" s="60"/>
      <c r="SOR8" s="60"/>
      <c r="SOS8" s="60"/>
      <c r="SOT8" s="60"/>
      <c r="SOU8" s="60"/>
      <c r="SOV8" s="60"/>
      <c r="SOW8" s="60"/>
      <c r="SOX8" s="60"/>
      <c r="SOY8" s="60"/>
      <c r="SOZ8" s="60"/>
      <c r="SPA8" s="60"/>
      <c r="SPB8" s="60"/>
      <c r="SPC8" s="60"/>
      <c r="SPD8" s="60"/>
      <c r="SPE8" s="60"/>
      <c r="SPF8" s="60"/>
      <c r="SPG8" s="60"/>
      <c r="SPH8" s="60"/>
      <c r="SPI8" s="60"/>
      <c r="SPJ8" s="60"/>
      <c r="SPK8" s="60"/>
      <c r="SPL8" s="60"/>
      <c r="SPM8" s="60"/>
      <c r="SPN8" s="60"/>
      <c r="SPO8" s="60"/>
      <c r="SPP8" s="60"/>
      <c r="SPQ8" s="60"/>
      <c r="SPR8" s="60"/>
      <c r="SPS8" s="60"/>
      <c r="SPT8" s="60"/>
      <c r="SPU8" s="60"/>
      <c r="SPV8" s="60"/>
      <c r="SPW8" s="60"/>
      <c r="SPX8" s="60"/>
      <c r="SPY8" s="60"/>
      <c r="SPZ8" s="60"/>
      <c r="SQA8" s="60"/>
      <c r="SQB8" s="60"/>
      <c r="SQC8" s="60"/>
      <c r="SQD8" s="60"/>
      <c r="SQE8" s="60"/>
      <c r="SQF8" s="60"/>
      <c r="SQG8" s="60"/>
      <c r="SQH8" s="60"/>
      <c r="SQI8" s="60"/>
      <c r="SQJ8" s="60"/>
      <c r="SQK8" s="60"/>
      <c r="SQL8" s="60"/>
      <c r="SQM8" s="60"/>
      <c r="SQN8" s="60"/>
      <c r="SQO8" s="60"/>
      <c r="SQP8" s="60"/>
      <c r="SQQ8" s="60"/>
      <c r="SQR8" s="60"/>
      <c r="SQS8" s="60"/>
      <c r="SQT8" s="60"/>
      <c r="SQU8" s="60"/>
      <c r="SQV8" s="60"/>
      <c r="SQW8" s="60"/>
      <c r="SQX8" s="60"/>
      <c r="SQY8" s="60"/>
      <c r="SQZ8" s="60"/>
      <c r="SRA8" s="60"/>
      <c r="SRB8" s="60"/>
      <c r="SRC8" s="60"/>
      <c r="SRD8" s="60"/>
      <c r="SRE8" s="60"/>
      <c r="SRF8" s="60"/>
      <c r="SRG8" s="60"/>
      <c r="SRH8" s="60"/>
      <c r="SRI8" s="60"/>
      <c r="SRJ8" s="60"/>
      <c r="SRK8" s="60"/>
      <c r="SRL8" s="60"/>
      <c r="SRM8" s="60"/>
      <c r="SRN8" s="60"/>
      <c r="SRO8" s="60"/>
      <c r="SRP8" s="60"/>
      <c r="SRQ8" s="60"/>
      <c r="SRR8" s="60"/>
      <c r="SRS8" s="60"/>
      <c r="SRT8" s="60"/>
      <c r="SRU8" s="60"/>
      <c r="SRV8" s="60"/>
      <c r="SRW8" s="60"/>
      <c r="SRX8" s="60"/>
      <c r="SRY8" s="60"/>
      <c r="SRZ8" s="60"/>
      <c r="SSA8" s="60"/>
      <c r="SSB8" s="60"/>
      <c r="SSC8" s="60"/>
      <c r="SSD8" s="60"/>
      <c r="SSE8" s="60"/>
      <c r="SSF8" s="60"/>
      <c r="SSG8" s="60"/>
      <c r="SSH8" s="60"/>
      <c r="SSI8" s="60"/>
      <c r="SSJ8" s="60"/>
      <c r="SSK8" s="60"/>
      <c r="SSL8" s="60"/>
      <c r="SSM8" s="60"/>
      <c r="SSN8" s="60"/>
      <c r="SSO8" s="60"/>
      <c r="SSP8" s="60"/>
      <c r="SSQ8" s="60"/>
      <c r="SSR8" s="60"/>
      <c r="SSS8" s="60"/>
      <c r="SST8" s="60"/>
      <c r="SSU8" s="60"/>
      <c r="SSV8" s="60"/>
      <c r="SSW8" s="60"/>
      <c r="SSX8" s="60"/>
      <c r="SSY8" s="60"/>
      <c r="SSZ8" s="60"/>
      <c r="STA8" s="60"/>
      <c r="STB8" s="60"/>
      <c r="STC8" s="60"/>
      <c r="STD8" s="60"/>
      <c r="STE8" s="60"/>
      <c r="STF8" s="60"/>
      <c r="STG8" s="60"/>
      <c r="STH8" s="60"/>
      <c r="STI8" s="60"/>
      <c r="STJ8" s="60"/>
      <c r="STK8" s="60"/>
      <c r="STL8" s="60"/>
      <c r="STM8" s="60"/>
      <c r="STN8" s="60"/>
      <c r="STO8" s="60"/>
      <c r="STP8" s="60"/>
      <c r="STQ8" s="60"/>
      <c r="STR8" s="60"/>
      <c r="STS8" s="60"/>
      <c r="STT8" s="60"/>
      <c r="STU8" s="60"/>
      <c r="STV8" s="60"/>
      <c r="STW8" s="60"/>
      <c r="STX8" s="60"/>
      <c r="STY8" s="60"/>
      <c r="STZ8" s="60"/>
      <c r="SUA8" s="60"/>
      <c r="SUB8" s="60"/>
      <c r="SUC8" s="60"/>
      <c r="SUD8" s="60"/>
      <c r="SUE8" s="60"/>
      <c r="SUF8" s="60"/>
      <c r="SUG8" s="60"/>
      <c r="SUH8" s="60"/>
      <c r="SUI8" s="60"/>
      <c r="SUJ8" s="60"/>
      <c r="SUK8" s="60"/>
      <c r="SUL8" s="60"/>
      <c r="SUM8" s="60"/>
      <c r="SUN8" s="60"/>
      <c r="SUO8" s="60"/>
      <c r="SUP8" s="60"/>
      <c r="SUQ8" s="60"/>
      <c r="SUR8" s="60"/>
      <c r="SUS8" s="60"/>
      <c r="SUT8" s="60"/>
      <c r="SUU8" s="60"/>
      <c r="SUV8" s="60"/>
      <c r="SUW8" s="60"/>
      <c r="SUX8" s="60"/>
      <c r="SUY8" s="60"/>
      <c r="SUZ8" s="60"/>
      <c r="SVA8" s="60"/>
      <c r="SVB8" s="60"/>
      <c r="SVC8" s="60"/>
      <c r="SVD8" s="60"/>
      <c r="SVE8" s="60"/>
      <c r="SVF8" s="60"/>
      <c r="SVG8" s="60"/>
      <c r="SVH8" s="60"/>
      <c r="SVI8" s="60"/>
      <c r="SVJ8" s="60"/>
      <c r="SVK8" s="60"/>
      <c r="SVL8" s="60"/>
      <c r="SVM8" s="60"/>
      <c r="SVN8" s="60"/>
      <c r="SVO8" s="60"/>
      <c r="SVP8" s="60"/>
      <c r="SVQ8" s="60"/>
      <c r="SVR8" s="60"/>
      <c r="SVS8" s="60"/>
      <c r="SVT8" s="60"/>
      <c r="SVU8" s="60"/>
      <c r="SVV8" s="60"/>
      <c r="SVW8" s="60"/>
      <c r="SVX8" s="60"/>
      <c r="SVY8" s="60"/>
      <c r="SVZ8" s="60"/>
      <c r="SWA8" s="60"/>
      <c r="SWB8" s="60"/>
      <c r="SWC8" s="60"/>
      <c r="SWD8" s="60"/>
      <c r="SWE8" s="60"/>
      <c r="SWF8" s="60"/>
      <c r="SWG8" s="60"/>
      <c r="SWH8" s="60"/>
      <c r="SWI8" s="60"/>
      <c r="SWJ8" s="60"/>
      <c r="SWK8" s="60"/>
      <c r="SWL8" s="60"/>
      <c r="SWM8" s="60"/>
      <c r="SWN8" s="60"/>
      <c r="SWO8" s="60"/>
      <c r="SWP8" s="60"/>
      <c r="SWQ8" s="60"/>
      <c r="SWR8" s="60"/>
      <c r="SWS8" s="60"/>
      <c r="SWT8" s="60"/>
      <c r="SWU8" s="60"/>
      <c r="SWV8" s="60"/>
      <c r="SWW8" s="60"/>
      <c r="SWX8" s="60"/>
      <c r="SWY8" s="60"/>
      <c r="SWZ8" s="60"/>
      <c r="SXA8" s="60"/>
      <c r="SXB8" s="60"/>
      <c r="SXC8" s="60"/>
      <c r="SXD8" s="60"/>
      <c r="SXE8" s="60"/>
      <c r="SXF8" s="60"/>
      <c r="SXG8" s="60"/>
      <c r="SXH8" s="60"/>
      <c r="SXI8" s="60"/>
      <c r="SXJ8" s="60"/>
      <c r="SXK8" s="60"/>
      <c r="SXL8" s="60"/>
      <c r="SXM8" s="60"/>
      <c r="SXN8" s="60"/>
      <c r="SXO8" s="60"/>
      <c r="SXP8" s="60"/>
      <c r="SXQ8" s="60"/>
      <c r="SXR8" s="60"/>
      <c r="SXS8" s="60"/>
      <c r="SXT8" s="60"/>
      <c r="SXU8" s="60"/>
      <c r="SXV8" s="60"/>
      <c r="SXW8" s="60"/>
      <c r="SXX8" s="60"/>
      <c r="SXY8" s="60"/>
      <c r="SXZ8" s="60"/>
      <c r="SYA8" s="60"/>
      <c r="SYB8" s="60"/>
      <c r="SYC8" s="60"/>
      <c r="SYD8" s="60"/>
      <c r="SYE8" s="60"/>
      <c r="SYF8" s="60"/>
      <c r="SYG8" s="60"/>
      <c r="SYH8" s="60"/>
      <c r="SYI8" s="60"/>
      <c r="SYJ8" s="60"/>
      <c r="SYK8" s="60"/>
      <c r="SYL8" s="60"/>
      <c r="SYM8" s="60"/>
      <c r="SYN8" s="60"/>
      <c r="SYO8" s="60"/>
      <c r="SYP8" s="60"/>
      <c r="SYQ8" s="60"/>
      <c r="SYR8" s="60"/>
      <c r="SYS8" s="60"/>
      <c r="SYT8" s="60"/>
      <c r="SYU8" s="60"/>
      <c r="SYV8" s="60"/>
      <c r="SYW8" s="60"/>
      <c r="SYX8" s="60"/>
      <c r="SYY8" s="60"/>
      <c r="SYZ8" s="60"/>
      <c r="SZA8" s="60"/>
      <c r="SZB8" s="60"/>
      <c r="SZC8" s="60"/>
      <c r="SZD8" s="60"/>
      <c r="SZE8" s="60"/>
      <c r="SZF8" s="60"/>
      <c r="SZG8" s="60"/>
      <c r="SZH8" s="60"/>
      <c r="SZI8" s="60"/>
      <c r="SZJ8" s="60"/>
      <c r="SZK8" s="60"/>
      <c r="SZL8" s="60"/>
      <c r="SZM8" s="60"/>
      <c r="SZN8" s="60"/>
      <c r="SZO8" s="60"/>
      <c r="SZP8" s="60"/>
      <c r="SZQ8" s="60"/>
      <c r="SZR8" s="60"/>
      <c r="SZS8" s="60"/>
      <c r="SZT8" s="60"/>
      <c r="SZU8" s="60"/>
      <c r="SZV8" s="60"/>
      <c r="SZW8" s="60"/>
      <c r="SZX8" s="60"/>
      <c r="SZY8" s="60"/>
      <c r="SZZ8" s="60"/>
      <c r="TAA8" s="60"/>
      <c r="TAB8" s="60"/>
      <c r="TAC8" s="60"/>
      <c r="TAD8" s="60"/>
      <c r="TAE8" s="60"/>
      <c r="TAF8" s="60"/>
      <c r="TAG8" s="60"/>
      <c r="TAH8" s="60"/>
      <c r="TAI8" s="60"/>
      <c r="TAJ8" s="60"/>
      <c r="TAK8" s="60"/>
      <c r="TAL8" s="60"/>
      <c r="TAM8" s="60"/>
      <c r="TAN8" s="60"/>
      <c r="TAO8" s="60"/>
      <c r="TAP8" s="60"/>
      <c r="TAQ8" s="60"/>
      <c r="TAR8" s="60"/>
      <c r="TAS8" s="60"/>
      <c r="TAT8" s="60"/>
      <c r="TAU8" s="60"/>
      <c r="TAV8" s="60"/>
      <c r="TAW8" s="60"/>
      <c r="TAX8" s="60"/>
      <c r="TAY8" s="60"/>
      <c r="TAZ8" s="60"/>
      <c r="TBA8" s="60"/>
      <c r="TBB8" s="60"/>
      <c r="TBC8" s="60"/>
      <c r="TBD8" s="60"/>
      <c r="TBE8" s="60"/>
      <c r="TBF8" s="60"/>
      <c r="TBG8" s="60"/>
      <c r="TBH8" s="60"/>
      <c r="TBI8" s="60"/>
      <c r="TBJ8" s="60"/>
      <c r="TBK8" s="60"/>
      <c r="TBL8" s="60"/>
      <c r="TBM8" s="60"/>
      <c r="TBN8" s="60"/>
      <c r="TBO8" s="60"/>
      <c r="TBP8" s="60"/>
      <c r="TBQ8" s="60"/>
      <c r="TBR8" s="60"/>
      <c r="TBS8" s="60"/>
      <c r="TBT8" s="60"/>
      <c r="TBU8" s="60"/>
      <c r="TBV8" s="60"/>
      <c r="TBW8" s="60"/>
      <c r="TBX8" s="60"/>
      <c r="TBY8" s="60"/>
      <c r="TBZ8" s="60"/>
      <c r="TCA8" s="60"/>
      <c r="TCB8" s="60"/>
      <c r="TCC8" s="60"/>
      <c r="TCD8" s="60"/>
      <c r="TCE8" s="60"/>
      <c r="TCF8" s="60"/>
      <c r="TCG8" s="60"/>
      <c r="TCH8" s="60"/>
      <c r="TCI8" s="60"/>
      <c r="TCJ8" s="60"/>
      <c r="TCK8" s="60"/>
      <c r="TCL8" s="60"/>
      <c r="TCM8" s="60"/>
      <c r="TCN8" s="60"/>
      <c r="TCO8" s="60"/>
      <c r="TCP8" s="60"/>
      <c r="TCQ8" s="60"/>
      <c r="TCR8" s="60"/>
      <c r="TCS8" s="60"/>
      <c r="TCT8" s="60"/>
      <c r="TCU8" s="60"/>
      <c r="TCV8" s="60"/>
      <c r="TCW8" s="60"/>
      <c r="TCX8" s="60"/>
      <c r="TCY8" s="60"/>
      <c r="TCZ8" s="60"/>
      <c r="TDA8" s="60"/>
      <c r="TDB8" s="60"/>
      <c r="TDC8" s="60"/>
      <c r="TDD8" s="60"/>
      <c r="TDE8" s="60"/>
      <c r="TDF8" s="60"/>
      <c r="TDG8" s="60"/>
      <c r="TDH8" s="60"/>
      <c r="TDI8" s="60"/>
      <c r="TDJ8" s="60"/>
      <c r="TDK8" s="60"/>
      <c r="TDL8" s="60"/>
      <c r="TDM8" s="60"/>
      <c r="TDN8" s="60"/>
      <c r="TDO8" s="60"/>
      <c r="TDP8" s="60"/>
      <c r="TDQ8" s="60"/>
      <c r="TDR8" s="60"/>
      <c r="TDS8" s="60"/>
      <c r="TDT8" s="60"/>
      <c r="TDU8" s="60"/>
      <c r="TDV8" s="60"/>
      <c r="TDW8" s="60"/>
      <c r="TDX8" s="60"/>
      <c r="TDY8" s="60"/>
      <c r="TDZ8" s="60"/>
      <c r="TEA8" s="60"/>
      <c r="TEB8" s="60"/>
      <c r="TEC8" s="60"/>
      <c r="TED8" s="60"/>
      <c r="TEE8" s="60"/>
      <c r="TEF8" s="60"/>
      <c r="TEG8" s="60"/>
      <c r="TEH8" s="60"/>
      <c r="TEI8" s="60"/>
      <c r="TEJ8" s="60"/>
      <c r="TEK8" s="60"/>
      <c r="TEL8" s="60"/>
      <c r="TEM8" s="60"/>
      <c r="TEN8" s="60"/>
      <c r="TEO8" s="60"/>
      <c r="TEP8" s="60"/>
      <c r="TEQ8" s="60"/>
      <c r="TER8" s="60"/>
      <c r="TES8" s="60"/>
      <c r="TET8" s="60"/>
      <c r="TEU8" s="60"/>
      <c r="TEV8" s="60"/>
      <c r="TEW8" s="60"/>
      <c r="TEX8" s="60"/>
      <c r="TEY8" s="60"/>
      <c r="TEZ8" s="60"/>
      <c r="TFA8" s="60"/>
      <c r="TFB8" s="60"/>
      <c r="TFC8" s="60"/>
      <c r="TFD8" s="60"/>
      <c r="TFE8" s="60"/>
      <c r="TFF8" s="60"/>
      <c r="TFG8" s="60"/>
      <c r="TFH8" s="60"/>
      <c r="TFI8" s="60"/>
      <c r="TFJ8" s="60"/>
      <c r="TFK8" s="60"/>
      <c r="TFL8" s="60"/>
      <c r="TFM8" s="60"/>
      <c r="TFN8" s="60"/>
      <c r="TFO8" s="60"/>
      <c r="TFP8" s="60"/>
      <c r="TFQ8" s="60"/>
      <c r="TFR8" s="60"/>
      <c r="TFS8" s="60"/>
      <c r="TFT8" s="60"/>
      <c r="TFU8" s="60"/>
      <c r="TFV8" s="60"/>
      <c r="TFW8" s="60"/>
      <c r="TFX8" s="60"/>
      <c r="TFY8" s="60"/>
      <c r="TFZ8" s="60"/>
      <c r="TGA8" s="60"/>
      <c r="TGB8" s="60"/>
      <c r="TGC8" s="60"/>
      <c r="TGD8" s="60"/>
      <c r="TGE8" s="60"/>
      <c r="TGF8" s="60"/>
      <c r="TGG8" s="60"/>
      <c r="TGH8" s="60"/>
      <c r="TGI8" s="60"/>
      <c r="TGJ8" s="60"/>
      <c r="TGK8" s="60"/>
      <c r="TGL8" s="60"/>
      <c r="TGM8" s="60"/>
      <c r="TGN8" s="60"/>
      <c r="TGO8" s="60"/>
      <c r="TGP8" s="60"/>
      <c r="TGQ8" s="60"/>
      <c r="TGR8" s="60"/>
      <c r="TGS8" s="60"/>
      <c r="TGT8" s="60"/>
      <c r="TGU8" s="60"/>
      <c r="TGV8" s="60"/>
      <c r="TGW8" s="60"/>
      <c r="TGX8" s="60"/>
      <c r="TGY8" s="60"/>
      <c r="TGZ8" s="60"/>
      <c r="THA8" s="60"/>
      <c r="THB8" s="60"/>
      <c r="THC8" s="60"/>
      <c r="THD8" s="60"/>
      <c r="THE8" s="60"/>
      <c r="THF8" s="60"/>
      <c r="THG8" s="60"/>
      <c r="THH8" s="60"/>
      <c r="THI8" s="60"/>
      <c r="THJ8" s="60"/>
      <c r="THK8" s="60"/>
      <c r="THL8" s="60"/>
      <c r="THM8" s="60"/>
      <c r="THN8" s="60"/>
      <c r="THO8" s="60"/>
      <c r="THP8" s="60"/>
      <c r="THQ8" s="60"/>
      <c r="THR8" s="60"/>
      <c r="THS8" s="60"/>
      <c r="THT8" s="60"/>
      <c r="THU8" s="60"/>
      <c r="THV8" s="60"/>
      <c r="THW8" s="60"/>
      <c r="THX8" s="60"/>
      <c r="THY8" s="60"/>
      <c r="THZ8" s="60"/>
      <c r="TIA8" s="60"/>
      <c r="TIB8" s="60"/>
      <c r="TIC8" s="60"/>
      <c r="TID8" s="60"/>
      <c r="TIE8" s="60"/>
      <c r="TIF8" s="60"/>
      <c r="TIG8" s="60"/>
      <c r="TIH8" s="60"/>
      <c r="TII8" s="60"/>
      <c r="TIJ8" s="60"/>
      <c r="TIK8" s="60"/>
      <c r="TIL8" s="60"/>
      <c r="TIM8" s="60"/>
      <c r="TIN8" s="60"/>
      <c r="TIO8" s="60"/>
      <c r="TIP8" s="60"/>
      <c r="TIQ8" s="60"/>
      <c r="TIR8" s="60"/>
      <c r="TIS8" s="60"/>
      <c r="TIT8" s="60"/>
      <c r="TIU8" s="60"/>
      <c r="TIV8" s="60"/>
      <c r="TIW8" s="60"/>
      <c r="TIX8" s="60"/>
      <c r="TIY8" s="60"/>
      <c r="TIZ8" s="60"/>
      <c r="TJA8" s="60"/>
      <c r="TJB8" s="60"/>
      <c r="TJC8" s="60"/>
      <c r="TJD8" s="60"/>
      <c r="TJE8" s="60"/>
      <c r="TJF8" s="60"/>
      <c r="TJG8" s="60"/>
      <c r="TJH8" s="60"/>
      <c r="TJI8" s="60"/>
      <c r="TJJ8" s="60"/>
      <c r="TJK8" s="60"/>
      <c r="TJL8" s="60"/>
      <c r="TJM8" s="60"/>
      <c r="TJN8" s="60"/>
      <c r="TJO8" s="60"/>
      <c r="TJP8" s="60"/>
      <c r="TJQ8" s="60"/>
      <c r="TJR8" s="60"/>
      <c r="TJS8" s="60"/>
      <c r="TJT8" s="60"/>
      <c r="TJU8" s="60"/>
      <c r="TJV8" s="60"/>
      <c r="TJW8" s="60"/>
      <c r="TJX8" s="60"/>
      <c r="TJY8" s="60"/>
      <c r="TJZ8" s="60"/>
      <c r="TKA8" s="60"/>
      <c r="TKB8" s="60"/>
      <c r="TKC8" s="60"/>
      <c r="TKD8" s="60"/>
      <c r="TKE8" s="60"/>
      <c r="TKF8" s="60"/>
      <c r="TKG8" s="60"/>
      <c r="TKH8" s="60"/>
      <c r="TKI8" s="60"/>
      <c r="TKJ8" s="60"/>
      <c r="TKK8" s="60"/>
      <c r="TKL8" s="60"/>
      <c r="TKM8" s="60"/>
      <c r="TKN8" s="60"/>
      <c r="TKO8" s="60"/>
      <c r="TKP8" s="60"/>
      <c r="TKQ8" s="60"/>
      <c r="TKR8" s="60"/>
      <c r="TKS8" s="60"/>
      <c r="TKT8" s="60"/>
      <c r="TKU8" s="60"/>
      <c r="TKV8" s="60"/>
      <c r="TKW8" s="60"/>
      <c r="TKX8" s="60"/>
      <c r="TKY8" s="60"/>
      <c r="TKZ8" s="60"/>
      <c r="TLA8" s="60"/>
      <c r="TLB8" s="60"/>
      <c r="TLC8" s="60"/>
      <c r="TLD8" s="60"/>
      <c r="TLE8" s="60"/>
      <c r="TLF8" s="60"/>
      <c r="TLG8" s="60"/>
      <c r="TLH8" s="60"/>
      <c r="TLI8" s="60"/>
      <c r="TLJ8" s="60"/>
      <c r="TLK8" s="60"/>
      <c r="TLL8" s="60"/>
      <c r="TLM8" s="60"/>
      <c r="TLN8" s="60"/>
      <c r="TLO8" s="60"/>
      <c r="TLP8" s="60"/>
      <c r="TLQ8" s="60"/>
      <c r="TLR8" s="60"/>
      <c r="TLS8" s="60"/>
      <c r="TLT8" s="60"/>
      <c r="TLU8" s="60"/>
      <c r="TLV8" s="60"/>
      <c r="TLW8" s="60"/>
      <c r="TLX8" s="60"/>
      <c r="TLY8" s="60"/>
      <c r="TLZ8" s="60"/>
      <c r="TMA8" s="60"/>
      <c r="TMB8" s="60"/>
      <c r="TMC8" s="60"/>
      <c r="TMD8" s="60"/>
      <c r="TME8" s="60"/>
      <c r="TMF8" s="60"/>
      <c r="TMG8" s="60"/>
      <c r="TMH8" s="60"/>
      <c r="TMI8" s="60"/>
      <c r="TMJ8" s="60"/>
      <c r="TMK8" s="60"/>
      <c r="TML8" s="60"/>
      <c r="TMM8" s="60"/>
      <c r="TMN8" s="60"/>
      <c r="TMO8" s="60"/>
      <c r="TMP8" s="60"/>
      <c r="TMQ8" s="60"/>
      <c r="TMR8" s="60"/>
      <c r="TMS8" s="60"/>
      <c r="TMT8" s="60"/>
      <c r="TMU8" s="60"/>
      <c r="TMV8" s="60"/>
      <c r="TMW8" s="60"/>
      <c r="TMX8" s="60"/>
      <c r="TMY8" s="60"/>
      <c r="TMZ8" s="60"/>
      <c r="TNA8" s="60"/>
      <c r="TNB8" s="60"/>
      <c r="TNC8" s="60"/>
      <c r="TND8" s="60"/>
      <c r="TNE8" s="60"/>
      <c r="TNF8" s="60"/>
      <c r="TNG8" s="60"/>
      <c r="TNH8" s="60"/>
      <c r="TNI8" s="60"/>
      <c r="TNJ8" s="60"/>
      <c r="TNK8" s="60"/>
      <c r="TNL8" s="60"/>
      <c r="TNM8" s="60"/>
      <c r="TNN8" s="60"/>
      <c r="TNO8" s="60"/>
      <c r="TNP8" s="60"/>
      <c r="TNQ8" s="60"/>
      <c r="TNR8" s="60"/>
      <c r="TNS8" s="60"/>
      <c r="TNT8" s="60"/>
      <c r="TNU8" s="60"/>
      <c r="TNV8" s="60"/>
      <c r="TNW8" s="60"/>
      <c r="TNX8" s="60"/>
      <c r="TNY8" s="60"/>
      <c r="TNZ8" s="60"/>
      <c r="TOA8" s="60"/>
      <c r="TOB8" s="60"/>
      <c r="TOC8" s="60"/>
      <c r="TOD8" s="60"/>
      <c r="TOE8" s="60"/>
      <c r="TOF8" s="60"/>
      <c r="TOG8" s="60"/>
      <c r="TOH8" s="60"/>
      <c r="TOI8" s="60"/>
      <c r="TOJ8" s="60"/>
      <c r="TOK8" s="60"/>
      <c r="TOL8" s="60"/>
      <c r="TOM8" s="60"/>
      <c r="TON8" s="60"/>
      <c r="TOO8" s="60"/>
      <c r="TOP8" s="60"/>
      <c r="TOQ8" s="60"/>
      <c r="TOR8" s="60"/>
      <c r="TOS8" s="60"/>
      <c r="TOT8" s="60"/>
      <c r="TOU8" s="60"/>
      <c r="TOV8" s="60"/>
      <c r="TOW8" s="60"/>
      <c r="TOX8" s="60"/>
      <c r="TOY8" s="60"/>
      <c r="TOZ8" s="60"/>
      <c r="TPA8" s="60"/>
      <c r="TPB8" s="60"/>
      <c r="TPC8" s="60"/>
      <c r="TPD8" s="60"/>
      <c r="TPE8" s="60"/>
      <c r="TPF8" s="60"/>
      <c r="TPG8" s="60"/>
      <c r="TPH8" s="60"/>
      <c r="TPI8" s="60"/>
      <c r="TPJ8" s="60"/>
      <c r="TPK8" s="60"/>
      <c r="TPL8" s="60"/>
      <c r="TPM8" s="60"/>
      <c r="TPN8" s="60"/>
      <c r="TPO8" s="60"/>
      <c r="TPP8" s="60"/>
      <c r="TPQ8" s="60"/>
      <c r="TPR8" s="60"/>
      <c r="TPS8" s="60"/>
      <c r="TPT8" s="60"/>
      <c r="TPU8" s="60"/>
      <c r="TPV8" s="60"/>
      <c r="TPW8" s="60"/>
      <c r="TPX8" s="60"/>
      <c r="TPY8" s="60"/>
      <c r="TPZ8" s="60"/>
      <c r="TQA8" s="60"/>
      <c r="TQB8" s="60"/>
      <c r="TQC8" s="60"/>
      <c r="TQD8" s="60"/>
      <c r="TQE8" s="60"/>
      <c r="TQF8" s="60"/>
      <c r="TQG8" s="60"/>
      <c r="TQH8" s="60"/>
      <c r="TQI8" s="60"/>
      <c r="TQJ8" s="60"/>
      <c r="TQK8" s="60"/>
      <c r="TQL8" s="60"/>
      <c r="TQM8" s="60"/>
      <c r="TQN8" s="60"/>
      <c r="TQO8" s="60"/>
      <c r="TQP8" s="60"/>
      <c r="TQQ8" s="60"/>
      <c r="TQR8" s="60"/>
      <c r="TQS8" s="60"/>
      <c r="TQT8" s="60"/>
      <c r="TQU8" s="60"/>
      <c r="TQV8" s="60"/>
      <c r="TQW8" s="60"/>
      <c r="TQX8" s="60"/>
      <c r="TQY8" s="60"/>
      <c r="TQZ8" s="60"/>
      <c r="TRA8" s="60"/>
      <c r="TRB8" s="60"/>
      <c r="TRC8" s="60"/>
      <c r="TRD8" s="60"/>
      <c r="TRE8" s="60"/>
      <c r="TRF8" s="60"/>
      <c r="TRG8" s="60"/>
      <c r="TRH8" s="60"/>
      <c r="TRI8" s="60"/>
      <c r="TRJ8" s="60"/>
      <c r="TRK8" s="60"/>
      <c r="TRL8" s="60"/>
      <c r="TRM8" s="60"/>
      <c r="TRN8" s="60"/>
      <c r="TRO8" s="60"/>
      <c r="TRP8" s="60"/>
      <c r="TRQ8" s="60"/>
      <c r="TRR8" s="60"/>
      <c r="TRS8" s="60"/>
      <c r="TRT8" s="60"/>
      <c r="TRU8" s="60"/>
      <c r="TRV8" s="60"/>
      <c r="TRW8" s="60"/>
      <c r="TRX8" s="60"/>
      <c r="TRY8" s="60"/>
      <c r="TRZ8" s="60"/>
      <c r="TSA8" s="60"/>
      <c r="TSB8" s="60"/>
      <c r="TSC8" s="60"/>
      <c r="TSD8" s="60"/>
      <c r="TSE8" s="60"/>
      <c r="TSF8" s="60"/>
      <c r="TSG8" s="60"/>
      <c r="TSH8" s="60"/>
      <c r="TSI8" s="60"/>
      <c r="TSJ8" s="60"/>
      <c r="TSK8" s="60"/>
      <c r="TSL8" s="60"/>
      <c r="TSM8" s="60"/>
      <c r="TSN8" s="60"/>
      <c r="TSO8" s="60"/>
      <c r="TSP8" s="60"/>
      <c r="TSQ8" s="60"/>
      <c r="TSR8" s="60"/>
      <c r="TSS8" s="60"/>
      <c r="TST8" s="60"/>
      <c r="TSU8" s="60"/>
      <c r="TSV8" s="60"/>
      <c r="TSW8" s="60"/>
      <c r="TSX8" s="60"/>
      <c r="TSY8" s="60"/>
      <c r="TSZ8" s="60"/>
      <c r="TTA8" s="60"/>
      <c r="TTB8" s="60"/>
      <c r="TTC8" s="60"/>
      <c r="TTD8" s="60"/>
      <c r="TTE8" s="60"/>
      <c r="TTF8" s="60"/>
      <c r="TTG8" s="60"/>
      <c r="TTH8" s="60"/>
      <c r="TTI8" s="60"/>
      <c r="TTJ8" s="60"/>
      <c r="TTK8" s="60"/>
      <c r="TTL8" s="60"/>
      <c r="TTM8" s="60"/>
      <c r="TTN8" s="60"/>
      <c r="TTO8" s="60"/>
      <c r="TTP8" s="60"/>
      <c r="TTQ8" s="60"/>
      <c r="TTR8" s="60"/>
      <c r="TTS8" s="60"/>
      <c r="TTT8" s="60"/>
      <c r="TTU8" s="60"/>
      <c r="TTV8" s="60"/>
      <c r="TTW8" s="60"/>
      <c r="TTX8" s="60"/>
      <c r="TTY8" s="60"/>
      <c r="TTZ8" s="60"/>
      <c r="TUA8" s="60"/>
      <c r="TUB8" s="60"/>
      <c r="TUC8" s="60"/>
      <c r="TUD8" s="60"/>
      <c r="TUE8" s="60"/>
      <c r="TUF8" s="60"/>
      <c r="TUG8" s="60"/>
      <c r="TUH8" s="60"/>
      <c r="TUI8" s="60"/>
      <c r="TUJ8" s="60"/>
      <c r="TUK8" s="60"/>
      <c r="TUL8" s="60"/>
      <c r="TUM8" s="60"/>
      <c r="TUN8" s="60"/>
      <c r="TUO8" s="60"/>
      <c r="TUP8" s="60"/>
      <c r="TUQ8" s="60"/>
      <c r="TUR8" s="60"/>
      <c r="TUS8" s="60"/>
      <c r="TUT8" s="60"/>
      <c r="TUU8" s="60"/>
      <c r="TUV8" s="60"/>
      <c r="TUW8" s="60"/>
      <c r="TUX8" s="60"/>
      <c r="TUY8" s="60"/>
      <c r="TUZ8" s="60"/>
      <c r="TVA8" s="60"/>
      <c r="TVB8" s="60"/>
      <c r="TVC8" s="60"/>
      <c r="TVD8" s="60"/>
      <c r="TVE8" s="60"/>
      <c r="TVF8" s="60"/>
      <c r="TVG8" s="60"/>
      <c r="TVH8" s="60"/>
      <c r="TVI8" s="60"/>
      <c r="TVJ8" s="60"/>
      <c r="TVK8" s="60"/>
      <c r="TVL8" s="60"/>
      <c r="TVM8" s="60"/>
      <c r="TVN8" s="60"/>
      <c r="TVO8" s="60"/>
      <c r="TVP8" s="60"/>
      <c r="TVQ8" s="60"/>
      <c r="TVR8" s="60"/>
      <c r="TVS8" s="60"/>
      <c r="TVT8" s="60"/>
      <c r="TVU8" s="60"/>
      <c r="TVV8" s="60"/>
      <c r="TVW8" s="60"/>
      <c r="TVX8" s="60"/>
      <c r="TVY8" s="60"/>
      <c r="TVZ8" s="60"/>
      <c r="TWA8" s="60"/>
      <c r="TWB8" s="60"/>
      <c r="TWC8" s="60"/>
      <c r="TWD8" s="60"/>
      <c r="TWE8" s="60"/>
      <c r="TWF8" s="60"/>
      <c r="TWG8" s="60"/>
      <c r="TWH8" s="60"/>
      <c r="TWI8" s="60"/>
      <c r="TWJ8" s="60"/>
      <c r="TWK8" s="60"/>
      <c r="TWL8" s="60"/>
      <c r="TWM8" s="60"/>
      <c r="TWN8" s="60"/>
      <c r="TWO8" s="60"/>
      <c r="TWP8" s="60"/>
      <c r="TWQ8" s="60"/>
      <c r="TWR8" s="60"/>
      <c r="TWS8" s="60"/>
      <c r="TWT8" s="60"/>
      <c r="TWU8" s="60"/>
      <c r="TWV8" s="60"/>
      <c r="TWW8" s="60"/>
      <c r="TWX8" s="60"/>
      <c r="TWY8" s="60"/>
      <c r="TWZ8" s="60"/>
      <c r="TXA8" s="60"/>
      <c r="TXB8" s="60"/>
      <c r="TXC8" s="60"/>
      <c r="TXD8" s="60"/>
      <c r="TXE8" s="60"/>
      <c r="TXF8" s="60"/>
      <c r="TXG8" s="60"/>
      <c r="TXH8" s="60"/>
      <c r="TXI8" s="60"/>
      <c r="TXJ8" s="60"/>
      <c r="TXK8" s="60"/>
      <c r="TXL8" s="60"/>
      <c r="TXM8" s="60"/>
      <c r="TXN8" s="60"/>
      <c r="TXO8" s="60"/>
      <c r="TXP8" s="60"/>
      <c r="TXQ8" s="60"/>
      <c r="TXR8" s="60"/>
      <c r="TXS8" s="60"/>
      <c r="TXT8" s="60"/>
      <c r="TXU8" s="60"/>
      <c r="TXV8" s="60"/>
      <c r="TXW8" s="60"/>
      <c r="TXX8" s="60"/>
      <c r="TXY8" s="60"/>
      <c r="TXZ8" s="60"/>
      <c r="TYA8" s="60"/>
      <c r="TYB8" s="60"/>
      <c r="TYC8" s="60"/>
      <c r="TYD8" s="60"/>
      <c r="TYE8" s="60"/>
      <c r="TYF8" s="60"/>
      <c r="TYG8" s="60"/>
      <c r="TYH8" s="60"/>
      <c r="TYI8" s="60"/>
      <c r="TYJ8" s="60"/>
      <c r="TYK8" s="60"/>
      <c r="TYL8" s="60"/>
      <c r="TYM8" s="60"/>
      <c r="TYN8" s="60"/>
      <c r="TYO8" s="60"/>
      <c r="TYP8" s="60"/>
      <c r="TYQ8" s="60"/>
      <c r="TYR8" s="60"/>
      <c r="TYS8" s="60"/>
      <c r="TYT8" s="60"/>
      <c r="TYU8" s="60"/>
      <c r="TYV8" s="60"/>
      <c r="TYW8" s="60"/>
      <c r="TYX8" s="60"/>
      <c r="TYY8" s="60"/>
      <c r="TYZ8" s="60"/>
      <c r="TZA8" s="60"/>
      <c r="TZB8" s="60"/>
      <c r="TZC8" s="60"/>
      <c r="TZD8" s="60"/>
      <c r="TZE8" s="60"/>
      <c r="TZF8" s="60"/>
      <c r="TZG8" s="60"/>
      <c r="TZH8" s="60"/>
      <c r="TZI8" s="60"/>
      <c r="TZJ8" s="60"/>
      <c r="TZK8" s="60"/>
      <c r="TZL8" s="60"/>
      <c r="TZM8" s="60"/>
      <c r="TZN8" s="60"/>
      <c r="TZO8" s="60"/>
      <c r="TZP8" s="60"/>
      <c r="TZQ8" s="60"/>
      <c r="TZR8" s="60"/>
      <c r="TZS8" s="60"/>
      <c r="TZT8" s="60"/>
      <c r="TZU8" s="60"/>
      <c r="TZV8" s="60"/>
      <c r="TZW8" s="60"/>
      <c r="TZX8" s="60"/>
      <c r="TZY8" s="60"/>
      <c r="TZZ8" s="60"/>
      <c r="UAA8" s="60"/>
      <c r="UAB8" s="60"/>
      <c r="UAC8" s="60"/>
      <c r="UAD8" s="60"/>
      <c r="UAE8" s="60"/>
      <c r="UAF8" s="60"/>
      <c r="UAG8" s="60"/>
      <c r="UAH8" s="60"/>
      <c r="UAI8" s="60"/>
      <c r="UAJ8" s="60"/>
      <c r="UAK8" s="60"/>
      <c r="UAL8" s="60"/>
      <c r="UAM8" s="60"/>
      <c r="UAN8" s="60"/>
      <c r="UAO8" s="60"/>
      <c r="UAP8" s="60"/>
      <c r="UAQ8" s="60"/>
      <c r="UAR8" s="60"/>
      <c r="UAS8" s="60"/>
      <c r="UAT8" s="60"/>
      <c r="UAU8" s="60"/>
      <c r="UAV8" s="60"/>
      <c r="UAW8" s="60"/>
      <c r="UAX8" s="60"/>
      <c r="UAY8" s="60"/>
      <c r="UAZ8" s="60"/>
      <c r="UBA8" s="60"/>
      <c r="UBB8" s="60"/>
      <c r="UBC8" s="60"/>
      <c r="UBD8" s="60"/>
      <c r="UBE8" s="60"/>
      <c r="UBF8" s="60"/>
      <c r="UBG8" s="60"/>
      <c r="UBH8" s="60"/>
      <c r="UBI8" s="60"/>
      <c r="UBJ8" s="60"/>
      <c r="UBK8" s="60"/>
      <c r="UBL8" s="60"/>
      <c r="UBM8" s="60"/>
      <c r="UBN8" s="60"/>
      <c r="UBO8" s="60"/>
      <c r="UBP8" s="60"/>
      <c r="UBQ8" s="60"/>
      <c r="UBR8" s="60"/>
      <c r="UBS8" s="60"/>
      <c r="UBT8" s="60"/>
      <c r="UBU8" s="60"/>
      <c r="UBV8" s="60"/>
      <c r="UBW8" s="60"/>
      <c r="UBX8" s="60"/>
      <c r="UBY8" s="60"/>
      <c r="UBZ8" s="60"/>
      <c r="UCA8" s="60"/>
      <c r="UCB8" s="60"/>
      <c r="UCC8" s="60"/>
      <c r="UCD8" s="60"/>
      <c r="UCE8" s="60"/>
      <c r="UCF8" s="60"/>
      <c r="UCG8" s="60"/>
      <c r="UCH8" s="60"/>
      <c r="UCI8" s="60"/>
      <c r="UCJ8" s="60"/>
      <c r="UCK8" s="60"/>
      <c r="UCL8" s="60"/>
      <c r="UCM8" s="60"/>
      <c r="UCN8" s="60"/>
      <c r="UCO8" s="60"/>
      <c r="UCP8" s="60"/>
      <c r="UCQ8" s="60"/>
      <c r="UCR8" s="60"/>
      <c r="UCS8" s="60"/>
      <c r="UCT8" s="60"/>
      <c r="UCU8" s="60"/>
      <c r="UCV8" s="60"/>
      <c r="UCW8" s="60"/>
      <c r="UCX8" s="60"/>
      <c r="UCY8" s="60"/>
      <c r="UCZ8" s="60"/>
      <c r="UDA8" s="60"/>
      <c r="UDB8" s="60"/>
      <c r="UDC8" s="60"/>
      <c r="UDD8" s="60"/>
      <c r="UDE8" s="60"/>
      <c r="UDF8" s="60"/>
      <c r="UDG8" s="60"/>
      <c r="UDH8" s="60"/>
      <c r="UDI8" s="60"/>
      <c r="UDJ8" s="60"/>
      <c r="UDK8" s="60"/>
      <c r="UDL8" s="60"/>
      <c r="UDM8" s="60"/>
      <c r="UDN8" s="60"/>
      <c r="UDO8" s="60"/>
      <c r="UDP8" s="60"/>
      <c r="UDQ8" s="60"/>
      <c r="UDR8" s="60"/>
      <c r="UDS8" s="60"/>
      <c r="UDT8" s="60"/>
      <c r="UDU8" s="60"/>
      <c r="UDV8" s="60"/>
      <c r="UDW8" s="60"/>
      <c r="UDX8" s="60"/>
      <c r="UDY8" s="60"/>
      <c r="UDZ8" s="60"/>
      <c r="UEA8" s="60"/>
      <c r="UEB8" s="60"/>
      <c r="UEC8" s="60"/>
      <c r="UED8" s="60"/>
      <c r="UEE8" s="60"/>
      <c r="UEF8" s="60"/>
      <c r="UEG8" s="60"/>
      <c r="UEH8" s="60"/>
      <c r="UEI8" s="60"/>
      <c r="UEJ8" s="60"/>
      <c r="UEK8" s="60"/>
      <c r="UEL8" s="60"/>
      <c r="UEM8" s="60"/>
      <c r="UEN8" s="60"/>
      <c r="UEO8" s="60"/>
      <c r="UEP8" s="60"/>
      <c r="UEQ8" s="60"/>
      <c r="UER8" s="60"/>
      <c r="UES8" s="60"/>
      <c r="UET8" s="60"/>
      <c r="UEU8" s="60"/>
      <c r="UEV8" s="60"/>
      <c r="UEW8" s="60"/>
      <c r="UEX8" s="60"/>
      <c r="UEY8" s="60"/>
      <c r="UEZ8" s="60"/>
      <c r="UFA8" s="60"/>
      <c r="UFB8" s="60"/>
      <c r="UFC8" s="60"/>
      <c r="UFD8" s="60"/>
      <c r="UFE8" s="60"/>
      <c r="UFF8" s="60"/>
      <c r="UFG8" s="60"/>
      <c r="UFH8" s="60"/>
      <c r="UFI8" s="60"/>
      <c r="UFJ8" s="60"/>
      <c r="UFK8" s="60"/>
      <c r="UFL8" s="60"/>
      <c r="UFM8" s="60"/>
      <c r="UFN8" s="60"/>
      <c r="UFO8" s="60"/>
      <c r="UFP8" s="60"/>
      <c r="UFQ8" s="60"/>
      <c r="UFR8" s="60"/>
      <c r="UFS8" s="60"/>
      <c r="UFT8" s="60"/>
      <c r="UFU8" s="60"/>
      <c r="UFV8" s="60"/>
      <c r="UFW8" s="60"/>
      <c r="UFX8" s="60"/>
      <c r="UFY8" s="60"/>
      <c r="UFZ8" s="60"/>
      <c r="UGA8" s="60"/>
      <c r="UGB8" s="60"/>
      <c r="UGC8" s="60"/>
      <c r="UGD8" s="60"/>
      <c r="UGE8" s="60"/>
      <c r="UGF8" s="60"/>
      <c r="UGG8" s="60"/>
      <c r="UGH8" s="60"/>
      <c r="UGI8" s="60"/>
      <c r="UGJ8" s="60"/>
      <c r="UGK8" s="60"/>
      <c r="UGL8" s="60"/>
      <c r="UGM8" s="60"/>
      <c r="UGN8" s="60"/>
      <c r="UGO8" s="60"/>
      <c r="UGP8" s="60"/>
      <c r="UGQ8" s="60"/>
      <c r="UGR8" s="60"/>
      <c r="UGS8" s="60"/>
      <c r="UGT8" s="60"/>
      <c r="UGU8" s="60"/>
      <c r="UGV8" s="60"/>
      <c r="UGW8" s="60"/>
      <c r="UGX8" s="60"/>
      <c r="UGY8" s="60"/>
      <c r="UGZ8" s="60"/>
      <c r="UHA8" s="60"/>
      <c r="UHB8" s="60"/>
      <c r="UHC8" s="60"/>
      <c r="UHD8" s="60"/>
      <c r="UHE8" s="60"/>
      <c r="UHF8" s="60"/>
      <c r="UHG8" s="60"/>
      <c r="UHH8" s="60"/>
      <c r="UHI8" s="60"/>
      <c r="UHJ8" s="60"/>
      <c r="UHK8" s="60"/>
      <c r="UHL8" s="60"/>
      <c r="UHM8" s="60"/>
      <c r="UHN8" s="60"/>
      <c r="UHO8" s="60"/>
      <c r="UHP8" s="60"/>
      <c r="UHQ8" s="60"/>
      <c r="UHR8" s="60"/>
      <c r="UHS8" s="60"/>
      <c r="UHT8" s="60"/>
      <c r="UHU8" s="60"/>
      <c r="UHV8" s="60"/>
      <c r="UHW8" s="60"/>
      <c r="UHX8" s="60"/>
      <c r="UHY8" s="60"/>
      <c r="UHZ8" s="60"/>
      <c r="UIA8" s="60"/>
      <c r="UIB8" s="60"/>
      <c r="UIC8" s="60"/>
      <c r="UID8" s="60"/>
      <c r="UIE8" s="60"/>
      <c r="UIF8" s="60"/>
      <c r="UIG8" s="60"/>
      <c r="UIH8" s="60"/>
      <c r="UII8" s="60"/>
      <c r="UIJ8" s="60"/>
      <c r="UIK8" s="60"/>
      <c r="UIL8" s="60"/>
      <c r="UIM8" s="60"/>
      <c r="UIN8" s="60"/>
      <c r="UIO8" s="60"/>
      <c r="UIP8" s="60"/>
      <c r="UIQ8" s="60"/>
      <c r="UIR8" s="60"/>
      <c r="UIS8" s="60"/>
      <c r="UIT8" s="60"/>
      <c r="UIU8" s="60"/>
      <c r="UIV8" s="60"/>
      <c r="UIW8" s="60"/>
      <c r="UIX8" s="60"/>
      <c r="UIY8" s="60"/>
      <c r="UIZ8" s="60"/>
      <c r="UJA8" s="60"/>
      <c r="UJB8" s="60"/>
      <c r="UJC8" s="60"/>
      <c r="UJD8" s="60"/>
      <c r="UJE8" s="60"/>
      <c r="UJF8" s="60"/>
      <c r="UJG8" s="60"/>
      <c r="UJH8" s="60"/>
      <c r="UJI8" s="60"/>
      <c r="UJJ8" s="60"/>
      <c r="UJK8" s="60"/>
      <c r="UJL8" s="60"/>
      <c r="UJM8" s="60"/>
      <c r="UJN8" s="60"/>
      <c r="UJO8" s="60"/>
      <c r="UJP8" s="60"/>
      <c r="UJQ8" s="60"/>
      <c r="UJR8" s="60"/>
      <c r="UJS8" s="60"/>
      <c r="UJT8" s="60"/>
      <c r="UJU8" s="60"/>
      <c r="UJV8" s="60"/>
      <c r="UJW8" s="60"/>
      <c r="UJX8" s="60"/>
      <c r="UJY8" s="60"/>
      <c r="UJZ8" s="60"/>
      <c r="UKA8" s="60"/>
      <c r="UKB8" s="60"/>
      <c r="UKC8" s="60"/>
      <c r="UKD8" s="60"/>
      <c r="UKE8" s="60"/>
      <c r="UKF8" s="60"/>
      <c r="UKG8" s="60"/>
      <c r="UKH8" s="60"/>
      <c r="UKI8" s="60"/>
      <c r="UKJ8" s="60"/>
      <c r="UKK8" s="60"/>
      <c r="UKL8" s="60"/>
      <c r="UKM8" s="60"/>
      <c r="UKN8" s="60"/>
      <c r="UKO8" s="60"/>
      <c r="UKP8" s="60"/>
      <c r="UKQ8" s="60"/>
      <c r="UKR8" s="60"/>
      <c r="UKS8" s="60"/>
      <c r="UKT8" s="60"/>
      <c r="UKU8" s="60"/>
      <c r="UKV8" s="60"/>
      <c r="UKW8" s="60"/>
      <c r="UKX8" s="60"/>
      <c r="UKY8" s="60"/>
      <c r="UKZ8" s="60"/>
      <c r="ULA8" s="60"/>
      <c r="ULB8" s="60"/>
      <c r="ULC8" s="60"/>
      <c r="ULD8" s="60"/>
      <c r="ULE8" s="60"/>
      <c r="ULF8" s="60"/>
      <c r="ULG8" s="60"/>
      <c r="ULH8" s="60"/>
      <c r="ULI8" s="60"/>
      <c r="ULJ8" s="60"/>
      <c r="ULK8" s="60"/>
      <c r="ULL8" s="60"/>
      <c r="ULM8" s="60"/>
      <c r="ULN8" s="60"/>
      <c r="ULO8" s="60"/>
      <c r="ULP8" s="60"/>
      <c r="ULQ8" s="60"/>
      <c r="ULR8" s="60"/>
      <c r="ULS8" s="60"/>
      <c r="ULT8" s="60"/>
      <c r="ULU8" s="60"/>
      <c r="ULV8" s="60"/>
      <c r="ULW8" s="60"/>
      <c r="ULX8" s="60"/>
      <c r="ULY8" s="60"/>
      <c r="ULZ8" s="60"/>
      <c r="UMA8" s="60"/>
      <c r="UMB8" s="60"/>
      <c r="UMC8" s="60"/>
      <c r="UMD8" s="60"/>
      <c r="UME8" s="60"/>
      <c r="UMF8" s="60"/>
      <c r="UMG8" s="60"/>
      <c r="UMH8" s="60"/>
      <c r="UMI8" s="60"/>
      <c r="UMJ8" s="60"/>
      <c r="UMK8" s="60"/>
      <c r="UML8" s="60"/>
      <c r="UMM8" s="60"/>
      <c r="UMN8" s="60"/>
      <c r="UMO8" s="60"/>
      <c r="UMP8" s="60"/>
      <c r="UMQ8" s="60"/>
      <c r="UMR8" s="60"/>
      <c r="UMS8" s="60"/>
      <c r="UMT8" s="60"/>
      <c r="UMU8" s="60"/>
      <c r="UMV8" s="60"/>
      <c r="UMW8" s="60"/>
      <c r="UMX8" s="60"/>
      <c r="UMY8" s="60"/>
      <c r="UMZ8" s="60"/>
      <c r="UNA8" s="60"/>
      <c r="UNB8" s="60"/>
      <c r="UNC8" s="60"/>
      <c r="UND8" s="60"/>
      <c r="UNE8" s="60"/>
      <c r="UNF8" s="60"/>
      <c r="UNG8" s="60"/>
      <c r="UNH8" s="60"/>
      <c r="UNI8" s="60"/>
      <c r="UNJ8" s="60"/>
      <c r="UNK8" s="60"/>
      <c r="UNL8" s="60"/>
      <c r="UNM8" s="60"/>
      <c r="UNN8" s="60"/>
      <c r="UNO8" s="60"/>
      <c r="UNP8" s="60"/>
      <c r="UNQ8" s="60"/>
      <c r="UNR8" s="60"/>
      <c r="UNS8" s="60"/>
      <c r="UNT8" s="60"/>
      <c r="UNU8" s="60"/>
      <c r="UNV8" s="60"/>
      <c r="UNW8" s="60"/>
      <c r="UNX8" s="60"/>
      <c r="UNY8" s="60"/>
      <c r="UNZ8" s="60"/>
      <c r="UOA8" s="60"/>
      <c r="UOB8" s="60"/>
      <c r="UOC8" s="60"/>
      <c r="UOD8" s="60"/>
      <c r="UOE8" s="60"/>
      <c r="UOF8" s="60"/>
      <c r="UOG8" s="60"/>
      <c r="UOH8" s="60"/>
      <c r="UOI8" s="60"/>
      <c r="UOJ8" s="60"/>
      <c r="UOK8" s="60"/>
      <c r="UOL8" s="60"/>
      <c r="UOM8" s="60"/>
      <c r="UON8" s="60"/>
      <c r="UOO8" s="60"/>
      <c r="UOP8" s="60"/>
      <c r="UOQ8" s="60"/>
      <c r="UOR8" s="60"/>
      <c r="UOS8" s="60"/>
      <c r="UOT8" s="60"/>
      <c r="UOU8" s="60"/>
      <c r="UOV8" s="60"/>
      <c r="UOW8" s="60"/>
      <c r="UOX8" s="60"/>
      <c r="UOY8" s="60"/>
      <c r="UOZ8" s="60"/>
      <c r="UPA8" s="60"/>
      <c r="UPB8" s="60"/>
      <c r="UPC8" s="60"/>
      <c r="UPD8" s="60"/>
      <c r="UPE8" s="60"/>
      <c r="UPF8" s="60"/>
      <c r="UPG8" s="60"/>
      <c r="UPH8" s="60"/>
      <c r="UPI8" s="60"/>
      <c r="UPJ8" s="60"/>
      <c r="UPK8" s="60"/>
      <c r="UPL8" s="60"/>
      <c r="UPM8" s="60"/>
      <c r="UPN8" s="60"/>
      <c r="UPO8" s="60"/>
      <c r="UPP8" s="60"/>
      <c r="UPQ8" s="60"/>
      <c r="UPR8" s="60"/>
      <c r="UPS8" s="60"/>
      <c r="UPT8" s="60"/>
      <c r="UPU8" s="60"/>
      <c r="UPV8" s="60"/>
      <c r="UPW8" s="60"/>
      <c r="UPX8" s="60"/>
      <c r="UPY8" s="60"/>
      <c r="UPZ8" s="60"/>
      <c r="UQA8" s="60"/>
      <c r="UQB8" s="60"/>
      <c r="UQC8" s="60"/>
      <c r="UQD8" s="60"/>
      <c r="UQE8" s="60"/>
      <c r="UQF8" s="60"/>
      <c r="UQG8" s="60"/>
      <c r="UQH8" s="60"/>
      <c r="UQI8" s="60"/>
      <c r="UQJ8" s="60"/>
      <c r="UQK8" s="60"/>
      <c r="UQL8" s="60"/>
      <c r="UQM8" s="60"/>
      <c r="UQN8" s="60"/>
      <c r="UQO8" s="60"/>
      <c r="UQP8" s="60"/>
      <c r="UQQ8" s="60"/>
      <c r="UQR8" s="60"/>
      <c r="UQS8" s="60"/>
      <c r="UQT8" s="60"/>
      <c r="UQU8" s="60"/>
      <c r="UQV8" s="60"/>
      <c r="UQW8" s="60"/>
      <c r="UQX8" s="60"/>
      <c r="UQY8" s="60"/>
      <c r="UQZ8" s="60"/>
      <c r="URA8" s="60"/>
      <c r="URB8" s="60"/>
      <c r="URC8" s="60"/>
      <c r="URD8" s="60"/>
      <c r="URE8" s="60"/>
      <c r="URF8" s="60"/>
      <c r="URG8" s="60"/>
      <c r="URH8" s="60"/>
      <c r="URI8" s="60"/>
      <c r="URJ8" s="60"/>
      <c r="URK8" s="60"/>
      <c r="URL8" s="60"/>
      <c r="URM8" s="60"/>
      <c r="URN8" s="60"/>
      <c r="URO8" s="60"/>
      <c r="URP8" s="60"/>
      <c r="URQ8" s="60"/>
      <c r="URR8" s="60"/>
      <c r="URS8" s="60"/>
      <c r="URT8" s="60"/>
      <c r="URU8" s="60"/>
      <c r="URV8" s="60"/>
      <c r="URW8" s="60"/>
      <c r="URX8" s="60"/>
      <c r="URY8" s="60"/>
      <c r="URZ8" s="60"/>
      <c r="USA8" s="60"/>
      <c r="USB8" s="60"/>
      <c r="USC8" s="60"/>
      <c r="USD8" s="60"/>
      <c r="USE8" s="60"/>
      <c r="USF8" s="60"/>
      <c r="USG8" s="60"/>
      <c r="USH8" s="60"/>
      <c r="USI8" s="60"/>
      <c r="USJ8" s="60"/>
      <c r="USK8" s="60"/>
      <c r="USL8" s="60"/>
      <c r="USM8" s="60"/>
      <c r="USN8" s="60"/>
      <c r="USO8" s="60"/>
      <c r="USP8" s="60"/>
      <c r="USQ8" s="60"/>
      <c r="USR8" s="60"/>
      <c r="USS8" s="60"/>
      <c r="UST8" s="60"/>
      <c r="USU8" s="60"/>
      <c r="USV8" s="60"/>
      <c r="USW8" s="60"/>
      <c r="USX8" s="60"/>
      <c r="USY8" s="60"/>
      <c r="USZ8" s="60"/>
      <c r="UTA8" s="60"/>
      <c r="UTB8" s="60"/>
      <c r="UTC8" s="60"/>
      <c r="UTD8" s="60"/>
      <c r="UTE8" s="60"/>
      <c r="UTF8" s="60"/>
      <c r="UTG8" s="60"/>
      <c r="UTH8" s="60"/>
      <c r="UTI8" s="60"/>
      <c r="UTJ8" s="60"/>
      <c r="UTK8" s="60"/>
      <c r="UTL8" s="60"/>
      <c r="UTM8" s="60"/>
      <c r="UTN8" s="60"/>
      <c r="UTO8" s="60"/>
      <c r="UTP8" s="60"/>
      <c r="UTQ8" s="60"/>
      <c r="UTR8" s="60"/>
      <c r="UTS8" s="60"/>
      <c r="UTT8" s="60"/>
      <c r="UTU8" s="60"/>
      <c r="UTV8" s="60"/>
      <c r="UTW8" s="60"/>
      <c r="UTX8" s="60"/>
      <c r="UTY8" s="60"/>
      <c r="UTZ8" s="60"/>
      <c r="UUA8" s="60"/>
      <c r="UUB8" s="60"/>
      <c r="UUC8" s="60"/>
      <c r="UUD8" s="60"/>
      <c r="UUE8" s="60"/>
      <c r="UUF8" s="60"/>
      <c r="UUG8" s="60"/>
      <c r="UUH8" s="60"/>
      <c r="UUI8" s="60"/>
      <c r="UUJ8" s="60"/>
      <c r="UUK8" s="60"/>
      <c r="UUL8" s="60"/>
      <c r="UUM8" s="60"/>
      <c r="UUN8" s="60"/>
      <c r="UUO8" s="60"/>
      <c r="UUP8" s="60"/>
      <c r="UUQ8" s="60"/>
      <c r="UUR8" s="60"/>
      <c r="UUS8" s="60"/>
      <c r="UUT8" s="60"/>
      <c r="UUU8" s="60"/>
      <c r="UUV8" s="60"/>
      <c r="UUW8" s="60"/>
      <c r="UUX8" s="60"/>
      <c r="UUY8" s="60"/>
      <c r="UUZ8" s="60"/>
      <c r="UVA8" s="60"/>
      <c r="UVB8" s="60"/>
      <c r="UVC8" s="60"/>
      <c r="UVD8" s="60"/>
      <c r="UVE8" s="60"/>
      <c r="UVF8" s="60"/>
      <c r="UVG8" s="60"/>
      <c r="UVH8" s="60"/>
      <c r="UVI8" s="60"/>
      <c r="UVJ8" s="60"/>
      <c r="UVK8" s="60"/>
      <c r="UVL8" s="60"/>
      <c r="UVM8" s="60"/>
      <c r="UVN8" s="60"/>
      <c r="UVO8" s="60"/>
      <c r="UVP8" s="60"/>
      <c r="UVQ8" s="60"/>
      <c r="UVR8" s="60"/>
      <c r="UVS8" s="60"/>
      <c r="UVT8" s="60"/>
      <c r="UVU8" s="60"/>
      <c r="UVV8" s="60"/>
      <c r="UVW8" s="60"/>
      <c r="UVX8" s="60"/>
      <c r="UVY8" s="60"/>
      <c r="UVZ8" s="60"/>
      <c r="UWA8" s="60"/>
      <c r="UWB8" s="60"/>
      <c r="UWC8" s="60"/>
      <c r="UWD8" s="60"/>
      <c r="UWE8" s="60"/>
      <c r="UWF8" s="60"/>
      <c r="UWG8" s="60"/>
      <c r="UWH8" s="60"/>
      <c r="UWI8" s="60"/>
      <c r="UWJ8" s="60"/>
      <c r="UWK8" s="60"/>
      <c r="UWL8" s="60"/>
      <c r="UWM8" s="60"/>
      <c r="UWN8" s="60"/>
      <c r="UWO8" s="60"/>
      <c r="UWP8" s="60"/>
      <c r="UWQ8" s="60"/>
      <c r="UWR8" s="60"/>
      <c r="UWS8" s="60"/>
      <c r="UWT8" s="60"/>
      <c r="UWU8" s="60"/>
      <c r="UWV8" s="60"/>
      <c r="UWW8" s="60"/>
      <c r="UWX8" s="60"/>
      <c r="UWY8" s="60"/>
      <c r="UWZ8" s="60"/>
      <c r="UXA8" s="60"/>
      <c r="UXB8" s="60"/>
      <c r="UXC8" s="60"/>
      <c r="UXD8" s="60"/>
      <c r="UXE8" s="60"/>
      <c r="UXF8" s="60"/>
      <c r="UXG8" s="60"/>
      <c r="UXH8" s="60"/>
      <c r="UXI8" s="60"/>
      <c r="UXJ8" s="60"/>
      <c r="UXK8" s="60"/>
      <c r="UXL8" s="60"/>
      <c r="UXM8" s="60"/>
      <c r="UXN8" s="60"/>
      <c r="UXO8" s="60"/>
      <c r="UXP8" s="60"/>
      <c r="UXQ8" s="60"/>
      <c r="UXR8" s="60"/>
      <c r="UXS8" s="60"/>
      <c r="UXT8" s="60"/>
      <c r="UXU8" s="60"/>
      <c r="UXV8" s="60"/>
      <c r="UXW8" s="60"/>
      <c r="UXX8" s="60"/>
      <c r="UXY8" s="60"/>
      <c r="UXZ8" s="60"/>
      <c r="UYA8" s="60"/>
      <c r="UYB8" s="60"/>
      <c r="UYC8" s="60"/>
      <c r="UYD8" s="60"/>
      <c r="UYE8" s="60"/>
      <c r="UYF8" s="60"/>
      <c r="UYG8" s="60"/>
      <c r="UYH8" s="60"/>
      <c r="UYI8" s="60"/>
      <c r="UYJ8" s="60"/>
      <c r="UYK8" s="60"/>
      <c r="UYL8" s="60"/>
      <c r="UYM8" s="60"/>
      <c r="UYN8" s="60"/>
      <c r="UYO8" s="60"/>
      <c r="UYP8" s="60"/>
      <c r="UYQ8" s="60"/>
      <c r="UYR8" s="60"/>
      <c r="UYS8" s="60"/>
      <c r="UYT8" s="60"/>
      <c r="UYU8" s="60"/>
      <c r="UYV8" s="60"/>
      <c r="UYW8" s="60"/>
      <c r="UYX8" s="60"/>
      <c r="UYY8" s="60"/>
      <c r="UYZ8" s="60"/>
      <c r="UZA8" s="60"/>
      <c r="UZB8" s="60"/>
      <c r="UZC8" s="60"/>
      <c r="UZD8" s="60"/>
      <c r="UZE8" s="60"/>
      <c r="UZF8" s="60"/>
      <c r="UZG8" s="60"/>
      <c r="UZH8" s="60"/>
      <c r="UZI8" s="60"/>
      <c r="UZJ8" s="60"/>
      <c r="UZK8" s="60"/>
      <c r="UZL8" s="60"/>
      <c r="UZM8" s="60"/>
      <c r="UZN8" s="60"/>
      <c r="UZO8" s="60"/>
      <c r="UZP8" s="60"/>
      <c r="UZQ8" s="60"/>
      <c r="UZR8" s="60"/>
      <c r="UZS8" s="60"/>
      <c r="UZT8" s="60"/>
      <c r="UZU8" s="60"/>
      <c r="UZV8" s="60"/>
      <c r="UZW8" s="60"/>
      <c r="UZX8" s="60"/>
      <c r="UZY8" s="60"/>
      <c r="UZZ8" s="60"/>
      <c r="VAA8" s="60"/>
      <c r="VAB8" s="60"/>
      <c r="VAC8" s="60"/>
      <c r="VAD8" s="60"/>
      <c r="VAE8" s="60"/>
      <c r="VAF8" s="60"/>
      <c r="VAG8" s="60"/>
      <c r="VAH8" s="60"/>
      <c r="VAI8" s="60"/>
      <c r="VAJ8" s="60"/>
      <c r="VAK8" s="60"/>
      <c r="VAL8" s="60"/>
      <c r="VAM8" s="60"/>
      <c r="VAN8" s="60"/>
      <c r="VAO8" s="60"/>
      <c r="VAP8" s="60"/>
      <c r="VAQ8" s="60"/>
      <c r="VAR8" s="60"/>
      <c r="VAS8" s="60"/>
      <c r="VAT8" s="60"/>
      <c r="VAU8" s="60"/>
      <c r="VAV8" s="60"/>
      <c r="VAW8" s="60"/>
      <c r="VAX8" s="60"/>
      <c r="VAY8" s="60"/>
      <c r="VAZ8" s="60"/>
      <c r="VBA8" s="60"/>
      <c r="VBB8" s="60"/>
      <c r="VBC8" s="60"/>
      <c r="VBD8" s="60"/>
      <c r="VBE8" s="60"/>
      <c r="VBF8" s="60"/>
      <c r="VBG8" s="60"/>
      <c r="VBH8" s="60"/>
      <c r="VBI8" s="60"/>
      <c r="VBJ8" s="60"/>
      <c r="VBK8" s="60"/>
      <c r="VBL8" s="60"/>
      <c r="VBM8" s="60"/>
      <c r="VBN8" s="60"/>
      <c r="VBO8" s="60"/>
      <c r="VBP8" s="60"/>
      <c r="VBQ8" s="60"/>
      <c r="VBR8" s="60"/>
      <c r="VBS8" s="60"/>
      <c r="VBT8" s="60"/>
      <c r="VBU8" s="60"/>
      <c r="VBV8" s="60"/>
      <c r="VBW8" s="60"/>
      <c r="VBX8" s="60"/>
      <c r="VBY8" s="60"/>
      <c r="VBZ8" s="60"/>
      <c r="VCA8" s="60"/>
      <c r="VCB8" s="60"/>
      <c r="VCC8" s="60"/>
      <c r="VCD8" s="60"/>
      <c r="VCE8" s="60"/>
      <c r="VCF8" s="60"/>
      <c r="VCG8" s="60"/>
      <c r="VCH8" s="60"/>
      <c r="VCI8" s="60"/>
      <c r="VCJ8" s="60"/>
      <c r="VCK8" s="60"/>
      <c r="VCL8" s="60"/>
      <c r="VCM8" s="60"/>
      <c r="VCN8" s="60"/>
      <c r="VCO8" s="60"/>
      <c r="VCP8" s="60"/>
      <c r="VCQ8" s="60"/>
      <c r="VCR8" s="60"/>
      <c r="VCS8" s="60"/>
      <c r="VCT8" s="60"/>
      <c r="VCU8" s="60"/>
      <c r="VCV8" s="60"/>
      <c r="VCW8" s="60"/>
      <c r="VCX8" s="60"/>
      <c r="VCY8" s="60"/>
      <c r="VCZ8" s="60"/>
      <c r="VDA8" s="60"/>
      <c r="VDB8" s="60"/>
      <c r="VDC8" s="60"/>
      <c r="VDD8" s="60"/>
      <c r="VDE8" s="60"/>
      <c r="VDF8" s="60"/>
      <c r="VDG8" s="60"/>
      <c r="VDH8" s="60"/>
      <c r="VDI8" s="60"/>
      <c r="VDJ8" s="60"/>
      <c r="VDK8" s="60"/>
      <c r="VDL8" s="60"/>
      <c r="VDM8" s="60"/>
      <c r="VDN8" s="60"/>
      <c r="VDO8" s="60"/>
      <c r="VDP8" s="60"/>
      <c r="VDQ8" s="60"/>
      <c r="VDR8" s="60"/>
      <c r="VDS8" s="60"/>
      <c r="VDT8" s="60"/>
      <c r="VDU8" s="60"/>
      <c r="VDV8" s="60"/>
      <c r="VDW8" s="60"/>
      <c r="VDX8" s="60"/>
      <c r="VDY8" s="60"/>
      <c r="VDZ8" s="60"/>
      <c r="VEA8" s="60"/>
      <c r="VEB8" s="60"/>
      <c r="VEC8" s="60"/>
      <c r="VED8" s="60"/>
      <c r="VEE8" s="60"/>
      <c r="VEF8" s="60"/>
      <c r="VEG8" s="60"/>
      <c r="VEH8" s="60"/>
      <c r="VEI8" s="60"/>
      <c r="VEJ8" s="60"/>
      <c r="VEK8" s="60"/>
      <c r="VEL8" s="60"/>
      <c r="VEM8" s="60"/>
      <c r="VEN8" s="60"/>
      <c r="VEO8" s="60"/>
      <c r="VEP8" s="60"/>
      <c r="VEQ8" s="60"/>
      <c r="VER8" s="60"/>
      <c r="VES8" s="60"/>
      <c r="VET8" s="60"/>
      <c r="VEU8" s="60"/>
      <c r="VEV8" s="60"/>
      <c r="VEW8" s="60"/>
      <c r="VEX8" s="60"/>
      <c r="VEY8" s="60"/>
      <c r="VEZ8" s="60"/>
      <c r="VFA8" s="60"/>
      <c r="VFB8" s="60"/>
      <c r="VFC8" s="60"/>
      <c r="VFD8" s="60"/>
      <c r="VFE8" s="60"/>
      <c r="VFF8" s="60"/>
      <c r="VFG8" s="60"/>
      <c r="VFH8" s="60"/>
      <c r="VFI8" s="60"/>
      <c r="VFJ8" s="60"/>
      <c r="VFK8" s="60"/>
      <c r="VFL8" s="60"/>
      <c r="VFM8" s="60"/>
      <c r="VFN8" s="60"/>
      <c r="VFO8" s="60"/>
      <c r="VFP8" s="60"/>
      <c r="VFQ8" s="60"/>
      <c r="VFR8" s="60"/>
      <c r="VFS8" s="60"/>
      <c r="VFT8" s="60"/>
      <c r="VFU8" s="60"/>
      <c r="VFV8" s="60"/>
      <c r="VFW8" s="60"/>
      <c r="VFX8" s="60"/>
      <c r="VFY8" s="60"/>
      <c r="VFZ8" s="60"/>
      <c r="VGA8" s="60"/>
      <c r="VGB8" s="60"/>
      <c r="VGC8" s="60"/>
      <c r="VGD8" s="60"/>
      <c r="VGE8" s="60"/>
      <c r="VGF8" s="60"/>
      <c r="VGG8" s="60"/>
      <c r="VGH8" s="60"/>
      <c r="VGI8" s="60"/>
      <c r="VGJ8" s="60"/>
      <c r="VGK8" s="60"/>
      <c r="VGL8" s="60"/>
      <c r="VGM8" s="60"/>
      <c r="VGN8" s="60"/>
      <c r="VGO8" s="60"/>
      <c r="VGP8" s="60"/>
      <c r="VGQ8" s="60"/>
      <c r="VGR8" s="60"/>
      <c r="VGS8" s="60"/>
      <c r="VGT8" s="60"/>
      <c r="VGU8" s="60"/>
      <c r="VGV8" s="60"/>
      <c r="VGW8" s="60"/>
      <c r="VGX8" s="60"/>
      <c r="VGY8" s="60"/>
      <c r="VGZ8" s="60"/>
      <c r="VHA8" s="60"/>
      <c r="VHB8" s="60"/>
      <c r="VHC8" s="60"/>
      <c r="VHD8" s="60"/>
      <c r="VHE8" s="60"/>
      <c r="VHF8" s="60"/>
      <c r="VHG8" s="60"/>
      <c r="VHH8" s="60"/>
      <c r="VHI8" s="60"/>
      <c r="VHJ8" s="60"/>
      <c r="VHK8" s="60"/>
      <c r="VHL8" s="60"/>
      <c r="VHM8" s="60"/>
      <c r="VHN8" s="60"/>
      <c r="VHO8" s="60"/>
      <c r="VHP8" s="60"/>
      <c r="VHQ8" s="60"/>
      <c r="VHR8" s="60"/>
      <c r="VHS8" s="60"/>
      <c r="VHT8" s="60"/>
      <c r="VHU8" s="60"/>
      <c r="VHV8" s="60"/>
      <c r="VHW8" s="60"/>
      <c r="VHX8" s="60"/>
      <c r="VHY8" s="60"/>
      <c r="VHZ8" s="60"/>
      <c r="VIA8" s="60"/>
      <c r="VIB8" s="60"/>
      <c r="VIC8" s="60"/>
      <c r="VID8" s="60"/>
      <c r="VIE8" s="60"/>
      <c r="VIF8" s="60"/>
      <c r="VIG8" s="60"/>
      <c r="VIH8" s="60"/>
      <c r="VII8" s="60"/>
      <c r="VIJ8" s="60"/>
      <c r="VIK8" s="60"/>
      <c r="VIL8" s="60"/>
      <c r="VIM8" s="60"/>
      <c r="VIN8" s="60"/>
      <c r="VIO8" s="60"/>
      <c r="VIP8" s="60"/>
      <c r="VIQ8" s="60"/>
      <c r="VIR8" s="60"/>
      <c r="VIS8" s="60"/>
      <c r="VIT8" s="60"/>
      <c r="VIU8" s="60"/>
      <c r="VIV8" s="60"/>
      <c r="VIW8" s="60"/>
      <c r="VIX8" s="60"/>
      <c r="VIY8" s="60"/>
      <c r="VIZ8" s="60"/>
      <c r="VJA8" s="60"/>
      <c r="VJB8" s="60"/>
      <c r="VJC8" s="60"/>
      <c r="VJD8" s="60"/>
      <c r="VJE8" s="60"/>
      <c r="VJF8" s="60"/>
      <c r="VJG8" s="60"/>
      <c r="VJH8" s="60"/>
      <c r="VJI8" s="60"/>
      <c r="VJJ8" s="60"/>
      <c r="VJK8" s="60"/>
      <c r="VJL8" s="60"/>
      <c r="VJM8" s="60"/>
      <c r="VJN8" s="60"/>
      <c r="VJO8" s="60"/>
      <c r="VJP8" s="60"/>
      <c r="VJQ8" s="60"/>
      <c r="VJR8" s="60"/>
      <c r="VJS8" s="60"/>
      <c r="VJT8" s="60"/>
      <c r="VJU8" s="60"/>
      <c r="VJV8" s="60"/>
      <c r="VJW8" s="60"/>
      <c r="VJX8" s="60"/>
      <c r="VJY8" s="60"/>
      <c r="VJZ8" s="60"/>
      <c r="VKA8" s="60"/>
      <c r="VKB8" s="60"/>
      <c r="VKC8" s="60"/>
      <c r="VKD8" s="60"/>
      <c r="VKE8" s="60"/>
      <c r="VKF8" s="60"/>
      <c r="VKG8" s="60"/>
      <c r="VKH8" s="60"/>
      <c r="VKI8" s="60"/>
      <c r="VKJ8" s="60"/>
      <c r="VKK8" s="60"/>
      <c r="VKL8" s="60"/>
      <c r="VKM8" s="60"/>
      <c r="VKN8" s="60"/>
      <c r="VKO8" s="60"/>
      <c r="VKP8" s="60"/>
      <c r="VKQ8" s="60"/>
      <c r="VKR8" s="60"/>
      <c r="VKS8" s="60"/>
      <c r="VKT8" s="60"/>
      <c r="VKU8" s="60"/>
      <c r="VKV8" s="60"/>
      <c r="VKW8" s="60"/>
      <c r="VKX8" s="60"/>
      <c r="VKY8" s="60"/>
      <c r="VKZ8" s="60"/>
      <c r="VLA8" s="60"/>
      <c r="VLB8" s="60"/>
      <c r="VLC8" s="60"/>
      <c r="VLD8" s="60"/>
      <c r="VLE8" s="60"/>
      <c r="VLF8" s="60"/>
      <c r="VLG8" s="60"/>
      <c r="VLH8" s="60"/>
      <c r="VLI8" s="60"/>
      <c r="VLJ8" s="60"/>
      <c r="VLK8" s="60"/>
      <c r="VLL8" s="60"/>
      <c r="VLM8" s="60"/>
      <c r="VLN8" s="60"/>
      <c r="VLO8" s="60"/>
      <c r="VLP8" s="60"/>
      <c r="VLQ8" s="60"/>
      <c r="VLR8" s="60"/>
      <c r="VLS8" s="60"/>
      <c r="VLT8" s="60"/>
      <c r="VLU8" s="60"/>
      <c r="VLV8" s="60"/>
      <c r="VLW8" s="60"/>
      <c r="VLX8" s="60"/>
      <c r="VLY8" s="60"/>
      <c r="VLZ8" s="60"/>
      <c r="VMA8" s="60"/>
      <c r="VMB8" s="60"/>
      <c r="VMC8" s="60"/>
      <c r="VMD8" s="60"/>
      <c r="VME8" s="60"/>
      <c r="VMF8" s="60"/>
      <c r="VMG8" s="60"/>
      <c r="VMH8" s="60"/>
      <c r="VMI8" s="60"/>
      <c r="VMJ8" s="60"/>
      <c r="VMK8" s="60"/>
      <c r="VML8" s="60"/>
      <c r="VMM8" s="60"/>
      <c r="VMN8" s="60"/>
      <c r="VMO8" s="60"/>
      <c r="VMP8" s="60"/>
      <c r="VMQ8" s="60"/>
      <c r="VMR8" s="60"/>
      <c r="VMS8" s="60"/>
      <c r="VMT8" s="60"/>
      <c r="VMU8" s="60"/>
      <c r="VMV8" s="60"/>
      <c r="VMW8" s="60"/>
      <c r="VMX8" s="60"/>
      <c r="VMY8" s="60"/>
      <c r="VMZ8" s="60"/>
      <c r="VNA8" s="60"/>
      <c r="VNB8" s="60"/>
      <c r="VNC8" s="60"/>
      <c r="VND8" s="60"/>
      <c r="VNE8" s="60"/>
      <c r="VNF8" s="60"/>
      <c r="VNG8" s="60"/>
      <c r="VNH8" s="60"/>
      <c r="VNI8" s="60"/>
      <c r="VNJ8" s="60"/>
      <c r="VNK8" s="60"/>
      <c r="VNL8" s="60"/>
      <c r="VNM8" s="60"/>
      <c r="VNN8" s="60"/>
      <c r="VNO8" s="60"/>
      <c r="VNP8" s="60"/>
      <c r="VNQ8" s="60"/>
      <c r="VNR8" s="60"/>
      <c r="VNS8" s="60"/>
      <c r="VNT8" s="60"/>
      <c r="VNU8" s="60"/>
      <c r="VNV8" s="60"/>
      <c r="VNW8" s="60"/>
      <c r="VNX8" s="60"/>
      <c r="VNY8" s="60"/>
      <c r="VNZ8" s="60"/>
      <c r="VOA8" s="60"/>
      <c r="VOB8" s="60"/>
      <c r="VOC8" s="60"/>
      <c r="VOD8" s="60"/>
      <c r="VOE8" s="60"/>
      <c r="VOF8" s="60"/>
      <c r="VOG8" s="60"/>
      <c r="VOH8" s="60"/>
      <c r="VOI8" s="60"/>
      <c r="VOJ8" s="60"/>
      <c r="VOK8" s="60"/>
      <c r="VOL8" s="60"/>
      <c r="VOM8" s="60"/>
      <c r="VON8" s="60"/>
      <c r="VOO8" s="60"/>
      <c r="VOP8" s="60"/>
      <c r="VOQ8" s="60"/>
      <c r="VOR8" s="60"/>
      <c r="VOS8" s="60"/>
      <c r="VOT8" s="60"/>
      <c r="VOU8" s="60"/>
      <c r="VOV8" s="60"/>
      <c r="VOW8" s="60"/>
      <c r="VOX8" s="60"/>
      <c r="VOY8" s="60"/>
      <c r="VOZ8" s="60"/>
      <c r="VPA8" s="60"/>
      <c r="VPB8" s="60"/>
      <c r="VPC8" s="60"/>
      <c r="VPD8" s="60"/>
      <c r="VPE8" s="60"/>
      <c r="VPF8" s="60"/>
      <c r="VPG8" s="60"/>
      <c r="VPH8" s="60"/>
      <c r="VPI8" s="60"/>
      <c r="VPJ8" s="60"/>
      <c r="VPK8" s="60"/>
      <c r="VPL8" s="60"/>
      <c r="VPM8" s="60"/>
      <c r="VPN8" s="60"/>
      <c r="VPO8" s="60"/>
      <c r="VPP8" s="60"/>
      <c r="VPQ8" s="60"/>
      <c r="VPR8" s="60"/>
      <c r="VPS8" s="60"/>
      <c r="VPT8" s="60"/>
      <c r="VPU8" s="60"/>
      <c r="VPV8" s="60"/>
      <c r="VPW8" s="60"/>
      <c r="VPX8" s="60"/>
      <c r="VPY8" s="60"/>
      <c r="VPZ8" s="60"/>
      <c r="VQA8" s="60"/>
      <c r="VQB8" s="60"/>
      <c r="VQC8" s="60"/>
      <c r="VQD8" s="60"/>
      <c r="VQE8" s="60"/>
      <c r="VQF8" s="60"/>
      <c r="VQG8" s="60"/>
      <c r="VQH8" s="60"/>
      <c r="VQI8" s="60"/>
      <c r="VQJ8" s="60"/>
      <c r="VQK8" s="60"/>
      <c r="VQL8" s="60"/>
      <c r="VQM8" s="60"/>
      <c r="VQN8" s="60"/>
      <c r="VQO8" s="60"/>
      <c r="VQP8" s="60"/>
      <c r="VQQ8" s="60"/>
      <c r="VQR8" s="60"/>
      <c r="VQS8" s="60"/>
      <c r="VQT8" s="60"/>
      <c r="VQU8" s="60"/>
      <c r="VQV8" s="60"/>
      <c r="VQW8" s="60"/>
      <c r="VQX8" s="60"/>
      <c r="VQY8" s="60"/>
      <c r="VQZ8" s="60"/>
      <c r="VRA8" s="60"/>
      <c r="VRB8" s="60"/>
      <c r="VRC8" s="60"/>
      <c r="VRD8" s="60"/>
      <c r="VRE8" s="60"/>
      <c r="VRF8" s="60"/>
      <c r="VRG8" s="60"/>
      <c r="VRH8" s="60"/>
      <c r="VRI8" s="60"/>
      <c r="VRJ8" s="60"/>
      <c r="VRK8" s="60"/>
      <c r="VRL8" s="60"/>
      <c r="VRM8" s="60"/>
      <c r="VRN8" s="60"/>
      <c r="VRO8" s="60"/>
      <c r="VRP8" s="60"/>
      <c r="VRQ8" s="60"/>
      <c r="VRR8" s="60"/>
      <c r="VRS8" s="60"/>
      <c r="VRT8" s="60"/>
      <c r="VRU8" s="60"/>
      <c r="VRV8" s="60"/>
      <c r="VRW8" s="60"/>
      <c r="VRX8" s="60"/>
      <c r="VRY8" s="60"/>
      <c r="VRZ8" s="60"/>
      <c r="VSA8" s="60"/>
      <c r="VSB8" s="60"/>
      <c r="VSC8" s="60"/>
      <c r="VSD8" s="60"/>
      <c r="VSE8" s="60"/>
      <c r="VSF8" s="60"/>
      <c r="VSG8" s="60"/>
      <c r="VSH8" s="60"/>
      <c r="VSI8" s="60"/>
      <c r="VSJ8" s="60"/>
      <c r="VSK8" s="60"/>
      <c r="VSL8" s="60"/>
      <c r="VSM8" s="60"/>
      <c r="VSN8" s="60"/>
      <c r="VSO8" s="60"/>
      <c r="VSP8" s="60"/>
      <c r="VSQ8" s="60"/>
      <c r="VSR8" s="60"/>
      <c r="VSS8" s="60"/>
      <c r="VST8" s="60"/>
      <c r="VSU8" s="60"/>
      <c r="VSV8" s="60"/>
      <c r="VSW8" s="60"/>
      <c r="VSX8" s="60"/>
      <c r="VSY8" s="60"/>
      <c r="VSZ8" s="60"/>
      <c r="VTA8" s="60"/>
      <c r="VTB8" s="60"/>
      <c r="VTC8" s="60"/>
      <c r="VTD8" s="60"/>
      <c r="VTE8" s="60"/>
      <c r="VTF8" s="60"/>
      <c r="VTG8" s="60"/>
      <c r="VTH8" s="60"/>
      <c r="VTI8" s="60"/>
      <c r="VTJ8" s="60"/>
      <c r="VTK8" s="60"/>
      <c r="VTL8" s="60"/>
      <c r="VTM8" s="60"/>
      <c r="VTN8" s="60"/>
      <c r="VTO8" s="60"/>
      <c r="VTP8" s="60"/>
      <c r="VTQ8" s="60"/>
      <c r="VTR8" s="60"/>
      <c r="VTS8" s="60"/>
      <c r="VTT8" s="60"/>
      <c r="VTU8" s="60"/>
      <c r="VTV8" s="60"/>
      <c r="VTW8" s="60"/>
      <c r="VTX8" s="60"/>
      <c r="VTY8" s="60"/>
      <c r="VTZ8" s="60"/>
      <c r="VUA8" s="60"/>
      <c r="VUB8" s="60"/>
      <c r="VUC8" s="60"/>
      <c r="VUD8" s="60"/>
      <c r="VUE8" s="60"/>
      <c r="VUF8" s="60"/>
      <c r="VUG8" s="60"/>
      <c r="VUH8" s="60"/>
      <c r="VUI8" s="60"/>
      <c r="VUJ8" s="60"/>
      <c r="VUK8" s="60"/>
      <c r="VUL8" s="60"/>
      <c r="VUM8" s="60"/>
      <c r="VUN8" s="60"/>
      <c r="VUO8" s="60"/>
      <c r="VUP8" s="60"/>
      <c r="VUQ8" s="60"/>
      <c r="VUR8" s="60"/>
      <c r="VUS8" s="60"/>
      <c r="VUT8" s="60"/>
      <c r="VUU8" s="60"/>
      <c r="VUV8" s="60"/>
      <c r="VUW8" s="60"/>
      <c r="VUX8" s="60"/>
      <c r="VUY8" s="60"/>
      <c r="VUZ8" s="60"/>
      <c r="VVA8" s="60"/>
      <c r="VVB8" s="60"/>
      <c r="VVC8" s="60"/>
      <c r="VVD8" s="60"/>
      <c r="VVE8" s="60"/>
      <c r="VVF8" s="60"/>
      <c r="VVG8" s="60"/>
      <c r="VVH8" s="60"/>
      <c r="VVI8" s="60"/>
      <c r="VVJ8" s="60"/>
      <c r="VVK8" s="60"/>
      <c r="VVL8" s="60"/>
      <c r="VVM8" s="60"/>
      <c r="VVN8" s="60"/>
      <c r="VVO8" s="60"/>
      <c r="VVP8" s="60"/>
      <c r="VVQ8" s="60"/>
      <c r="VVR8" s="60"/>
      <c r="VVS8" s="60"/>
      <c r="VVT8" s="60"/>
      <c r="VVU8" s="60"/>
      <c r="VVV8" s="60"/>
      <c r="VVW8" s="60"/>
      <c r="VVX8" s="60"/>
      <c r="VVY8" s="60"/>
      <c r="VVZ8" s="60"/>
      <c r="VWA8" s="60"/>
      <c r="VWB8" s="60"/>
      <c r="VWC8" s="60"/>
      <c r="VWD8" s="60"/>
      <c r="VWE8" s="60"/>
      <c r="VWF8" s="60"/>
      <c r="VWG8" s="60"/>
      <c r="VWH8" s="60"/>
      <c r="VWI8" s="60"/>
      <c r="VWJ8" s="60"/>
      <c r="VWK8" s="60"/>
      <c r="VWL8" s="60"/>
      <c r="VWM8" s="60"/>
      <c r="VWN8" s="60"/>
      <c r="VWO8" s="60"/>
      <c r="VWP8" s="60"/>
      <c r="VWQ8" s="60"/>
      <c r="VWR8" s="60"/>
      <c r="VWS8" s="60"/>
      <c r="VWT8" s="60"/>
      <c r="VWU8" s="60"/>
      <c r="VWV8" s="60"/>
      <c r="VWW8" s="60"/>
      <c r="VWX8" s="60"/>
      <c r="VWY8" s="60"/>
      <c r="VWZ8" s="60"/>
      <c r="VXA8" s="60"/>
      <c r="VXB8" s="60"/>
      <c r="VXC8" s="60"/>
      <c r="VXD8" s="60"/>
      <c r="VXE8" s="60"/>
      <c r="VXF8" s="60"/>
      <c r="VXG8" s="60"/>
      <c r="VXH8" s="60"/>
      <c r="VXI8" s="60"/>
      <c r="VXJ8" s="60"/>
      <c r="VXK8" s="60"/>
      <c r="VXL8" s="60"/>
      <c r="VXM8" s="60"/>
      <c r="VXN8" s="60"/>
      <c r="VXO8" s="60"/>
      <c r="VXP8" s="60"/>
      <c r="VXQ8" s="60"/>
      <c r="VXR8" s="60"/>
      <c r="VXS8" s="60"/>
      <c r="VXT8" s="60"/>
      <c r="VXU8" s="60"/>
      <c r="VXV8" s="60"/>
      <c r="VXW8" s="60"/>
      <c r="VXX8" s="60"/>
      <c r="VXY8" s="60"/>
      <c r="VXZ8" s="60"/>
      <c r="VYA8" s="60"/>
      <c r="VYB8" s="60"/>
      <c r="VYC8" s="60"/>
      <c r="VYD8" s="60"/>
      <c r="VYE8" s="60"/>
      <c r="VYF8" s="60"/>
      <c r="VYG8" s="60"/>
      <c r="VYH8" s="60"/>
      <c r="VYI8" s="60"/>
      <c r="VYJ8" s="60"/>
      <c r="VYK8" s="60"/>
      <c r="VYL8" s="60"/>
      <c r="VYM8" s="60"/>
      <c r="VYN8" s="60"/>
      <c r="VYO8" s="60"/>
      <c r="VYP8" s="60"/>
      <c r="VYQ8" s="60"/>
      <c r="VYR8" s="60"/>
      <c r="VYS8" s="60"/>
      <c r="VYT8" s="60"/>
      <c r="VYU8" s="60"/>
      <c r="VYV8" s="60"/>
      <c r="VYW8" s="60"/>
      <c r="VYX8" s="60"/>
      <c r="VYY8" s="60"/>
      <c r="VYZ8" s="60"/>
      <c r="VZA8" s="60"/>
      <c r="VZB8" s="60"/>
      <c r="VZC8" s="60"/>
      <c r="VZD8" s="60"/>
      <c r="VZE8" s="60"/>
      <c r="VZF8" s="60"/>
      <c r="VZG8" s="60"/>
      <c r="VZH8" s="60"/>
      <c r="VZI8" s="60"/>
      <c r="VZJ8" s="60"/>
      <c r="VZK8" s="60"/>
      <c r="VZL8" s="60"/>
      <c r="VZM8" s="60"/>
      <c r="VZN8" s="60"/>
      <c r="VZO8" s="60"/>
      <c r="VZP8" s="60"/>
      <c r="VZQ8" s="60"/>
      <c r="VZR8" s="60"/>
      <c r="VZS8" s="60"/>
      <c r="VZT8" s="60"/>
      <c r="VZU8" s="60"/>
      <c r="VZV8" s="60"/>
      <c r="VZW8" s="60"/>
      <c r="VZX8" s="60"/>
      <c r="VZY8" s="60"/>
      <c r="VZZ8" s="60"/>
      <c r="WAA8" s="60"/>
      <c r="WAB8" s="60"/>
      <c r="WAC8" s="60"/>
      <c r="WAD8" s="60"/>
      <c r="WAE8" s="60"/>
      <c r="WAF8" s="60"/>
      <c r="WAG8" s="60"/>
      <c r="WAH8" s="60"/>
      <c r="WAI8" s="60"/>
      <c r="WAJ8" s="60"/>
      <c r="WAK8" s="60"/>
      <c r="WAL8" s="60"/>
      <c r="WAM8" s="60"/>
      <c r="WAN8" s="60"/>
      <c r="WAO8" s="60"/>
      <c r="WAP8" s="60"/>
      <c r="WAQ8" s="60"/>
      <c r="WAR8" s="60"/>
      <c r="WAS8" s="60"/>
      <c r="WAT8" s="60"/>
      <c r="WAU8" s="60"/>
      <c r="WAV8" s="60"/>
      <c r="WAW8" s="60"/>
      <c r="WAX8" s="60"/>
      <c r="WAY8" s="60"/>
      <c r="WAZ8" s="60"/>
      <c r="WBA8" s="60"/>
      <c r="WBB8" s="60"/>
      <c r="WBC8" s="60"/>
      <c r="WBD8" s="60"/>
      <c r="WBE8" s="60"/>
      <c r="WBF8" s="60"/>
      <c r="WBG8" s="60"/>
      <c r="WBH8" s="60"/>
      <c r="WBI8" s="60"/>
      <c r="WBJ8" s="60"/>
      <c r="WBK8" s="60"/>
      <c r="WBL8" s="60"/>
      <c r="WBM8" s="60"/>
      <c r="WBN8" s="60"/>
      <c r="WBO8" s="60"/>
      <c r="WBP8" s="60"/>
      <c r="WBQ8" s="60"/>
      <c r="WBR8" s="60"/>
      <c r="WBS8" s="60"/>
      <c r="WBT8" s="60"/>
      <c r="WBU8" s="60"/>
      <c r="WBV8" s="60"/>
      <c r="WBW8" s="60"/>
      <c r="WBX8" s="60"/>
      <c r="WBY8" s="60"/>
      <c r="WBZ8" s="60"/>
      <c r="WCA8" s="60"/>
      <c r="WCB8" s="60"/>
      <c r="WCC8" s="60"/>
      <c r="WCD8" s="60"/>
      <c r="WCE8" s="60"/>
      <c r="WCF8" s="60"/>
      <c r="WCG8" s="60"/>
      <c r="WCH8" s="60"/>
      <c r="WCI8" s="60"/>
      <c r="WCJ8" s="60"/>
      <c r="WCK8" s="60"/>
      <c r="WCL8" s="60"/>
      <c r="WCM8" s="60"/>
      <c r="WCN8" s="60"/>
      <c r="WCO8" s="60"/>
      <c r="WCP8" s="60"/>
      <c r="WCQ8" s="60"/>
      <c r="WCR8" s="60"/>
      <c r="WCS8" s="60"/>
      <c r="WCT8" s="60"/>
      <c r="WCU8" s="60"/>
      <c r="WCV8" s="60"/>
      <c r="WCW8" s="60"/>
      <c r="WCX8" s="60"/>
      <c r="WCY8" s="60"/>
      <c r="WCZ8" s="60"/>
      <c r="WDA8" s="60"/>
      <c r="WDB8" s="60"/>
      <c r="WDC8" s="60"/>
      <c r="WDD8" s="60"/>
      <c r="WDE8" s="60"/>
      <c r="WDF8" s="60"/>
      <c r="WDG8" s="60"/>
      <c r="WDH8" s="60"/>
      <c r="WDI8" s="60"/>
      <c r="WDJ8" s="60"/>
      <c r="WDK8" s="60"/>
      <c r="WDL8" s="60"/>
      <c r="WDM8" s="60"/>
      <c r="WDN8" s="60"/>
      <c r="WDO8" s="60"/>
      <c r="WDP8" s="60"/>
      <c r="WDQ8" s="60"/>
      <c r="WDR8" s="60"/>
      <c r="WDS8" s="60"/>
      <c r="WDT8" s="60"/>
      <c r="WDU8" s="60"/>
      <c r="WDV8" s="60"/>
      <c r="WDW8" s="60"/>
      <c r="WDX8" s="60"/>
      <c r="WDY8" s="60"/>
      <c r="WDZ8" s="60"/>
      <c r="WEA8" s="60"/>
      <c r="WEB8" s="60"/>
      <c r="WEC8" s="60"/>
      <c r="WED8" s="60"/>
      <c r="WEE8" s="60"/>
      <c r="WEF8" s="60"/>
      <c r="WEG8" s="60"/>
      <c r="WEH8" s="60"/>
      <c r="WEI8" s="60"/>
      <c r="WEJ8" s="60"/>
      <c r="WEK8" s="60"/>
      <c r="WEL8" s="60"/>
      <c r="WEM8" s="60"/>
      <c r="WEN8" s="60"/>
      <c r="WEO8" s="60"/>
      <c r="WEP8" s="60"/>
      <c r="WEQ8" s="60"/>
      <c r="WER8" s="60"/>
      <c r="WES8" s="60"/>
      <c r="WET8" s="60"/>
      <c r="WEU8" s="60"/>
      <c r="WEV8" s="60"/>
      <c r="WEW8" s="60"/>
      <c r="WEX8" s="60"/>
      <c r="WEY8" s="60"/>
      <c r="WEZ8" s="60"/>
      <c r="WFA8" s="60"/>
      <c r="WFB8" s="60"/>
      <c r="WFC8" s="60"/>
      <c r="WFD8" s="60"/>
      <c r="WFE8" s="60"/>
      <c r="WFF8" s="60"/>
      <c r="WFG8" s="60"/>
      <c r="WFH8" s="60"/>
      <c r="WFI8" s="60"/>
      <c r="WFJ8" s="60"/>
      <c r="WFK8" s="60"/>
      <c r="WFL8" s="60"/>
      <c r="WFM8" s="60"/>
      <c r="WFN8" s="60"/>
      <c r="WFO8" s="60"/>
      <c r="WFP8" s="60"/>
      <c r="WFQ8" s="60"/>
      <c r="WFR8" s="60"/>
      <c r="WFS8" s="60"/>
      <c r="WFT8" s="60"/>
      <c r="WFU8" s="60"/>
      <c r="WFV8" s="60"/>
      <c r="WFW8" s="60"/>
      <c r="WFX8" s="60"/>
      <c r="WFY8" s="60"/>
      <c r="WFZ8" s="60"/>
      <c r="WGA8" s="60"/>
      <c r="WGB8" s="60"/>
      <c r="WGC8" s="60"/>
      <c r="WGD8" s="60"/>
      <c r="WGE8" s="60"/>
      <c r="WGF8" s="60"/>
      <c r="WGG8" s="60"/>
      <c r="WGH8" s="60"/>
      <c r="WGI8" s="60"/>
      <c r="WGJ8" s="60"/>
      <c r="WGK8" s="60"/>
      <c r="WGL8" s="60"/>
      <c r="WGM8" s="60"/>
      <c r="WGN8" s="60"/>
      <c r="WGO8" s="60"/>
      <c r="WGP8" s="60"/>
      <c r="WGQ8" s="60"/>
      <c r="WGR8" s="60"/>
      <c r="WGS8" s="60"/>
      <c r="WGT8" s="60"/>
      <c r="WGU8" s="60"/>
      <c r="WGV8" s="60"/>
      <c r="WGW8" s="60"/>
      <c r="WGX8" s="60"/>
      <c r="WGY8" s="60"/>
      <c r="WGZ8" s="60"/>
      <c r="WHA8" s="60"/>
      <c r="WHB8" s="60"/>
      <c r="WHC8" s="60"/>
      <c r="WHD8" s="60"/>
      <c r="WHE8" s="60"/>
      <c r="WHF8" s="60"/>
      <c r="WHG8" s="60"/>
      <c r="WHH8" s="60"/>
      <c r="WHI8" s="60"/>
      <c r="WHJ8" s="60"/>
      <c r="WHK8" s="60"/>
      <c r="WHL8" s="60"/>
      <c r="WHM8" s="60"/>
      <c r="WHN8" s="60"/>
      <c r="WHO8" s="60"/>
      <c r="WHP8" s="60"/>
      <c r="WHQ8" s="60"/>
      <c r="WHR8" s="60"/>
      <c r="WHS8" s="60"/>
      <c r="WHT8" s="60"/>
      <c r="WHU8" s="60"/>
      <c r="WHV8" s="60"/>
      <c r="WHW8" s="60"/>
      <c r="WHX8" s="60"/>
      <c r="WHY8" s="60"/>
      <c r="WHZ8" s="60"/>
      <c r="WIA8" s="60"/>
      <c r="WIB8" s="60"/>
      <c r="WIC8" s="60"/>
      <c r="WID8" s="60"/>
      <c r="WIE8" s="60"/>
      <c r="WIF8" s="60"/>
      <c r="WIG8" s="60"/>
      <c r="WIH8" s="60"/>
      <c r="WII8" s="60"/>
      <c r="WIJ8" s="60"/>
      <c r="WIK8" s="60"/>
      <c r="WIL8" s="60"/>
      <c r="WIM8" s="60"/>
      <c r="WIN8" s="60"/>
      <c r="WIO8" s="60"/>
      <c r="WIP8" s="60"/>
      <c r="WIQ8" s="60"/>
      <c r="WIR8" s="60"/>
      <c r="WIS8" s="60"/>
      <c r="WIT8" s="60"/>
      <c r="WIU8" s="60"/>
      <c r="WIV8" s="60"/>
      <c r="WIW8" s="60"/>
      <c r="WIX8" s="60"/>
      <c r="WIY8" s="60"/>
      <c r="WIZ8" s="60"/>
      <c r="WJA8" s="60"/>
      <c r="WJB8" s="60"/>
      <c r="WJC8" s="60"/>
      <c r="WJD8" s="60"/>
      <c r="WJE8" s="60"/>
      <c r="WJF8" s="60"/>
      <c r="WJG8" s="60"/>
      <c r="WJH8" s="60"/>
      <c r="WJI8" s="60"/>
      <c r="WJJ8" s="60"/>
      <c r="WJK8" s="60"/>
      <c r="WJL8" s="60"/>
      <c r="WJM8" s="60"/>
      <c r="WJN8" s="60"/>
      <c r="WJO8" s="60"/>
      <c r="WJP8" s="60"/>
      <c r="WJQ8" s="60"/>
      <c r="WJR8" s="60"/>
      <c r="WJS8" s="60"/>
      <c r="WJT8" s="60"/>
      <c r="WJU8" s="60"/>
      <c r="WJV8" s="60"/>
      <c r="WJW8" s="60"/>
      <c r="WJX8" s="60"/>
      <c r="WJY8" s="60"/>
      <c r="WJZ8" s="60"/>
      <c r="WKA8" s="60"/>
      <c r="WKB8" s="60"/>
      <c r="WKC8" s="60"/>
      <c r="WKD8" s="60"/>
      <c r="WKE8" s="60"/>
      <c r="WKF8" s="60"/>
      <c r="WKG8" s="60"/>
      <c r="WKH8" s="60"/>
      <c r="WKI8" s="60"/>
      <c r="WKJ8" s="60"/>
      <c r="WKK8" s="60"/>
      <c r="WKL8" s="60"/>
      <c r="WKM8" s="60"/>
      <c r="WKN8" s="60"/>
      <c r="WKO8" s="60"/>
      <c r="WKP8" s="60"/>
      <c r="WKQ8" s="60"/>
      <c r="WKR8" s="60"/>
      <c r="WKS8" s="60"/>
      <c r="WKT8" s="60"/>
      <c r="WKU8" s="60"/>
      <c r="WKV8" s="60"/>
      <c r="WKW8" s="60"/>
      <c r="WKX8" s="60"/>
      <c r="WKY8" s="60"/>
      <c r="WKZ8" s="60"/>
      <c r="WLA8" s="60"/>
      <c r="WLB8" s="60"/>
      <c r="WLC8" s="60"/>
      <c r="WLD8" s="60"/>
      <c r="WLE8" s="60"/>
      <c r="WLF8" s="60"/>
      <c r="WLG8" s="60"/>
      <c r="WLH8" s="60"/>
      <c r="WLI8" s="60"/>
      <c r="WLJ8" s="60"/>
      <c r="WLK8" s="60"/>
      <c r="WLL8" s="60"/>
      <c r="WLM8" s="60"/>
      <c r="WLN8" s="60"/>
      <c r="WLO8" s="60"/>
      <c r="WLP8" s="60"/>
      <c r="WLQ8" s="60"/>
      <c r="WLR8" s="60"/>
      <c r="WLS8" s="60"/>
      <c r="WLT8" s="60"/>
      <c r="WLU8" s="60"/>
      <c r="WLV8" s="60"/>
      <c r="WLW8" s="60"/>
      <c r="WLX8" s="60"/>
      <c r="WLY8" s="60"/>
      <c r="WLZ8" s="60"/>
      <c r="WMA8" s="60"/>
      <c r="WMB8" s="60"/>
      <c r="WMC8" s="60"/>
      <c r="WMD8" s="60"/>
      <c r="WME8" s="60"/>
      <c r="WMF8" s="60"/>
      <c r="WMG8" s="60"/>
      <c r="WMH8" s="60"/>
      <c r="WMI8" s="60"/>
      <c r="WMJ8" s="60"/>
      <c r="WMK8" s="60"/>
      <c r="WML8" s="60"/>
      <c r="WMM8" s="60"/>
      <c r="WMN8" s="60"/>
      <c r="WMO8" s="60"/>
      <c r="WMP8" s="60"/>
      <c r="WMQ8" s="60"/>
      <c r="WMR8" s="60"/>
      <c r="WMS8" s="60"/>
      <c r="WMT8" s="60"/>
      <c r="WMU8" s="60"/>
      <c r="WMV8" s="60"/>
      <c r="WMW8" s="60"/>
      <c r="WMX8" s="60"/>
      <c r="WMY8" s="60"/>
      <c r="WMZ8" s="60"/>
      <c r="WNA8" s="60"/>
      <c r="WNB8" s="60"/>
      <c r="WNC8" s="60"/>
      <c r="WND8" s="60"/>
      <c r="WNE8" s="60"/>
      <c r="WNF8" s="60"/>
      <c r="WNG8" s="60"/>
      <c r="WNH8" s="60"/>
      <c r="WNI8" s="60"/>
      <c r="WNJ8" s="60"/>
      <c r="WNK8" s="60"/>
      <c r="WNL8" s="60"/>
      <c r="WNM8" s="60"/>
      <c r="WNN8" s="60"/>
      <c r="WNO8" s="60"/>
      <c r="WNP8" s="60"/>
      <c r="WNQ8" s="60"/>
      <c r="WNR8" s="60"/>
      <c r="WNS8" s="60"/>
      <c r="WNT8" s="60"/>
      <c r="WNU8" s="60"/>
      <c r="WNV8" s="60"/>
      <c r="WNW8" s="60"/>
      <c r="WNX8" s="60"/>
      <c r="WNY8" s="60"/>
      <c r="WNZ8" s="60"/>
      <c r="WOA8" s="60"/>
      <c r="WOB8" s="60"/>
      <c r="WOC8" s="60"/>
      <c r="WOD8" s="60"/>
      <c r="WOE8" s="60"/>
      <c r="WOF8" s="60"/>
      <c r="WOG8" s="60"/>
      <c r="WOH8" s="60"/>
      <c r="WOI8" s="60"/>
      <c r="WOJ8" s="60"/>
      <c r="WOK8" s="60"/>
      <c r="WOL8" s="60"/>
      <c r="WOM8" s="60"/>
      <c r="WON8" s="60"/>
      <c r="WOO8" s="60"/>
      <c r="WOP8" s="60"/>
      <c r="WOQ8" s="60"/>
      <c r="WOR8" s="60"/>
      <c r="WOS8" s="60"/>
      <c r="WOT8" s="60"/>
      <c r="WOU8" s="60"/>
      <c r="WOV8" s="60"/>
      <c r="WOW8" s="60"/>
      <c r="WOX8" s="60"/>
      <c r="WOY8" s="60"/>
      <c r="WOZ8" s="60"/>
      <c r="WPA8" s="60"/>
      <c r="WPB8" s="60"/>
      <c r="WPC8" s="60"/>
      <c r="WPD8" s="60"/>
      <c r="WPE8" s="60"/>
      <c r="WPF8" s="60"/>
      <c r="WPG8" s="60"/>
      <c r="WPH8" s="60"/>
      <c r="WPI8" s="60"/>
      <c r="WPJ8" s="60"/>
      <c r="WPK8" s="60"/>
      <c r="WPL8" s="60"/>
      <c r="WPM8" s="60"/>
      <c r="WPN8" s="60"/>
      <c r="WPO8" s="60"/>
      <c r="WPP8" s="60"/>
      <c r="WPQ8" s="60"/>
      <c r="WPR8" s="60"/>
      <c r="WPS8" s="60"/>
      <c r="WPT8" s="60"/>
      <c r="WPU8" s="60"/>
      <c r="WPV8" s="60"/>
      <c r="WPW8" s="60"/>
      <c r="WPX8" s="60"/>
      <c r="WPY8" s="60"/>
      <c r="WPZ8" s="60"/>
      <c r="WQA8" s="60"/>
      <c r="WQB8" s="60"/>
      <c r="WQC8" s="60"/>
      <c r="WQD8" s="60"/>
      <c r="WQE8" s="60"/>
      <c r="WQF8" s="60"/>
      <c r="WQG8" s="60"/>
      <c r="WQH8" s="60"/>
      <c r="WQI8" s="60"/>
      <c r="WQJ8" s="60"/>
      <c r="WQK8" s="60"/>
      <c r="WQL8" s="60"/>
      <c r="WQM8" s="60"/>
      <c r="WQN8" s="60"/>
      <c r="WQO8" s="60"/>
      <c r="WQP8" s="60"/>
      <c r="WQQ8" s="60"/>
      <c r="WQR8" s="60"/>
      <c r="WQS8" s="60"/>
      <c r="WQT8" s="60"/>
      <c r="WQU8" s="60"/>
      <c r="WQV8" s="60"/>
      <c r="WQW8" s="60"/>
      <c r="WQX8" s="60"/>
      <c r="WQY8" s="60"/>
      <c r="WQZ8" s="60"/>
      <c r="WRA8" s="60"/>
      <c r="WRB8" s="60"/>
      <c r="WRC8" s="60"/>
      <c r="WRD8" s="60"/>
      <c r="WRE8" s="60"/>
      <c r="WRF8" s="60"/>
      <c r="WRG8" s="60"/>
      <c r="WRH8" s="60"/>
      <c r="WRI8" s="60"/>
      <c r="WRJ8" s="60"/>
      <c r="WRK8" s="60"/>
      <c r="WRL8" s="60"/>
      <c r="WRM8" s="60"/>
      <c r="WRN8" s="60"/>
      <c r="WRO8" s="60"/>
      <c r="WRP8" s="60"/>
      <c r="WRQ8" s="60"/>
      <c r="WRR8" s="60"/>
      <c r="WRS8" s="60"/>
      <c r="WRT8" s="60"/>
      <c r="WRU8" s="60"/>
      <c r="WRV8" s="60"/>
      <c r="WRW8" s="60"/>
      <c r="WRX8" s="60"/>
      <c r="WRY8" s="60"/>
      <c r="WRZ8" s="60"/>
      <c r="WSA8" s="60"/>
      <c r="WSB8" s="60"/>
      <c r="WSC8" s="60"/>
      <c r="WSD8" s="60"/>
      <c r="WSE8" s="60"/>
      <c r="WSF8" s="60"/>
      <c r="WSG8" s="60"/>
      <c r="WSH8" s="60"/>
      <c r="WSI8" s="60"/>
      <c r="WSJ8" s="60"/>
      <c r="WSK8" s="60"/>
      <c r="WSL8" s="60"/>
      <c r="WSM8" s="60"/>
      <c r="WSN8" s="60"/>
      <c r="WSO8" s="60"/>
      <c r="WSP8" s="60"/>
      <c r="WSQ8" s="60"/>
      <c r="WSR8" s="60"/>
      <c r="WSS8" s="60"/>
      <c r="WST8" s="60"/>
      <c r="WSU8" s="60"/>
      <c r="WSV8" s="60"/>
      <c r="WSW8" s="60"/>
      <c r="WSX8" s="60"/>
      <c r="WSY8" s="60"/>
      <c r="WSZ8" s="60"/>
      <c r="WTA8" s="60"/>
      <c r="WTB8" s="60"/>
      <c r="WTC8" s="60"/>
      <c r="WTD8" s="60"/>
      <c r="WTE8" s="60"/>
      <c r="WTF8" s="60"/>
      <c r="WTG8" s="60"/>
      <c r="WTH8" s="60"/>
      <c r="WTI8" s="60"/>
      <c r="WTJ8" s="60"/>
      <c r="WTK8" s="60"/>
      <c r="WTL8" s="60"/>
      <c r="WTM8" s="60"/>
      <c r="WTN8" s="60"/>
      <c r="WTO8" s="60"/>
      <c r="WTP8" s="60"/>
      <c r="WTQ8" s="60"/>
      <c r="WTR8" s="60"/>
      <c r="WTS8" s="60"/>
      <c r="WTT8" s="60"/>
      <c r="WTU8" s="60"/>
      <c r="WTV8" s="60"/>
      <c r="WTW8" s="60"/>
      <c r="WTX8" s="60"/>
      <c r="WTY8" s="60"/>
      <c r="WTZ8" s="60"/>
      <c r="WUA8" s="60"/>
      <c r="WUB8" s="60"/>
      <c r="WUC8" s="60"/>
      <c r="WUD8" s="60"/>
      <c r="WUE8" s="60"/>
      <c r="WUF8" s="60"/>
      <c r="WUG8" s="60"/>
      <c r="WUH8" s="60"/>
      <c r="WUI8" s="60"/>
      <c r="WUJ8" s="60"/>
      <c r="WUK8" s="60"/>
      <c r="WUL8" s="60"/>
      <c r="WUM8" s="60"/>
      <c r="WUN8" s="60"/>
      <c r="WUO8" s="60"/>
      <c r="WUP8" s="60"/>
      <c r="WUQ8" s="60"/>
      <c r="WUR8" s="60"/>
      <c r="WUS8" s="60"/>
      <c r="WUT8" s="60"/>
      <c r="WUU8" s="60"/>
      <c r="WUV8" s="60"/>
      <c r="WUW8" s="60"/>
      <c r="WUX8" s="60"/>
      <c r="WUY8" s="60"/>
      <c r="WUZ8" s="60"/>
      <c r="WVA8" s="60"/>
      <c r="WVB8" s="60"/>
      <c r="WVC8" s="60"/>
      <c r="WVD8" s="60"/>
      <c r="WVE8" s="60"/>
      <c r="WVF8" s="60"/>
      <c r="WVG8" s="60"/>
      <c r="WVH8" s="60"/>
      <c r="WVI8" s="60"/>
      <c r="WVJ8" s="60"/>
      <c r="WVK8" s="60"/>
      <c r="WVL8" s="60"/>
      <c r="WVM8" s="60"/>
      <c r="WVN8" s="60"/>
      <c r="WVO8" s="60"/>
      <c r="WVP8" s="60"/>
      <c r="WVQ8" s="60"/>
      <c r="WVR8" s="60"/>
      <c r="WVS8" s="60"/>
      <c r="WVT8" s="60"/>
      <c r="WVU8" s="60"/>
      <c r="WVV8" s="60"/>
      <c r="WVW8" s="60"/>
      <c r="WVX8" s="60"/>
      <c r="WVY8" s="60"/>
      <c r="WVZ8" s="60"/>
      <c r="WWA8" s="60"/>
      <c r="WWB8" s="60"/>
      <c r="WWC8" s="60"/>
      <c r="WWD8" s="60"/>
      <c r="WWE8" s="60"/>
      <c r="WWF8" s="60"/>
      <c r="WWG8" s="60"/>
      <c r="WWH8" s="60"/>
      <c r="WWI8" s="60"/>
      <c r="WWJ8" s="60"/>
      <c r="WWK8" s="60"/>
      <c r="WWL8" s="60"/>
      <c r="WWM8" s="60"/>
      <c r="WWN8" s="60"/>
      <c r="WWO8" s="60"/>
      <c r="WWP8" s="60"/>
      <c r="WWQ8" s="60"/>
      <c r="WWR8" s="60"/>
      <c r="WWS8" s="60"/>
      <c r="WWT8" s="60"/>
      <c r="WWU8" s="60"/>
      <c r="WWV8" s="60"/>
      <c r="WWW8" s="60"/>
      <c r="WWX8" s="60"/>
      <c r="WWY8" s="60"/>
      <c r="WWZ8" s="60"/>
      <c r="WXA8" s="60"/>
      <c r="WXB8" s="60"/>
      <c r="WXC8" s="60"/>
      <c r="WXD8" s="60"/>
      <c r="WXE8" s="60"/>
      <c r="WXF8" s="60"/>
      <c r="WXG8" s="60"/>
      <c r="WXH8" s="60"/>
      <c r="WXI8" s="60"/>
      <c r="WXJ8" s="60"/>
      <c r="WXK8" s="60"/>
      <c r="WXL8" s="60"/>
      <c r="WXM8" s="60"/>
      <c r="WXN8" s="60"/>
      <c r="WXO8" s="60"/>
      <c r="WXP8" s="60"/>
      <c r="WXQ8" s="60"/>
      <c r="WXR8" s="60"/>
      <c r="WXS8" s="60"/>
      <c r="WXT8" s="60"/>
      <c r="WXU8" s="60"/>
      <c r="WXV8" s="60"/>
      <c r="WXW8" s="60"/>
      <c r="WXX8" s="60"/>
      <c r="WXY8" s="60"/>
      <c r="WXZ8" s="60"/>
      <c r="WYA8" s="60"/>
      <c r="WYB8" s="60"/>
      <c r="WYC8" s="60"/>
      <c r="WYD8" s="60"/>
      <c r="WYE8" s="60"/>
      <c r="WYF8" s="60"/>
      <c r="WYG8" s="60"/>
      <c r="WYH8" s="60"/>
      <c r="WYI8" s="60"/>
      <c r="WYJ8" s="60"/>
      <c r="WYK8" s="60"/>
      <c r="WYL8" s="60"/>
      <c r="WYM8" s="60"/>
      <c r="WYN8" s="60"/>
      <c r="WYO8" s="60"/>
      <c r="WYP8" s="60"/>
      <c r="WYQ8" s="60"/>
      <c r="WYR8" s="60"/>
      <c r="WYS8" s="60"/>
      <c r="WYT8" s="60"/>
      <c r="WYU8" s="60"/>
      <c r="WYV8" s="60"/>
      <c r="WYW8" s="60"/>
      <c r="WYX8" s="60"/>
      <c r="WYY8" s="60"/>
      <c r="WYZ8" s="60"/>
      <c r="WZA8" s="60"/>
      <c r="WZB8" s="60"/>
      <c r="WZC8" s="60"/>
      <c r="WZD8" s="60"/>
      <c r="WZE8" s="60"/>
      <c r="WZF8" s="60"/>
      <c r="WZG8" s="60"/>
      <c r="WZH8" s="60"/>
      <c r="WZI8" s="60"/>
      <c r="WZJ8" s="60"/>
      <c r="WZK8" s="60"/>
      <c r="WZL8" s="60"/>
      <c r="WZM8" s="60"/>
      <c r="WZN8" s="60"/>
      <c r="WZO8" s="60"/>
      <c r="WZP8" s="60"/>
      <c r="WZQ8" s="60"/>
      <c r="WZR8" s="60"/>
      <c r="WZS8" s="60"/>
      <c r="WZT8" s="60"/>
      <c r="WZU8" s="60"/>
      <c r="WZV8" s="60"/>
      <c r="WZW8" s="60"/>
      <c r="WZX8" s="60"/>
      <c r="WZY8" s="60"/>
      <c r="WZZ8" s="60"/>
      <c r="XAA8" s="60"/>
      <c r="XAB8" s="60"/>
      <c r="XAC8" s="60"/>
      <c r="XAD8" s="60"/>
      <c r="XAE8" s="60"/>
      <c r="XAF8" s="60"/>
      <c r="XAG8" s="60"/>
      <c r="XAH8" s="60"/>
      <c r="XAI8" s="60"/>
      <c r="XAJ8" s="60"/>
      <c r="XAK8" s="60"/>
      <c r="XAL8" s="60"/>
      <c r="XAM8" s="60"/>
      <c r="XAN8" s="60"/>
      <c r="XAO8" s="60"/>
      <c r="XAP8" s="60"/>
      <c r="XAQ8" s="60"/>
      <c r="XAR8" s="60"/>
      <c r="XAS8" s="60"/>
      <c r="XAT8" s="60"/>
      <c r="XAU8" s="60"/>
      <c r="XAV8" s="60"/>
      <c r="XAW8" s="60"/>
      <c r="XAX8" s="60"/>
      <c r="XAY8" s="60"/>
      <c r="XAZ8" s="60"/>
      <c r="XBA8" s="60"/>
      <c r="XBB8" s="60"/>
      <c r="XBC8" s="60"/>
      <c r="XBD8" s="60"/>
      <c r="XBE8" s="60"/>
      <c r="XBF8" s="60"/>
      <c r="XBG8" s="60"/>
      <c r="XBH8" s="60"/>
      <c r="XBI8" s="60"/>
      <c r="XBJ8" s="60"/>
      <c r="XBK8" s="60"/>
      <c r="XBL8" s="60"/>
      <c r="XBM8" s="60"/>
      <c r="XBN8" s="60"/>
      <c r="XBO8" s="60"/>
      <c r="XBP8" s="60"/>
      <c r="XBQ8" s="60"/>
      <c r="XBR8" s="60"/>
      <c r="XBS8" s="60"/>
      <c r="XBT8" s="60"/>
      <c r="XBU8" s="60"/>
      <c r="XBV8" s="60"/>
      <c r="XBW8" s="60"/>
      <c r="XBX8" s="60"/>
      <c r="XBY8" s="60"/>
      <c r="XBZ8" s="60"/>
      <c r="XCA8" s="60"/>
      <c r="XCB8" s="60"/>
      <c r="XCC8" s="60"/>
      <c r="XCD8" s="60"/>
      <c r="XCE8" s="60"/>
      <c r="XCF8" s="60"/>
      <c r="XCG8" s="60"/>
      <c r="XCH8" s="60"/>
      <c r="XCI8" s="60"/>
      <c r="XCJ8" s="60"/>
      <c r="XCK8" s="60"/>
      <c r="XCL8" s="60"/>
      <c r="XCM8" s="60"/>
      <c r="XCN8" s="60"/>
      <c r="XCO8" s="60"/>
      <c r="XCP8" s="60"/>
      <c r="XCQ8" s="60"/>
      <c r="XCR8" s="60"/>
      <c r="XCS8" s="60"/>
      <c r="XCT8" s="60"/>
      <c r="XCU8" s="60"/>
      <c r="XCV8" s="60"/>
      <c r="XCW8" s="60"/>
      <c r="XCX8" s="60"/>
      <c r="XCY8" s="60"/>
      <c r="XCZ8" s="60"/>
      <c r="XDA8" s="60"/>
      <c r="XDB8" s="60"/>
      <c r="XDC8" s="60"/>
      <c r="XDD8" s="60"/>
      <c r="XDE8" s="60"/>
      <c r="XDF8" s="60"/>
      <c r="XDG8" s="60"/>
      <c r="XDH8" s="60"/>
      <c r="XDI8" s="60"/>
      <c r="XDJ8" s="60"/>
      <c r="XDK8" s="60"/>
      <c r="XDL8" s="60"/>
      <c r="XDM8" s="60"/>
      <c r="XDN8" s="60"/>
      <c r="XDO8" s="60"/>
      <c r="XDP8" s="60"/>
      <c r="XDQ8" s="60"/>
      <c r="XDR8" s="60"/>
      <c r="XDS8" s="60"/>
      <c r="XDT8" s="60"/>
      <c r="XDU8" s="60"/>
      <c r="XDV8" s="60"/>
      <c r="XDW8" s="60"/>
      <c r="XDX8" s="60"/>
      <c r="XDY8" s="60"/>
      <c r="XDZ8" s="60"/>
      <c r="XEA8" s="60"/>
      <c r="XEB8" s="60"/>
      <c r="XEC8" s="60"/>
      <c r="XED8" s="60"/>
      <c r="XEE8" s="60"/>
      <c r="XEF8" s="60"/>
      <c r="XEG8" s="60"/>
      <c r="XEH8" s="60"/>
      <c r="XEI8" s="60"/>
      <c r="XEJ8" s="60"/>
      <c r="XEK8" s="60"/>
      <c r="XEL8" s="60"/>
      <c r="XEM8" s="60"/>
      <c r="XEN8" s="60"/>
      <c r="XEO8" s="60"/>
      <c r="XEP8" s="60"/>
      <c r="XEQ8" s="60"/>
      <c r="XER8" s="60"/>
      <c r="XES8" s="60"/>
      <c r="XET8" s="60"/>
      <c r="XEU8" s="60"/>
      <c r="XEV8" s="60"/>
      <c r="XEW8" s="60"/>
      <c r="XEX8" s="60"/>
      <c r="XEY8" s="60"/>
      <c r="XEZ8" s="60"/>
      <c r="XFA8" s="60"/>
      <c r="XFB8" s="60"/>
      <c r="XFC8" s="60"/>
      <c r="XFD8" s="60"/>
    </row>
    <row r="11" spans="1:16384">
      <c r="B11" s="50" t="s">
        <v>0</v>
      </c>
      <c r="C11" s="56">
        <f>SUMIF(Tabla4[[#Headers],[#Data],[SERVICIO]],B11,Tabla4[[#Headers],[#Data],[PAGO]])</f>
        <v>0</v>
      </c>
      <c r="D11" s="50"/>
      <c r="E11" s="51"/>
      <c r="F11" s="50"/>
      <c r="G11" s="50"/>
      <c r="H11" s="50"/>
      <c r="N11" s="50"/>
    </row>
    <row r="12" spans="1:16384">
      <c r="B12" s="50" t="s">
        <v>1</v>
      </c>
      <c r="C12" s="56">
        <f>SUMIF(Tabla4[[#Headers],[#Data],[SERVICIO]],B12,Tabla4[[#Headers],[#Data],[PAGO]])</f>
        <v>0</v>
      </c>
      <c r="D12" s="50"/>
      <c r="E12" s="51"/>
      <c r="F12" s="50"/>
      <c r="G12" s="50"/>
      <c r="H12" s="50"/>
      <c r="N12" s="50"/>
    </row>
    <row r="13" spans="1:16384">
      <c r="B13" s="50" t="s">
        <v>2</v>
      </c>
      <c r="C13" s="56">
        <f>SUMIF(Tabla4[[#Headers],[#Data],[SERVICIO]],B13,Tabla4[[#Headers],[#Data],[PAGO]])</f>
        <v>0</v>
      </c>
      <c r="D13" s="50"/>
      <c r="E13" s="51"/>
      <c r="F13" s="50"/>
      <c r="G13" s="50"/>
      <c r="H13" s="50"/>
      <c r="N13" s="50"/>
    </row>
    <row r="14" spans="1:16384">
      <c r="B14" s="50" t="s">
        <v>3</v>
      </c>
      <c r="C14" s="56">
        <f>SUMIF(Tabla4[[#Headers],[#Data],[SERVICIO]],B14,Tabla4[[#Headers],[#Data],[PAGO]])</f>
        <v>0</v>
      </c>
      <c r="D14" s="50"/>
      <c r="E14" s="51"/>
      <c r="F14" s="50"/>
      <c r="G14" s="50"/>
      <c r="H14" s="50"/>
      <c r="N14" s="50"/>
    </row>
    <row r="15" spans="1:16384">
      <c r="B15" s="50" t="s">
        <v>4</v>
      </c>
      <c r="C15" s="56">
        <f>SUMIF(Tabla4[[#Headers],[#Data],[SERVICIO]],B15,Tabla4[[#Headers],[#Data],[PAGO]])</f>
        <v>0</v>
      </c>
      <c r="D15" s="50"/>
      <c r="E15" s="51"/>
      <c r="F15" s="50"/>
      <c r="G15" s="50"/>
      <c r="H15" s="50"/>
      <c r="N15" s="50"/>
    </row>
    <row r="16" spans="1:16384">
      <c r="B16" s="50" t="s">
        <v>5</v>
      </c>
      <c r="C16" s="56">
        <f>SUMIF(Tabla4[[#Headers],[#Data],[SERVICIO]],B16,Tabla4[[#Headers],[#Data],[PAGO]])</f>
        <v>0</v>
      </c>
      <c r="D16" s="50"/>
      <c r="E16" s="51"/>
      <c r="F16" s="50"/>
      <c r="G16" s="50"/>
      <c r="H16" s="50"/>
      <c r="N16" s="50"/>
    </row>
    <row r="17" spans="2:14">
      <c r="B17" s="50" t="s">
        <v>6</v>
      </c>
      <c r="C17" s="56">
        <f>SUMIF(Tabla4[[#Headers],[#Data],[SERVICIO]],B17,Tabla4[[#Headers],[#Data],[PAGO]])</f>
        <v>3130</v>
      </c>
      <c r="D17" s="50"/>
      <c r="E17" s="51"/>
      <c r="F17" s="50"/>
      <c r="G17" s="50"/>
      <c r="H17" s="50"/>
      <c r="N17" s="50"/>
    </row>
    <row r="18" spans="2:14">
      <c r="B18" s="50" t="s">
        <v>7</v>
      </c>
      <c r="C18" s="56">
        <f>SUMIF(Tabla4[[#Headers],[#Data],[SERVICIO]],B18,Tabla4[[#Headers],[#Data],[PAGO]])</f>
        <v>0</v>
      </c>
      <c r="D18" s="50"/>
      <c r="E18" s="51"/>
      <c r="F18" s="50"/>
      <c r="G18" s="50"/>
      <c r="H18" s="50"/>
      <c r="N18" s="50"/>
    </row>
    <row r="19" spans="2:14">
      <c r="B19" s="50" t="s">
        <v>8</v>
      </c>
      <c r="C19" s="56">
        <f>SUMIF(Tabla4[[#Headers],[#Data],[SERVICIO]],B19,Tabla4[[#Headers],[#Data],[PAGO]])</f>
        <v>0</v>
      </c>
      <c r="D19" s="50"/>
      <c r="E19" s="51"/>
      <c r="F19" s="50"/>
      <c r="G19" s="50"/>
      <c r="H19" s="50"/>
      <c r="N19" s="50"/>
    </row>
    <row r="20" spans="2:14">
      <c r="B20" s="50" t="s">
        <v>9</v>
      </c>
      <c r="C20" s="56">
        <f>SUMIF(Tabla4[[#Headers],[#Data],[SERVICIO]],B20,Tabla4[[#Headers],[#Data],[PAGO]])</f>
        <v>3150</v>
      </c>
      <c r="D20" s="50"/>
      <c r="E20" s="51"/>
      <c r="F20" s="50"/>
      <c r="G20" s="50"/>
      <c r="H20" s="50"/>
      <c r="N20" s="50"/>
    </row>
    <row r="21" spans="2:14">
      <c r="B21" s="50" t="s">
        <v>10</v>
      </c>
      <c r="C21" s="56">
        <f>SUMIF(Tabla4[[#Headers],[#Data],[SERVICIO]],B21,Tabla4[[#Headers],[#Data],[PAGO]])</f>
        <v>2288</v>
      </c>
      <c r="D21" s="50"/>
      <c r="E21" s="51"/>
      <c r="F21" s="50"/>
      <c r="G21" s="50"/>
      <c r="H21" s="50"/>
      <c r="N21" s="50"/>
    </row>
    <row r="22" spans="2:14">
      <c r="B22" s="50" t="s">
        <v>11</v>
      </c>
      <c r="C22" s="56">
        <f>SUMIF(Tabla4[[#Headers],[#Data],[SERVICIO]],B22,Tabla4[[#Headers],[#Data],[PAGO]])</f>
        <v>0</v>
      </c>
      <c r="D22" s="50"/>
      <c r="E22" s="51"/>
      <c r="F22" s="50"/>
      <c r="G22" s="50"/>
      <c r="H22" s="50"/>
      <c r="N22" s="50"/>
    </row>
    <row r="23" spans="2:14">
      <c r="B23" s="50" t="s">
        <v>12</v>
      </c>
      <c r="C23" s="56">
        <f>SUMIF(Tabla4[[#Headers],[#Data],[SERVICIO]],B23,Tabla4[[#Headers],[#Data],[PAGO]])</f>
        <v>1395</v>
      </c>
      <c r="D23" s="50"/>
      <c r="E23" s="51"/>
      <c r="F23" s="50"/>
      <c r="G23" s="50"/>
      <c r="H23" s="50"/>
      <c r="N23" s="50"/>
    </row>
    <row r="24" spans="2:14">
      <c r="B24" s="50" t="s">
        <v>13</v>
      </c>
      <c r="C24" s="56">
        <f>SUMIF(Tabla4[[#Headers],[#Data],[SERVICIO]],B24,Tabla4[[#Headers],[#Data],[PAGO]])</f>
        <v>0</v>
      </c>
      <c r="D24" s="50"/>
      <c r="E24" s="51"/>
      <c r="F24" s="50"/>
      <c r="G24" s="50"/>
      <c r="H24" s="50"/>
      <c r="N24" s="50"/>
    </row>
    <row r="25" spans="2:14">
      <c r="B25" s="50" t="s">
        <v>14</v>
      </c>
      <c r="C25" s="56">
        <f>SUMIF(Tabla4[[#Headers],[#Data],[SERVICIO]],B25,Tabla4[[#Headers],[#Data],[PAGO]])</f>
        <v>5625</v>
      </c>
      <c r="D25" s="50"/>
      <c r="E25" s="51"/>
      <c r="F25" s="50"/>
      <c r="G25" s="50"/>
      <c r="H25" s="50"/>
      <c r="N25" s="50"/>
    </row>
    <row r="26" spans="2:14">
      <c r="B26" s="50" t="s">
        <v>16401</v>
      </c>
      <c r="C26" s="56">
        <f>SUMIF(Tabla4[[#Headers],[#Data],[SERVICIO]],B26,Tabla4[[#Headers],[#Data],[PAGO]])</f>
        <v>0</v>
      </c>
      <c r="D26" s="50"/>
      <c r="E26" s="51"/>
      <c r="F26" s="50"/>
      <c r="G26" s="50"/>
      <c r="H26" s="50"/>
      <c r="N26" s="50"/>
    </row>
    <row r="27" spans="2:14">
      <c r="B27" s="50" t="s">
        <v>15</v>
      </c>
      <c r="C27" s="56">
        <f>SUMIF(Tabla4[[#Headers],[#Data],[SERVICIO]],B27,Tabla4[[#Headers],[#Data],[PAGO]])</f>
        <v>0</v>
      </c>
      <c r="D27" s="50"/>
      <c r="E27" s="51"/>
      <c r="F27" s="50"/>
      <c r="G27" s="50"/>
      <c r="H27" s="50"/>
      <c r="N27" s="50"/>
    </row>
    <row r="28" spans="2:14">
      <c r="B28" s="50" t="s">
        <v>16</v>
      </c>
      <c r="C28" s="56">
        <f>SUMIF(Tabla4[[#Headers],[#Data],[SERVICIO]],B28,Tabla4[[#Headers],[#Data],[PAGO]])</f>
        <v>0</v>
      </c>
      <c r="D28" s="50"/>
      <c r="E28" s="51"/>
      <c r="F28" s="50"/>
      <c r="G28" s="50"/>
      <c r="H28" s="50"/>
      <c r="N28" s="50"/>
    </row>
    <row r="29" spans="2:14">
      <c r="B29" s="50" t="s">
        <v>17</v>
      </c>
      <c r="C29" s="47">
        <f>Tabla5[[#Totals],[IMPORTE]]</f>
        <v>3500</v>
      </c>
      <c r="D29" s="50"/>
      <c r="E29" s="51"/>
      <c r="F29" s="50"/>
      <c r="G29" s="50"/>
      <c r="H29" s="50"/>
      <c r="N29" s="50"/>
    </row>
    <row r="30" spans="2:14">
      <c r="B30" s="50"/>
      <c r="C30" s="47"/>
      <c r="D30" s="50"/>
      <c r="E30" s="51"/>
      <c r="F30" s="50"/>
      <c r="G30" s="50"/>
      <c r="H30" s="50"/>
      <c r="N30" s="50"/>
    </row>
    <row r="31" spans="2:14">
      <c r="C31" s="52">
        <f>SUM(C11:C30)</f>
        <v>19088</v>
      </c>
    </row>
  </sheetData>
  <conditionalFormatting sqref="A6:N7">
    <cfRule type="expression" dxfId="16623" priority="464">
      <formula>$A6=10</formula>
    </cfRule>
    <cfRule type="expression" dxfId="16622" priority="465">
      <formula>$A6=8</formula>
    </cfRule>
    <cfRule type="expression" dxfId="16621" priority="466">
      <formula>$A6=9</formula>
    </cfRule>
    <cfRule type="expression" dxfId="16620" priority="467">
      <formula>$A6=5</formula>
    </cfRule>
    <cfRule type="expression" dxfId="16619" priority="468">
      <formula>$A6=4</formula>
    </cfRule>
    <cfRule type="expression" dxfId="16618" priority="469">
      <formula>$A6=3</formula>
    </cfRule>
    <cfRule type="expression" dxfId="16617" priority="470">
      <formula>$A6=2</formula>
    </cfRule>
    <cfRule type="expression" dxfId="16616" priority="471">
      <formula>$A6=1</formula>
    </cfRule>
  </conditionalFormatting>
  <conditionalFormatting sqref="A227920">
    <cfRule type="expression" dxfId="16615" priority="15551">
      <formula>$A227920=8</formula>
    </cfRule>
  </conditionalFormatting>
  <conditionalFormatting sqref="J2:J4">
    <cfRule type="expression" dxfId="16614" priority="25">
      <formula>$A2=10</formula>
    </cfRule>
    <cfRule type="expression" dxfId="16613" priority="26">
      <formula>$A2=8</formula>
    </cfRule>
    <cfRule type="expression" dxfId="16612" priority="27">
      <formula>$A2=9</formula>
    </cfRule>
    <cfRule type="expression" dxfId="16611" priority="28">
      <formula>$A2=5</formula>
    </cfRule>
    <cfRule type="expression" dxfId="16610" priority="29">
      <formula>$A2=4</formula>
    </cfRule>
    <cfRule type="expression" dxfId="16609" priority="30">
      <formula>$A2=3</formula>
    </cfRule>
    <cfRule type="expression" dxfId="16608" priority="31">
      <formula>$A2=2</formula>
    </cfRule>
    <cfRule type="expression" dxfId="16607" priority="32">
      <formula>$A2=1</formula>
    </cfRule>
  </conditionalFormatting>
  <conditionalFormatting sqref="A5:N5 I2:I4">
    <cfRule type="expression" dxfId="16606" priority="57">
      <formula>$A2=10</formula>
    </cfRule>
    <cfRule type="expression" dxfId="16605" priority="58">
      <formula>$A2=8</formula>
    </cfRule>
    <cfRule type="expression" dxfId="16604" priority="59">
      <formula>$A2=9</formula>
    </cfRule>
    <cfRule type="expression" dxfId="16603" priority="60">
      <formula>$A2=5</formula>
    </cfRule>
    <cfRule type="expression" dxfId="16602" priority="61">
      <formula>$A2=4</formula>
    </cfRule>
    <cfRule type="expression" dxfId="16601" priority="62">
      <formula>$A2=3</formula>
    </cfRule>
    <cfRule type="expression" dxfId="16600" priority="63">
      <formula>$A2=2</formula>
    </cfRule>
    <cfRule type="expression" dxfId="16599" priority="64">
      <formula>$A2=1</formula>
    </cfRule>
  </conditionalFormatting>
  <conditionalFormatting sqref="A2:A4">
    <cfRule type="expression" dxfId="16598" priority="41">
      <formula>$A2=10</formula>
    </cfRule>
    <cfRule type="expression" dxfId="16597" priority="42">
      <formula>$A2=8</formula>
    </cfRule>
    <cfRule type="expression" dxfId="16596" priority="43">
      <formula>$A2=9</formula>
    </cfRule>
    <cfRule type="expression" dxfId="16595" priority="44">
      <formula>$A2=5</formula>
    </cfRule>
    <cfRule type="expression" dxfId="16594" priority="45">
      <formula>$A2=4</formula>
    </cfRule>
    <cfRule type="expression" dxfId="16593" priority="46">
      <formula>$A2=3</formula>
    </cfRule>
    <cfRule type="expression" dxfId="16592" priority="47">
      <formula>$A2=2</formula>
    </cfRule>
    <cfRule type="expression" dxfId="16591" priority="48">
      <formula>$A2=1</formula>
    </cfRule>
  </conditionalFormatting>
  <conditionalFormatting sqref="B2:H4 K2:N4">
    <cfRule type="expression" dxfId="16590" priority="33">
      <formula>$A2=10</formula>
    </cfRule>
    <cfRule type="expression" dxfId="16589" priority="34">
      <formula>$A2=8</formula>
    </cfRule>
    <cfRule type="expression" dxfId="16588" priority="35">
      <formula>$A2=9</formula>
    </cfRule>
    <cfRule type="expression" dxfId="16587" priority="36">
      <formula>$A2=5</formula>
    </cfRule>
    <cfRule type="expression" dxfId="16586" priority="37">
      <formula>$A2=4</formula>
    </cfRule>
    <cfRule type="expression" dxfId="16585" priority="38">
      <formula>$A2=3</formula>
    </cfRule>
    <cfRule type="expression" dxfId="16584" priority="39">
      <formula>$A2=2</formula>
    </cfRule>
    <cfRule type="expression" dxfId="16583" priority="40">
      <formula>$A2=1</formula>
    </cfRule>
  </conditionalFormatting>
  <pageMargins left="0.70866141732283505" right="0.70866141732283505" top="0.74803149606299202" bottom="0.74803149606299202" header="0.31496062992126" footer="0.31496062992126"/>
  <pageSetup paperSize="9" scale="1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7"/>
  <sheetViews>
    <sheetView topLeftCell="A4" zoomScale="140" zoomScaleNormal="140" workbookViewId="0">
      <selection activeCell="C10" sqref="C10"/>
    </sheetView>
  </sheetViews>
  <sheetFormatPr baseColWidth="10" defaultColWidth="11" defaultRowHeight="11.25"/>
  <cols>
    <col min="1" max="1" width="11.42578125" style="35"/>
    <col min="2" max="2" width="7" style="36" customWidth="1"/>
    <col min="3" max="3" width="9" style="37" customWidth="1"/>
    <col min="4" max="4" width="32" style="35" customWidth="1"/>
    <col min="5" max="5" width="11.5703125" style="35" customWidth="1"/>
    <col min="6" max="6" width="15.28515625" style="34" customWidth="1"/>
    <col min="7" max="257" width="11.42578125" style="35"/>
    <col min="258" max="258" width="16.5703125" style="35" customWidth="1"/>
    <col min="259" max="259" width="10.28515625" style="35" customWidth="1"/>
    <col min="260" max="260" width="32.7109375" style="35" customWidth="1"/>
    <col min="261" max="261" width="9.42578125" style="35" customWidth="1"/>
    <col min="262" max="262" width="26.28515625" style="35" customWidth="1"/>
    <col min="263" max="513" width="11.42578125" style="35"/>
    <col min="514" max="514" width="16.5703125" style="35" customWidth="1"/>
    <col min="515" max="515" width="10.28515625" style="35" customWidth="1"/>
    <col min="516" max="516" width="32.7109375" style="35" customWidth="1"/>
    <col min="517" max="517" width="9.42578125" style="35" customWidth="1"/>
    <col min="518" max="518" width="26.28515625" style="35" customWidth="1"/>
    <col min="519" max="769" width="11.42578125" style="35"/>
    <col min="770" max="770" width="16.5703125" style="35" customWidth="1"/>
    <col min="771" max="771" width="10.28515625" style="35" customWidth="1"/>
    <col min="772" max="772" width="32.7109375" style="35" customWidth="1"/>
    <col min="773" max="773" width="9.42578125" style="35" customWidth="1"/>
    <col min="774" max="774" width="26.28515625" style="35" customWidth="1"/>
    <col min="775" max="1025" width="11.42578125" style="35"/>
    <col min="1026" max="1026" width="16.5703125" style="35" customWidth="1"/>
    <col min="1027" max="1027" width="10.28515625" style="35" customWidth="1"/>
    <col min="1028" max="1028" width="32.7109375" style="35" customWidth="1"/>
    <col min="1029" max="1029" width="9.42578125" style="35" customWidth="1"/>
    <col min="1030" max="1030" width="26.28515625" style="35" customWidth="1"/>
    <col min="1031" max="1281" width="11.42578125" style="35"/>
    <col min="1282" max="1282" width="16.5703125" style="35" customWidth="1"/>
    <col min="1283" max="1283" width="10.28515625" style="35" customWidth="1"/>
    <col min="1284" max="1284" width="32.7109375" style="35" customWidth="1"/>
    <col min="1285" max="1285" width="9.42578125" style="35" customWidth="1"/>
    <col min="1286" max="1286" width="26.28515625" style="35" customWidth="1"/>
    <col min="1287" max="1537" width="11.42578125" style="35"/>
    <col min="1538" max="1538" width="16.5703125" style="35" customWidth="1"/>
    <col min="1539" max="1539" width="10.28515625" style="35" customWidth="1"/>
    <col min="1540" max="1540" width="32.7109375" style="35" customWidth="1"/>
    <col min="1541" max="1541" width="9.42578125" style="35" customWidth="1"/>
    <col min="1542" max="1542" width="26.28515625" style="35" customWidth="1"/>
    <col min="1543" max="1793" width="11.42578125" style="35"/>
    <col min="1794" max="1794" width="16.5703125" style="35" customWidth="1"/>
    <col min="1795" max="1795" width="10.28515625" style="35" customWidth="1"/>
    <col min="1796" max="1796" width="32.7109375" style="35" customWidth="1"/>
    <col min="1797" max="1797" width="9.42578125" style="35" customWidth="1"/>
    <col min="1798" max="1798" width="26.28515625" style="35" customWidth="1"/>
    <col min="1799" max="2049" width="11.42578125" style="35"/>
    <col min="2050" max="2050" width="16.5703125" style="35" customWidth="1"/>
    <col min="2051" max="2051" width="10.28515625" style="35" customWidth="1"/>
    <col min="2052" max="2052" width="32.7109375" style="35" customWidth="1"/>
    <col min="2053" max="2053" width="9.42578125" style="35" customWidth="1"/>
    <col min="2054" max="2054" width="26.28515625" style="35" customWidth="1"/>
    <col min="2055" max="2305" width="11.42578125" style="35"/>
    <col min="2306" max="2306" width="16.5703125" style="35" customWidth="1"/>
    <col min="2307" max="2307" width="10.28515625" style="35" customWidth="1"/>
    <col min="2308" max="2308" width="32.7109375" style="35" customWidth="1"/>
    <col min="2309" max="2309" width="9.42578125" style="35" customWidth="1"/>
    <col min="2310" max="2310" width="26.28515625" style="35" customWidth="1"/>
    <col min="2311" max="2561" width="11.42578125" style="35"/>
    <col min="2562" max="2562" width="16.5703125" style="35" customWidth="1"/>
    <col min="2563" max="2563" width="10.28515625" style="35" customWidth="1"/>
    <col min="2564" max="2564" width="32.7109375" style="35" customWidth="1"/>
    <col min="2565" max="2565" width="9.42578125" style="35" customWidth="1"/>
    <col min="2566" max="2566" width="26.28515625" style="35" customWidth="1"/>
    <col min="2567" max="2817" width="11.42578125" style="35"/>
    <col min="2818" max="2818" width="16.5703125" style="35" customWidth="1"/>
    <col min="2819" max="2819" width="10.28515625" style="35" customWidth="1"/>
    <col min="2820" max="2820" width="32.7109375" style="35" customWidth="1"/>
    <col min="2821" max="2821" width="9.42578125" style="35" customWidth="1"/>
    <col min="2822" max="2822" width="26.28515625" style="35" customWidth="1"/>
    <col min="2823" max="3073" width="11.42578125" style="35"/>
    <col min="3074" max="3074" width="16.5703125" style="35" customWidth="1"/>
    <col min="3075" max="3075" width="10.28515625" style="35" customWidth="1"/>
    <col min="3076" max="3076" width="32.7109375" style="35" customWidth="1"/>
    <col min="3077" max="3077" width="9.42578125" style="35" customWidth="1"/>
    <col min="3078" max="3078" width="26.28515625" style="35" customWidth="1"/>
    <col min="3079" max="3329" width="11.42578125" style="35"/>
    <col min="3330" max="3330" width="16.5703125" style="35" customWidth="1"/>
    <col min="3331" max="3331" width="10.28515625" style="35" customWidth="1"/>
    <col min="3332" max="3332" width="32.7109375" style="35" customWidth="1"/>
    <col min="3333" max="3333" width="9.42578125" style="35" customWidth="1"/>
    <col min="3334" max="3334" width="26.28515625" style="35" customWidth="1"/>
    <col min="3335" max="3585" width="11.42578125" style="35"/>
    <col min="3586" max="3586" width="16.5703125" style="35" customWidth="1"/>
    <col min="3587" max="3587" width="10.28515625" style="35" customWidth="1"/>
    <col min="3588" max="3588" width="32.7109375" style="35" customWidth="1"/>
    <col min="3589" max="3589" width="9.42578125" style="35" customWidth="1"/>
    <col min="3590" max="3590" width="26.28515625" style="35" customWidth="1"/>
    <col min="3591" max="3841" width="11.42578125" style="35"/>
    <col min="3842" max="3842" width="16.5703125" style="35" customWidth="1"/>
    <col min="3843" max="3843" width="10.28515625" style="35" customWidth="1"/>
    <col min="3844" max="3844" width="32.7109375" style="35" customWidth="1"/>
    <col min="3845" max="3845" width="9.42578125" style="35" customWidth="1"/>
    <col min="3846" max="3846" width="26.28515625" style="35" customWidth="1"/>
    <col min="3847" max="4097" width="11.42578125" style="35"/>
    <col min="4098" max="4098" width="16.5703125" style="35" customWidth="1"/>
    <col min="4099" max="4099" width="10.28515625" style="35" customWidth="1"/>
    <col min="4100" max="4100" width="32.7109375" style="35" customWidth="1"/>
    <col min="4101" max="4101" width="9.42578125" style="35" customWidth="1"/>
    <col min="4102" max="4102" width="26.28515625" style="35" customWidth="1"/>
    <col min="4103" max="4353" width="11.42578125" style="35"/>
    <col min="4354" max="4354" width="16.5703125" style="35" customWidth="1"/>
    <col min="4355" max="4355" width="10.28515625" style="35" customWidth="1"/>
    <col min="4356" max="4356" width="32.7109375" style="35" customWidth="1"/>
    <col min="4357" max="4357" width="9.42578125" style="35" customWidth="1"/>
    <col min="4358" max="4358" width="26.28515625" style="35" customWidth="1"/>
    <col min="4359" max="4609" width="11.42578125" style="35"/>
    <col min="4610" max="4610" width="16.5703125" style="35" customWidth="1"/>
    <col min="4611" max="4611" width="10.28515625" style="35" customWidth="1"/>
    <col min="4612" max="4612" width="32.7109375" style="35" customWidth="1"/>
    <col min="4613" max="4613" width="9.42578125" style="35" customWidth="1"/>
    <col min="4614" max="4614" width="26.28515625" style="35" customWidth="1"/>
    <col min="4615" max="4865" width="11.42578125" style="35"/>
    <col min="4866" max="4866" width="16.5703125" style="35" customWidth="1"/>
    <col min="4867" max="4867" width="10.28515625" style="35" customWidth="1"/>
    <col min="4868" max="4868" width="32.7109375" style="35" customWidth="1"/>
    <col min="4869" max="4869" width="9.42578125" style="35" customWidth="1"/>
    <col min="4870" max="4870" width="26.28515625" style="35" customWidth="1"/>
    <col min="4871" max="5121" width="11.42578125" style="35"/>
    <col min="5122" max="5122" width="16.5703125" style="35" customWidth="1"/>
    <col min="5123" max="5123" width="10.28515625" style="35" customWidth="1"/>
    <col min="5124" max="5124" width="32.7109375" style="35" customWidth="1"/>
    <col min="5125" max="5125" width="9.42578125" style="35" customWidth="1"/>
    <col min="5126" max="5126" width="26.28515625" style="35" customWidth="1"/>
    <col min="5127" max="5377" width="11.42578125" style="35"/>
    <col min="5378" max="5378" width="16.5703125" style="35" customWidth="1"/>
    <col min="5379" max="5379" width="10.28515625" style="35" customWidth="1"/>
    <col min="5380" max="5380" width="32.7109375" style="35" customWidth="1"/>
    <col min="5381" max="5381" width="9.42578125" style="35" customWidth="1"/>
    <col min="5382" max="5382" width="26.28515625" style="35" customWidth="1"/>
    <col min="5383" max="5633" width="11.42578125" style="35"/>
    <col min="5634" max="5634" width="16.5703125" style="35" customWidth="1"/>
    <col min="5635" max="5635" width="10.28515625" style="35" customWidth="1"/>
    <col min="5636" max="5636" width="32.7109375" style="35" customWidth="1"/>
    <col min="5637" max="5637" width="9.42578125" style="35" customWidth="1"/>
    <col min="5638" max="5638" width="26.28515625" style="35" customWidth="1"/>
    <col min="5639" max="5889" width="11.42578125" style="35"/>
    <col min="5890" max="5890" width="16.5703125" style="35" customWidth="1"/>
    <col min="5891" max="5891" width="10.28515625" style="35" customWidth="1"/>
    <col min="5892" max="5892" width="32.7109375" style="35" customWidth="1"/>
    <col min="5893" max="5893" width="9.42578125" style="35" customWidth="1"/>
    <col min="5894" max="5894" width="26.28515625" style="35" customWidth="1"/>
    <col min="5895" max="6145" width="11.42578125" style="35"/>
    <col min="6146" max="6146" width="16.5703125" style="35" customWidth="1"/>
    <col min="6147" max="6147" width="10.28515625" style="35" customWidth="1"/>
    <col min="6148" max="6148" width="32.7109375" style="35" customWidth="1"/>
    <col min="6149" max="6149" width="9.42578125" style="35" customWidth="1"/>
    <col min="6150" max="6150" width="26.28515625" style="35" customWidth="1"/>
    <col min="6151" max="6401" width="11.42578125" style="35"/>
    <col min="6402" max="6402" width="16.5703125" style="35" customWidth="1"/>
    <col min="6403" max="6403" width="10.28515625" style="35" customWidth="1"/>
    <col min="6404" max="6404" width="32.7109375" style="35" customWidth="1"/>
    <col min="6405" max="6405" width="9.42578125" style="35" customWidth="1"/>
    <col min="6406" max="6406" width="26.28515625" style="35" customWidth="1"/>
    <col min="6407" max="6657" width="11.42578125" style="35"/>
    <col min="6658" max="6658" width="16.5703125" style="35" customWidth="1"/>
    <col min="6659" max="6659" width="10.28515625" style="35" customWidth="1"/>
    <col min="6660" max="6660" width="32.7109375" style="35" customWidth="1"/>
    <col min="6661" max="6661" width="9.42578125" style="35" customWidth="1"/>
    <col min="6662" max="6662" width="26.28515625" style="35" customWidth="1"/>
    <col min="6663" max="6913" width="11.42578125" style="35"/>
    <col min="6914" max="6914" width="16.5703125" style="35" customWidth="1"/>
    <col min="6915" max="6915" width="10.28515625" style="35" customWidth="1"/>
    <col min="6916" max="6916" width="32.7109375" style="35" customWidth="1"/>
    <col min="6917" max="6917" width="9.42578125" style="35" customWidth="1"/>
    <col min="6918" max="6918" width="26.28515625" style="35" customWidth="1"/>
    <col min="6919" max="7169" width="11.42578125" style="35"/>
    <col min="7170" max="7170" width="16.5703125" style="35" customWidth="1"/>
    <col min="7171" max="7171" width="10.28515625" style="35" customWidth="1"/>
    <col min="7172" max="7172" width="32.7109375" style="35" customWidth="1"/>
    <col min="7173" max="7173" width="9.42578125" style="35" customWidth="1"/>
    <col min="7174" max="7174" width="26.28515625" style="35" customWidth="1"/>
    <col min="7175" max="7425" width="11.42578125" style="35"/>
    <col min="7426" max="7426" width="16.5703125" style="35" customWidth="1"/>
    <col min="7427" max="7427" width="10.28515625" style="35" customWidth="1"/>
    <col min="7428" max="7428" width="32.7109375" style="35" customWidth="1"/>
    <col min="7429" max="7429" width="9.42578125" style="35" customWidth="1"/>
    <col min="7430" max="7430" width="26.28515625" style="35" customWidth="1"/>
    <col min="7431" max="7681" width="11.42578125" style="35"/>
    <col min="7682" max="7682" width="16.5703125" style="35" customWidth="1"/>
    <col min="7683" max="7683" width="10.28515625" style="35" customWidth="1"/>
    <col min="7684" max="7684" width="32.7109375" style="35" customWidth="1"/>
    <col min="7685" max="7685" width="9.42578125" style="35" customWidth="1"/>
    <col min="7686" max="7686" width="26.28515625" style="35" customWidth="1"/>
    <col min="7687" max="7937" width="11.42578125" style="35"/>
    <col min="7938" max="7938" width="16.5703125" style="35" customWidth="1"/>
    <col min="7939" max="7939" width="10.28515625" style="35" customWidth="1"/>
    <col min="7940" max="7940" width="32.7109375" style="35" customWidth="1"/>
    <col min="7941" max="7941" width="9.42578125" style="35" customWidth="1"/>
    <col min="7942" max="7942" width="26.28515625" style="35" customWidth="1"/>
    <col min="7943" max="8193" width="11.42578125" style="35"/>
    <col min="8194" max="8194" width="16.5703125" style="35" customWidth="1"/>
    <col min="8195" max="8195" width="10.28515625" style="35" customWidth="1"/>
    <col min="8196" max="8196" width="32.7109375" style="35" customWidth="1"/>
    <col min="8197" max="8197" width="9.42578125" style="35" customWidth="1"/>
    <col min="8198" max="8198" width="26.28515625" style="35" customWidth="1"/>
    <col min="8199" max="8449" width="11.42578125" style="35"/>
    <col min="8450" max="8450" width="16.5703125" style="35" customWidth="1"/>
    <col min="8451" max="8451" width="10.28515625" style="35" customWidth="1"/>
    <col min="8452" max="8452" width="32.7109375" style="35" customWidth="1"/>
    <col min="8453" max="8453" width="9.42578125" style="35" customWidth="1"/>
    <col min="8454" max="8454" width="26.28515625" style="35" customWidth="1"/>
    <col min="8455" max="8705" width="11.42578125" style="35"/>
    <col min="8706" max="8706" width="16.5703125" style="35" customWidth="1"/>
    <col min="8707" max="8707" width="10.28515625" style="35" customWidth="1"/>
    <col min="8708" max="8708" width="32.7109375" style="35" customWidth="1"/>
    <col min="8709" max="8709" width="9.42578125" style="35" customWidth="1"/>
    <col min="8710" max="8710" width="26.28515625" style="35" customWidth="1"/>
    <col min="8711" max="8961" width="11.42578125" style="35"/>
    <col min="8962" max="8962" width="16.5703125" style="35" customWidth="1"/>
    <col min="8963" max="8963" width="10.28515625" style="35" customWidth="1"/>
    <col min="8964" max="8964" width="32.7109375" style="35" customWidth="1"/>
    <col min="8965" max="8965" width="9.42578125" style="35" customWidth="1"/>
    <col min="8966" max="8966" width="26.28515625" style="35" customWidth="1"/>
    <col min="8967" max="9217" width="11.42578125" style="35"/>
    <col min="9218" max="9218" width="16.5703125" style="35" customWidth="1"/>
    <col min="9219" max="9219" width="10.28515625" style="35" customWidth="1"/>
    <col min="9220" max="9220" width="32.7109375" style="35" customWidth="1"/>
    <col min="9221" max="9221" width="9.42578125" style="35" customWidth="1"/>
    <col min="9222" max="9222" width="26.28515625" style="35" customWidth="1"/>
    <col min="9223" max="9473" width="11.42578125" style="35"/>
    <col min="9474" max="9474" width="16.5703125" style="35" customWidth="1"/>
    <col min="9475" max="9475" width="10.28515625" style="35" customWidth="1"/>
    <col min="9476" max="9476" width="32.7109375" style="35" customWidth="1"/>
    <col min="9477" max="9477" width="9.42578125" style="35" customWidth="1"/>
    <col min="9478" max="9478" width="26.28515625" style="35" customWidth="1"/>
    <col min="9479" max="9729" width="11.42578125" style="35"/>
    <col min="9730" max="9730" width="16.5703125" style="35" customWidth="1"/>
    <col min="9731" max="9731" width="10.28515625" style="35" customWidth="1"/>
    <col min="9732" max="9732" width="32.7109375" style="35" customWidth="1"/>
    <col min="9733" max="9733" width="9.42578125" style="35" customWidth="1"/>
    <col min="9734" max="9734" width="26.28515625" style="35" customWidth="1"/>
    <col min="9735" max="9985" width="11.42578125" style="35"/>
    <col min="9986" max="9986" width="16.5703125" style="35" customWidth="1"/>
    <col min="9987" max="9987" width="10.28515625" style="35" customWidth="1"/>
    <col min="9988" max="9988" width="32.7109375" style="35" customWidth="1"/>
    <col min="9989" max="9989" width="9.42578125" style="35" customWidth="1"/>
    <col min="9990" max="9990" width="26.28515625" style="35" customWidth="1"/>
    <col min="9991" max="10241" width="11.42578125" style="35"/>
    <col min="10242" max="10242" width="16.5703125" style="35" customWidth="1"/>
    <col min="10243" max="10243" width="10.28515625" style="35" customWidth="1"/>
    <col min="10244" max="10244" width="32.7109375" style="35" customWidth="1"/>
    <col min="10245" max="10245" width="9.42578125" style="35" customWidth="1"/>
    <col min="10246" max="10246" width="26.28515625" style="35" customWidth="1"/>
    <col min="10247" max="10497" width="11.42578125" style="35"/>
    <col min="10498" max="10498" width="16.5703125" style="35" customWidth="1"/>
    <col min="10499" max="10499" width="10.28515625" style="35" customWidth="1"/>
    <col min="10500" max="10500" width="32.7109375" style="35" customWidth="1"/>
    <col min="10501" max="10501" width="9.42578125" style="35" customWidth="1"/>
    <col min="10502" max="10502" width="26.28515625" style="35" customWidth="1"/>
    <col min="10503" max="10753" width="11.42578125" style="35"/>
    <col min="10754" max="10754" width="16.5703125" style="35" customWidth="1"/>
    <col min="10755" max="10755" width="10.28515625" style="35" customWidth="1"/>
    <col min="10756" max="10756" width="32.7109375" style="35" customWidth="1"/>
    <col min="10757" max="10757" width="9.42578125" style="35" customWidth="1"/>
    <col min="10758" max="10758" width="26.28515625" style="35" customWidth="1"/>
    <col min="10759" max="11009" width="11.42578125" style="35"/>
    <col min="11010" max="11010" width="16.5703125" style="35" customWidth="1"/>
    <col min="11011" max="11011" width="10.28515625" style="35" customWidth="1"/>
    <col min="11012" max="11012" width="32.7109375" style="35" customWidth="1"/>
    <col min="11013" max="11013" width="9.42578125" style="35" customWidth="1"/>
    <col min="11014" max="11014" width="26.28515625" style="35" customWidth="1"/>
    <col min="11015" max="11265" width="11.42578125" style="35"/>
    <col min="11266" max="11266" width="16.5703125" style="35" customWidth="1"/>
    <col min="11267" max="11267" width="10.28515625" style="35" customWidth="1"/>
    <col min="11268" max="11268" width="32.7109375" style="35" customWidth="1"/>
    <col min="11269" max="11269" width="9.42578125" style="35" customWidth="1"/>
    <col min="11270" max="11270" width="26.28515625" style="35" customWidth="1"/>
    <col min="11271" max="11521" width="11.42578125" style="35"/>
    <col min="11522" max="11522" width="16.5703125" style="35" customWidth="1"/>
    <col min="11523" max="11523" width="10.28515625" style="35" customWidth="1"/>
    <col min="11524" max="11524" width="32.7109375" style="35" customWidth="1"/>
    <col min="11525" max="11525" width="9.42578125" style="35" customWidth="1"/>
    <col min="11526" max="11526" width="26.28515625" style="35" customWidth="1"/>
    <col min="11527" max="11777" width="11.42578125" style="35"/>
    <col min="11778" max="11778" width="16.5703125" style="35" customWidth="1"/>
    <col min="11779" max="11779" width="10.28515625" style="35" customWidth="1"/>
    <col min="11780" max="11780" width="32.7109375" style="35" customWidth="1"/>
    <col min="11781" max="11781" width="9.42578125" style="35" customWidth="1"/>
    <col min="11782" max="11782" width="26.28515625" style="35" customWidth="1"/>
    <col min="11783" max="12033" width="11.42578125" style="35"/>
    <col min="12034" max="12034" width="16.5703125" style="35" customWidth="1"/>
    <col min="12035" max="12035" width="10.28515625" style="35" customWidth="1"/>
    <col min="12036" max="12036" width="32.7109375" style="35" customWidth="1"/>
    <col min="12037" max="12037" width="9.42578125" style="35" customWidth="1"/>
    <col min="12038" max="12038" width="26.28515625" style="35" customWidth="1"/>
    <col min="12039" max="12289" width="11.42578125" style="35"/>
    <col min="12290" max="12290" width="16.5703125" style="35" customWidth="1"/>
    <col min="12291" max="12291" width="10.28515625" style="35" customWidth="1"/>
    <col min="12292" max="12292" width="32.7109375" style="35" customWidth="1"/>
    <col min="12293" max="12293" width="9.42578125" style="35" customWidth="1"/>
    <col min="12294" max="12294" width="26.28515625" style="35" customWidth="1"/>
    <col min="12295" max="12545" width="11.42578125" style="35"/>
    <col min="12546" max="12546" width="16.5703125" style="35" customWidth="1"/>
    <col min="12547" max="12547" width="10.28515625" style="35" customWidth="1"/>
    <col min="12548" max="12548" width="32.7109375" style="35" customWidth="1"/>
    <col min="12549" max="12549" width="9.42578125" style="35" customWidth="1"/>
    <col min="12550" max="12550" width="26.28515625" style="35" customWidth="1"/>
    <col min="12551" max="12801" width="11.42578125" style="35"/>
    <col min="12802" max="12802" width="16.5703125" style="35" customWidth="1"/>
    <col min="12803" max="12803" width="10.28515625" style="35" customWidth="1"/>
    <col min="12804" max="12804" width="32.7109375" style="35" customWidth="1"/>
    <col min="12805" max="12805" width="9.42578125" style="35" customWidth="1"/>
    <col min="12806" max="12806" width="26.28515625" style="35" customWidth="1"/>
    <col min="12807" max="13057" width="11.42578125" style="35"/>
    <col min="13058" max="13058" width="16.5703125" style="35" customWidth="1"/>
    <col min="13059" max="13059" width="10.28515625" style="35" customWidth="1"/>
    <col min="13060" max="13060" width="32.7109375" style="35" customWidth="1"/>
    <col min="13061" max="13061" width="9.42578125" style="35" customWidth="1"/>
    <col min="13062" max="13062" width="26.28515625" style="35" customWidth="1"/>
    <col min="13063" max="13313" width="11.42578125" style="35"/>
    <col min="13314" max="13314" width="16.5703125" style="35" customWidth="1"/>
    <col min="13315" max="13315" width="10.28515625" style="35" customWidth="1"/>
    <col min="13316" max="13316" width="32.7109375" style="35" customWidth="1"/>
    <col min="13317" max="13317" width="9.42578125" style="35" customWidth="1"/>
    <col min="13318" max="13318" width="26.28515625" style="35" customWidth="1"/>
    <col min="13319" max="13569" width="11.42578125" style="35"/>
    <col min="13570" max="13570" width="16.5703125" style="35" customWidth="1"/>
    <col min="13571" max="13571" width="10.28515625" style="35" customWidth="1"/>
    <col min="13572" max="13572" width="32.7109375" style="35" customWidth="1"/>
    <col min="13573" max="13573" width="9.42578125" style="35" customWidth="1"/>
    <col min="13574" max="13574" width="26.28515625" style="35" customWidth="1"/>
    <col min="13575" max="13825" width="11.42578125" style="35"/>
    <col min="13826" max="13826" width="16.5703125" style="35" customWidth="1"/>
    <col min="13827" max="13827" width="10.28515625" style="35" customWidth="1"/>
    <col min="13828" max="13828" width="32.7109375" style="35" customWidth="1"/>
    <col min="13829" max="13829" width="9.42578125" style="35" customWidth="1"/>
    <col min="13830" max="13830" width="26.28515625" style="35" customWidth="1"/>
    <col min="13831" max="14081" width="11.42578125" style="35"/>
    <col min="14082" max="14082" width="16.5703125" style="35" customWidth="1"/>
    <col min="14083" max="14083" width="10.28515625" style="35" customWidth="1"/>
    <col min="14084" max="14084" width="32.7109375" style="35" customWidth="1"/>
    <col min="14085" max="14085" width="9.42578125" style="35" customWidth="1"/>
    <col min="14086" max="14086" width="26.28515625" style="35" customWidth="1"/>
    <col min="14087" max="14337" width="11.42578125" style="35"/>
    <col min="14338" max="14338" width="16.5703125" style="35" customWidth="1"/>
    <col min="14339" max="14339" width="10.28515625" style="35" customWidth="1"/>
    <col min="14340" max="14340" width="32.7109375" style="35" customWidth="1"/>
    <col min="14341" max="14341" width="9.42578125" style="35" customWidth="1"/>
    <col min="14342" max="14342" width="26.28515625" style="35" customWidth="1"/>
    <col min="14343" max="14593" width="11.42578125" style="35"/>
    <col min="14594" max="14594" width="16.5703125" style="35" customWidth="1"/>
    <col min="14595" max="14595" width="10.28515625" style="35" customWidth="1"/>
    <col min="14596" max="14596" width="32.7109375" style="35" customWidth="1"/>
    <col min="14597" max="14597" width="9.42578125" style="35" customWidth="1"/>
    <col min="14598" max="14598" width="26.28515625" style="35" customWidth="1"/>
    <col min="14599" max="14849" width="11.42578125" style="35"/>
    <col min="14850" max="14850" width="16.5703125" style="35" customWidth="1"/>
    <col min="14851" max="14851" width="10.28515625" style="35" customWidth="1"/>
    <col min="14852" max="14852" width="32.7109375" style="35" customWidth="1"/>
    <col min="14853" max="14853" width="9.42578125" style="35" customWidth="1"/>
    <col min="14854" max="14854" width="26.28515625" style="35" customWidth="1"/>
    <col min="14855" max="15105" width="11.42578125" style="35"/>
    <col min="15106" max="15106" width="16.5703125" style="35" customWidth="1"/>
    <col min="15107" max="15107" width="10.28515625" style="35" customWidth="1"/>
    <col min="15108" max="15108" width="32.7109375" style="35" customWidth="1"/>
    <col min="15109" max="15109" width="9.42578125" style="35" customWidth="1"/>
    <col min="15110" max="15110" width="26.28515625" style="35" customWidth="1"/>
    <col min="15111" max="15361" width="11.42578125" style="35"/>
    <col min="15362" max="15362" width="16.5703125" style="35" customWidth="1"/>
    <col min="15363" max="15363" width="10.28515625" style="35" customWidth="1"/>
    <col min="15364" max="15364" width="32.7109375" style="35" customWidth="1"/>
    <col min="15365" max="15365" width="9.42578125" style="35" customWidth="1"/>
    <col min="15366" max="15366" width="26.28515625" style="35" customWidth="1"/>
    <col min="15367" max="15617" width="11.42578125" style="35"/>
    <col min="15618" max="15618" width="16.5703125" style="35" customWidth="1"/>
    <col min="15619" max="15619" width="10.28515625" style="35" customWidth="1"/>
    <col min="15620" max="15620" width="32.7109375" style="35" customWidth="1"/>
    <col min="15621" max="15621" width="9.42578125" style="35" customWidth="1"/>
    <col min="15622" max="15622" width="26.28515625" style="35" customWidth="1"/>
    <col min="15623" max="15873" width="11.42578125" style="35"/>
    <col min="15874" max="15874" width="16.5703125" style="35" customWidth="1"/>
    <col min="15875" max="15875" width="10.28515625" style="35" customWidth="1"/>
    <col min="15876" max="15876" width="32.7109375" style="35" customWidth="1"/>
    <col min="15877" max="15877" width="9.42578125" style="35" customWidth="1"/>
    <col min="15878" max="15878" width="26.28515625" style="35" customWidth="1"/>
    <col min="15879" max="16129" width="11.42578125" style="35"/>
    <col min="16130" max="16130" width="16.5703125" style="35" customWidth="1"/>
    <col min="16131" max="16131" width="10.28515625" style="35" customWidth="1"/>
    <col min="16132" max="16132" width="32.7109375" style="35" customWidth="1"/>
    <col min="16133" max="16133" width="9.42578125" style="35" customWidth="1"/>
    <col min="16134" max="16134" width="26.28515625" style="35" customWidth="1"/>
    <col min="16135" max="16384" width="11.42578125" style="35"/>
  </cols>
  <sheetData>
    <row r="1" spans="2:6">
      <c r="B1" s="30" t="s">
        <v>16408</v>
      </c>
      <c r="C1" s="38" t="s">
        <v>16407</v>
      </c>
      <c r="D1" s="39" t="s">
        <v>22</v>
      </c>
      <c r="E1" s="40" t="s">
        <v>16409</v>
      </c>
      <c r="F1" s="40" t="s">
        <v>30</v>
      </c>
    </row>
    <row r="2" spans="2:6">
      <c r="B2" s="36" t="s">
        <v>16432</v>
      </c>
      <c r="C2" s="37">
        <v>46154</v>
      </c>
      <c r="D2" s="30" t="s">
        <v>16455</v>
      </c>
      <c r="E2" s="41">
        <v>700</v>
      </c>
    </row>
    <row r="3" spans="2:6">
      <c r="B3" s="36" t="s">
        <v>16433</v>
      </c>
      <c r="C3" s="37">
        <v>46155</v>
      </c>
      <c r="D3" s="30" t="s">
        <v>16456</v>
      </c>
      <c r="E3" s="41">
        <v>700</v>
      </c>
      <c r="F3" s="34" t="s">
        <v>16439</v>
      </c>
    </row>
    <row r="4" spans="2:6">
      <c r="C4" s="37">
        <v>46148</v>
      </c>
      <c r="D4" s="30" t="s">
        <v>16457</v>
      </c>
      <c r="E4" s="41">
        <v>700</v>
      </c>
      <c r="F4" s="34" t="s">
        <v>16434</v>
      </c>
    </row>
    <row r="5" spans="2:6">
      <c r="B5" s="35" t="s">
        <v>16435</v>
      </c>
      <c r="C5" s="37">
        <v>46162</v>
      </c>
      <c r="D5" s="35" t="s">
        <v>16458</v>
      </c>
      <c r="E5" s="41">
        <v>700</v>
      </c>
      <c r="F5" s="34" t="s">
        <v>16447</v>
      </c>
    </row>
    <row r="6" spans="2:6">
      <c r="D6" s="35" t="s">
        <v>16459</v>
      </c>
      <c r="E6" s="41">
        <v>700</v>
      </c>
      <c r="F6" s="34" t="s">
        <v>16449</v>
      </c>
    </row>
    <row r="7" spans="2:6">
      <c r="E7" s="41"/>
    </row>
    <row r="8" spans="2:6">
      <c r="E8" s="41"/>
    </row>
    <row r="9" spans="2:6">
      <c r="E9" s="41"/>
    </row>
    <row r="10" spans="2:6">
      <c r="E10" s="41"/>
    </row>
    <row r="11" spans="2:6">
      <c r="E11" s="41"/>
    </row>
    <row r="12" spans="2:6">
      <c r="E12" s="41"/>
    </row>
    <row r="13" spans="2:6" s="34" customFormat="1">
      <c r="B13" s="36" t="s">
        <v>16410</v>
      </c>
      <c r="C13" s="58"/>
      <c r="D13" s="35">
        <f>SUBTOTAL(103,Tabla5[NOMBRE])</f>
        <v>5</v>
      </c>
      <c r="E13" s="59">
        <f>SUM(E2:E12)</f>
        <v>3500</v>
      </c>
    </row>
    <row r="14" spans="2:6">
      <c r="C14" s="43"/>
      <c r="E14" s="42"/>
    </row>
    <row r="15" spans="2:6">
      <c r="C15" s="43"/>
      <c r="E15" s="42"/>
    </row>
    <row r="16" spans="2:6">
      <c r="C16" s="43"/>
      <c r="E16" s="42"/>
    </row>
    <row r="17" spans="3:5">
      <c r="C17" s="43"/>
      <c r="E17" s="42"/>
    </row>
    <row r="18" spans="3:5">
      <c r="C18" s="43"/>
      <c r="E18" s="42"/>
    </row>
    <row r="19" spans="3:5">
      <c r="C19" s="43"/>
      <c r="E19" s="42"/>
    </row>
    <row r="20" spans="3:5">
      <c r="C20" s="43"/>
      <c r="E20" s="42"/>
    </row>
    <row r="21" spans="3:5">
      <c r="C21" s="43"/>
      <c r="E21" s="42"/>
    </row>
    <row r="22" spans="3:5">
      <c r="C22" s="43"/>
      <c r="E22" s="42"/>
    </row>
    <row r="23" spans="3:5">
      <c r="C23" s="43"/>
      <c r="E23" s="42"/>
    </row>
    <row r="24" spans="3:5">
      <c r="C24" s="43"/>
      <c r="E24" s="42"/>
    </row>
    <row r="25" spans="3:5">
      <c r="C25" s="43"/>
      <c r="E25" s="42"/>
    </row>
    <row r="26" spans="3:5">
      <c r="C26" s="43"/>
      <c r="E26" s="42"/>
    </row>
    <row r="27" spans="3:5">
      <c r="C27" s="43"/>
      <c r="E27" s="42"/>
    </row>
    <row r="28" spans="3:5">
      <c r="C28" s="43"/>
      <c r="E28" s="42"/>
    </row>
    <row r="29" spans="3:5">
      <c r="C29" s="43"/>
      <c r="E29" s="42"/>
    </row>
    <row r="30" spans="3:5">
      <c r="C30" s="43"/>
      <c r="E30" s="42"/>
    </row>
    <row r="31" spans="3:5">
      <c r="C31" s="43"/>
      <c r="E31" s="42"/>
    </row>
    <row r="32" spans="3:5">
      <c r="C32" s="43"/>
      <c r="E32" s="42"/>
    </row>
    <row r="33" spans="3:5">
      <c r="C33" s="43"/>
      <c r="E33" s="42"/>
    </row>
    <row r="34" spans="3:5">
      <c r="C34" s="43"/>
      <c r="E34" s="42"/>
    </row>
    <row r="35" spans="3:5">
      <c r="C35" s="43"/>
      <c r="E35" s="42"/>
    </row>
    <row r="36" spans="3:5">
      <c r="C36" s="43"/>
      <c r="E36" s="42"/>
    </row>
    <row r="37" spans="3:5">
      <c r="C37" s="43"/>
      <c r="E37" s="42"/>
    </row>
    <row r="38" spans="3:5">
      <c r="C38" s="43"/>
      <c r="E38" s="42"/>
    </row>
    <row r="39" spans="3:5">
      <c r="C39" s="43"/>
      <c r="E39" s="42"/>
    </row>
    <row r="40" spans="3:5">
      <c r="C40" s="43"/>
      <c r="E40" s="42"/>
    </row>
    <row r="41" spans="3:5">
      <c r="C41" s="43"/>
      <c r="E41" s="42"/>
    </row>
    <row r="42" spans="3:5">
      <c r="C42" s="43"/>
      <c r="E42" s="42"/>
    </row>
    <row r="43" spans="3:5">
      <c r="C43" s="43"/>
      <c r="E43" s="42"/>
    </row>
    <row r="44" spans="3:5">
      <c r="C44" s="43"/>
      <c r="E44" s="42"/>
    </row>
    <row r="45" spans="3:5">
      <c r="C45" s="43"/>
      <c r="E45" s="42"/>
    </row>
    <row r="46" spans="3:5">
      <c r="C46" s="43"/>
      <c r="E46" s="42"/>
    </row>
    <row r="47" spans="3:5">
      <c r="C47" s="43"/>
      <c r="E47" s="42"/>
    </row>
    <row r="48" spans="3:5">
      <c r="C48" s="43"/>
      <c r="E48" s="42"/>
    </row>
    <row r="49" spans="3:5">
      <c r="C49" s="43"/>
      <c r="E49" s="42"/>
    </row>
    <row r="50" spans="3:5">
      <c r="C50" s="43"/>
      <c r="E50" s="42"/>
    </row>
    <row r="51" spans="3:5">
      <c r="C51" s="43"/>
      <c r="E51" s="42"/>
    </row>
    <row r="52" spans="3:5">
      <c r="C52" s="43"/>
      <c r="E52" s="42"/>
    </row>
    <row r="53" spans="3:5">
      <c r="C53" s="43"/>
      <c r="E53" s="42"/>
    </row>
    <row r="54" spans="3:5">
      <c r="C54" s="43"/>
      <c r="E54" s="42"/>
    </row>
    <row r="55" spans="3:5">
      <c r="C55" s="43"/>
      <c r="E55" s="42"/>
    </row>
    <row r="56" spans="3:5">
      <c r="C56" s="43"/>
      <c r="E56" s="42"/>
    </row>
    <row r="57" spans="3:5">
      <c r="C57" s="43"/>
      <c r="E57" s="42"/>
    </row>
    <row r="58" spans="3:5">
      <c r="C58" s="43"/>
      <c r="E58" s="42"/>
    </row>
    <row r="59" spans="3:5">
      <c r="C59" s="43"/>
      <c r="E59" s="42"/>
    </row>
    <row r="60" spans="3:5">
      <c r="C60" s="43"/>
      <c r="E60" s="42"/>
    </row>
    <row r="61" spans="3:5">
      <c r="C61" s="43"/>
      <c r="E61" s="42"/>
    </row>
    <row r="62" spans="3:5">
      <c r="C62" s="43"/>
      <c r="E62" s="42"/>
    </row>
    <row r="63" spans="3:5">
      <c r="C63" s="43"/>
      <c r="E63" s="42"/>
    </row>
    <row r="64" spans="3:5">
      <c r="C64" s="43"/>
      <c r="E64" s="42"/>
    </row>
    <row r="65" spans="3:5">
      <c r="C65" s="43"/>
      <c r="E65" s="42"/>
    </row>
    <row r="66" spans="3:5">
      <c r="C66" s="43"/>
      <c r="E66" s="42"/>
    </row>
    <row r="67" spans="3:5">
      <c r="C67" s="43"/>
      <c r="E67" s="42"/>
    </row>
    <row r="68" spans="3:5">
      <c r="C68" s="43"/>
      <c r="E68" s="42"/>
    </row>
    <row r="69" spans="3:5">
      <c r="C69" s="43"/>
      <c r="E69" s="42"/>
    </row>
    <row r="70" spans="3:5">
      <c r="C70" s="43"/>
      <c r="E70" s="42"/>
    </row>
    <row r="71" spans="3:5">
      <c r="C71" s="43"/>
      <c r="E71" s="42"/>
    </row>
    <row r="72" spans="3:5">
      <c r="C72" s="43"/>
      <c r="E72" s="42"/>
    </row>
    <row r="73" spans="3:5">
      <c r="C73" s="43"/>
      <c r="E73" s="42"/>
    </row>
    <row r="74" spans="3:5">
      <c r="C74" s="43"/>
      <c r="E74" s="42"/>
    </row>
    <row r="75" spans="3:5">
      <c r="C75" s="43"/>
      <c r="E75" s="42"/>
    </row>
    <row r="76" spans="3:5">
      <c r="C76" s="43"/>
      <c r="E76" s="42"/>
    </row>
    <row r="77" spans="3:5">
      <c r="C77" s="43"/>
      <c r="E77" s="42"/>
    </row>
    <row r="78" spans="3:5">
      <c r="C78" s="43"/>
      <c r="E78" s="42"/>
    </row>
    <row r="79" spans="3:5">
      <c r="C79" s="43"/>
      <c r="E79" s="42"/>
    </row>
    <row r="80" spans="3:5">
      <c r="C80" s="43"/>
      <c r="E80" s="42"/>
    </row>
    <row r="81" spans="3:5">
      <c r="C81" s="43"/>
      <c r="E81" s="42"/>
    </row>
    <row r="82" spans="3:5">
      <c r="C82" s="43"/>
      <c r="E82" s="42"/>
    </row>
    <row r="83" spans="3:5">
      <c r="C83" s="43"/>
      <c r="E83" s="42"/>
    </row>
    <row r="84" spans="3:5">
      <c r="C84" s="43"/>
      <c r="E84" s="42"/>
    </row>
    <row r="85" spans="3:5">
      <c r="C85" s="43"/>
      <c r="E85" s="42"/>
    </row>
    <row r="86" spans="3:5">
      <c r="C86" s="43"/>
      <c r="E86" s="42"/>
    </row>
    <row r="87" spans="3:5">
      <c r="C87" s="43"/>
      <c r="E87" s="42"/>
    </row>
  </sheetData>
  <conditionalFormatting sqref="D2">
    <cfRule type="expression" dxfId="16582" priority="17">
      <formula>$A2=10</formula>
    </cfRule>
  </conditionalFormatting>
  <conditionalFormatting sqref="D2">
    <cfRule type="expression" dxfId="16581" priority="18">
      <formula>$A2=8</formula>
    </cfRule>
    <cfRule type="expression" dxfId="16580" priority="19">
      <formula>$A2=9</formula>
    </cfRule>
    <cfRule type="expression" dxfId="16579" priority="20">
      <formula>$A2=5</formula>
    </cfRule>
    <cfRule type="expression" dxfId="16578" priority="21">
      <formula>$A2=4</formula>
    </cfRule>
    <cfRule type="expression" dxfId="16577" priority="22">
      <formula>$A2=3</formula>
    </cfRule>
    <cfRule type="expression" dxfId="16576" priority="23">
      <formula>$A2=2</formula>
    </cfRule>
    <cfRule type="expression" dxfId="16575" priority="24">
      <formula>$A2=1</formula>
    </cfRule>
  </conditionalFormatting>
  <conditionalFormatting sqref="D3">
    <cfRule type="expression" dxfId="16574" priority="9">
      <formula>$A3=10</formula>
    </cfRule>
  </conditionalFormatting>
  <conditionalFormatting sqref="D3">
    <cfRule type="expression" dxfId="16573" priority="11">
      <formula>$A3=9</formula>
    </cfRule>
    <cfRule type="expression" dxfId="16572" priority="12">
      <formula>$A3=5</formula>
    </cfRule>
    <cfRule type="expression" dxfId="16571" priority="13">
      <formula>$A3=4</formula>
    </cfRule>
    <cfRule type="expression" dxfId="16570" priority="14">
      <formula>$A3=3</formula>
    </cfRule>
    <cfRule type="expression" dxfId="16569" priority="15">
      <formula>$A3=2</formula>
    </cfRule>
    <cfRule type="expression" dxfId="16568" priority="16">
      <formula>$A3=1</formula>
    </cfRule>
  </conditionalFormatting>
  <conditionalFormatting sqref="D3">
    <cfRule type="expression" dxfId="16567" priority="10">
      <formula>$A3=8</formula>
    </cfRule>
  </conditionalFormatting>
  <conditionalFormatting sqref="D4">
    <cfRule type="expression" dxfId="16566" priority="1">
      <formula>$A4=10</formula>
    </cfRule>
    <cfRule type="expression" dxfId="16565" priority="2">
      <formula>$A4=8</formula>
    </cfRule>
    <cfRule type="expression" dxfId="16564" priority="3">
      <formula>$A4=9</formula>
    </cfRule>
    <cfRule type="expression" dxfId="16563" priority="4">
      <formula>$A4=5</formula>
    </cfRule>
    <cfRule type="expression" dxfId="16562" priority="5">
      <formula>$A4=4</formula>
    </cfRule>
    <cfRule type="expression" dxfId="16561" priority="6">
      <formula>$A4=3</formula>
    </cfRule>
    <cfRule type="expression" dxfId="16560" priority="7">
      <formula>$A4=2</formula>
    </cfRule>
    <cfRule type="expression" dxfId="16559" priority="8">
      <formula>$A4=1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68"/>
  <sheetViews>
    <sheetView tabSelected="1" workbookViewId="0">
      <pane xSplit="2" ySplit="10" topLeftCell="C11" activePane="bottomRight" state="frozen"/>
      <selection pane="topRight"/>
      <selection pane="bottomLeft"/>
      <selection pane="bottomRight" activeCell="H54" sqref="H54"/>
    </sheetView>
  </sheetViews>
  <sheetFormatPr baseColWidth="10" defaultColWidth="63.42578125" defaultRowHeight="11.25"/>
  <cols>
    <col min="1" max="1" width="6.28515625" style="2" customWidth="1"/>
    <col min="2" max="2" width="10.28515625" style="3" customWidth="1"/>
    <col min="3" max="4" width="28.7109375" style="2" customWidth="1"/>
    <col min="5" max="5" width="12.7109375" style="4" customWidth="1"/>
    <col min="6" max="6" width="63" style="2" customWidth="1"/>
    <col min="7" max="7" width="17.7109375" style="2" customWidth="1"/>
    <col min="8" max="16384" width="63.42578125" style="2"/>
  </cols>
  <sheetData>
    <row r="1" spans="2:6" s="1" customFormat="1">
      <c r="B1" s="71">
        <v>45931</v>
      </c>
      <c r="C1" s="72"/>
      <c r="D1" s="72"/>
      <c r="E1" s="72"/>
      <c r="F1" s="72"/>
    </row>
    <row r="2" spans="2:6" s="1" customFormat="1">
      <c r="B2" s="6" t="s">
        <v>16411</v>
      </c>
      <c r="C2" s="7" t="s">
        <v>16412</v>
      </c>
      <c r="D2" s="7" t="s">
        <v>16413</v>
      </c>
      <c r="E2" s="8" t="s">
        <v>16414</v>
      </c>
      <c r="F2" s="9" t="s">
        <v>16415</v>
      </c>
    </row>
    <row r="3" spans="2:6">
      <c r="B3" s="65" t="s">
        <v>16416</v>
      </c>
      <c r="C3" s="10"/>
      <c r="D3" s="10"/>
      <c r="E3" s="11"/>
      <c r="F3" s="12"/>
    </row>
    <row r="4" spans="2:6">
      <c r="B4" s="66"/>
      <c r="C4" s="10"/>
      <c r="D4" s="10"/>
      <c r="E4" s="11"/>
      <c r="F4" s="12"/>
    </row>
    <row r="5" spans="2:6">
      <c r="B5" s="67"/>
      <c r="C5" s="10"/>
      <c r="D5" s="10"/>
      <c r="E5" s="11"/>
      <c r="F5" s="12"/>
    </row>
    <row r="6" spans="2:6">
      <c r="B6" s="13"/>
      <c r="C6" s="14" t="s">
        <v>16417</v>
      </c>
      <c r="D6" s="14"/>
      <c r="E6" s="15">
        <f>SUM(E3)</f>
        <v>0</v>
      </c>
      <c r="F6" s="16"/>
    </row>
    <row r="7" spans="2:6">
      <c r="B7" s="73" t="s">
        <v>16418</v>
      </c>
      <c r="C7" s="10" t="s">
        <v>16460</v>
      </c>
      <c r="D7" s="10" t="s">
        <v>1</v>
      </c>
      <c r="E7" s="17">
        <v>4305</v>
      </c>
      <c r="F7" s="18" t="s">
        <v>16441</v>
      </c>
    </row>
    <row r="8" spans="2:6">
      <c r="B8" s="73"/>
      <c r="C8" s="10"/>
      <c r="D8" s="10"/>
      <c r="E8" s="11"/>
      <c r="F8" s="12"/>
    </row>
    <row r="9" spans="2:6">
      <c r="B9" s="73"/>
      <c r="C9" s="19"/>
      <c r="D9" s="19"/>
      <c r="E9" s="11"/>
      <c r="F9" s="12"/>
    </row>
    <row r="10" spans="2:6">
      <c r="B10" s="73"/>
      <c r="C10" s="10"/>
      <c r="D10" s="10"/>
      <c r="E10" s="17"/>
      <c r="F10" s="18"/>
    </row>
    <row r="11" spans="2:6">
      <c r="B11" s="13"/>
      <c r="C11" s="14" t="s">
        <v>16417</v>
      </c>
      <c r="D11" s="14"/>
      <c r="E11" s="15">
        <f>SUM(E7:E10)</f>
        <v>4305</v>
      </c>
      <c r="F11" s="16"/>
    </row>
    <row r="12" spans="2:6">
      <c r="B12" s="65" t="s">
        <v>16419</v>
      </c>
      <c r="C12" s="10" t="s">
        <v>16461</v>
      </c>
      <c r="D12" s="10" t="s">
        <v>2</v>
      </c>
      <c r="E12" s="20">
        <v>4010</v>
      </c>
      <c r="F12" s="18" t="s">
        <v>16442</v>
      </c>
    </row>
    <row r="13" spans="2:6">
      <c r="B13" s="66"/>
      <c r="C13" s="21" t="s">
        <v>16462</v>
      </c>
      <c r="D13" s="21" t="s">
        <v>2</v>
      </c>
      <c r="E13" s="20">
        <v>4010</v>
      </c>
      <c r="F13" s="10" t="s">
        <v>16443</v>
      </c>
    </row>
    <row r="14" spans="2:6">
      <c r="B14" s="70"/>
      <c r="C14" s="22" t="s">
        <v>16463</v>
      </c>
      <c r="D14" s="22" t="s">
        <v>6</v>
      </c>
      <c r="E14" s="23">
        <v>1800</v>
      </c>
      <c r="F14" s="12" t="s">
        <v>16440</v>
      </c>
    </row>
    <row r="15" spans="2:6">
      <c r="B15" s="66"/>
      <c r="C15" s="24"/>
      <c r="D15" s="24"/>
      <c r="E15" s="11"/>
      <c r="F15" s="12"/>
    </row>
    <row r="16" spans="2:6">
      <c r="B16" s="66"/>
      <c r="C16" s="10"/>
      <c r="D16" s="10"/>
      <c r="E16" s="11"/>
      <c r="F16" s="18"/>
    </row>
    <row r="17" spans="2:6">
      <c r="B17" s="66"/>
      <c r="C17" s="10"/>
      <c r="D17" s="10"/>
      <c r="E17" s="11"/>
      <c r="F17" s="12"/>
    </row>
    <row r="18" spans="2:6">
      <c r="B18" s="66"/>
      <c r="C18" s="19"/>
      <c r="D18" s="10"/>
      <c r="E18" s="11"/>
      <c r="F18" s="12"/>
    </row>
    <row r="19" spans="2:6">
      <c r="B19" s="66"/>
      <c r="C19" s="19"/>
      <c r="D19" s="10"/>
      <c r="E19" s="11"/>
      <c r="F19" s="12"/>
    </row>
    <row r="20" spans="2:6">
      <c r="B20" s="66"/>
      <c r="C20" s="19"/>
      <c r="D20" s="10"/>
      <c r="E20" s="11"/>
      <c r="F20" s="12"/>
    </row>
    <row r="21" spans="2:6">
      <c r="B21" s="66"/>
      <c r="C21" s="19"/>
      <c r="D21" s="10"/>
      <c r="E21" s="11"/>
      <c r="F21" s="12"/>
    </row>
    <row r="22" spans="2:6">
      <c r="B22" s="66"/>
      <c r="C22" s="19"/>
      <c r="D22" s="10"/>
      <c r="E22" s="11"/>
      <c r="F22" s="12"/>
    </row>
    <row r="23" spans="2:6">
      <c r="B23" s="67"/>
      <c r="C23" s="19"/>
      <c r="D23" s="10"/>
      <c r="E23" s="11"/>
      <c r="F23" s="12"/>
    </row>
    <row r="24" spans="2:6">
      <c r="B24" s="13"/>
      <c r="C24" s="25" t="s">
        <v>16417</v>
      </c>
      <c r="D24" s="25"/>
      <c r="E24" s="15">
        <f>SUM(E12:E23)</f>
        <v>9820</v>
      </c>
      <c r="F24" s="16"/>
    </row>
    <row r="25" spans="2:6">
      <c r="B25" s="68" t="s">
        <v>16420</v>
      </c>
      <c r="C25" s="26"/>
      <c r="D25" s="26"/>
      <c r="E25" s="27"/>
      <c r="F25" s="18"/>
    </row>
    <row r="26" spans="2:6">
      <c r="B26" s="68"/>
      <c r="C26" s="22"/>
      <c r="D26" s="22"/>
      <c r="E26" s="23"/>
      <c r="F26" s="18"/>
    </row>
    <row r="27" spans="2:6">
      <c r="B27" s="68"/>
      <c r="C27" s="22"/>
      <c r="D27" s="22"/>
      <c r="E27" s="23"/>
      <c r="F27" s="18"/>
    </row>
    <row r="28" spans="2:6">
      <c r="B28" s="68"/>
      <c r="C28" s="22"/>
      <c r="D28" s="22"/>
      <c r="E28" s="28"/>
      <c r="F28" s="18"/>
    </row>
    <row r="29" spans="2:6">
      <c r="B29" s="64"/>
      <c r="C29" s="24"/>
      <c r="D29" s="24"/>
      <c r="E29" s="11"/>
      <c r="F29" s="18"/>
    </row>
    <row r="30" spans="2:6">
      <c r="B30" s="64"/>
      <c r="C30" s="29"/>
      <c r="D30" s="29"/>
      <c r="E30" s="11"/>
      <c r="F30" s="18"/>
    </row>
    <row r="31" spans="2:6">
      <c r="B31" s="64"/>
      <c r="C31" s="10"/>
      <c r="D31" s="10"/>
      <c r="E31" s="11"/>
      <c r="F31" s="18"/>
    </row>
    <row r="32" spans="2:6">
      <c r="B32" s="64"/>
      <c r="C32" s="29"/>
      <c r="D32" s="29"/>
      <c r="E32" s="17"/>
      <c r="F32" s="18"/>
    </row>
    <row r="33" spans="2:6">
      <c r="B33" s="13"/>
      <c r="C33" s="14" t="s">
        <v>16417</v>
      </c>
      <c r="D33" s="14"/>
      <c r="E33" s="15">
        <f>SUM(E25:E32)</f>
        <v>0</v>
      </c>
      <c r="F33" s="16"/>
    </row>
    <row r="34" spans="2:6">
      <c r="B34" s="64" t="s">
        <v>16421</v>
      </c>
      <c r="C34" s="10" t="s">
        <v>16464</v>
      </c>
      <c r="D34" s="10" t="s">
        <v>10</v>
      </c>
      <c r="E34" s="11">
        <v>4345</v>
      </c>
      <c r="F34" s="12" t="s">
        <v>16440</v>
      </c>
    </row>
    <row r="35" spans="2:6">
      <c r="B35" s="64"/>
      <c r="C35" s="10" t="s">
        <v>16465</v>
      </c>
      <c r="D35" s="10" t="s">
        <v>10</v>
      </c>
      <c r="E35" s="11">
        <v>2825</v>
      </c>
      <c r="F35" s="12" t="s">
        <v>16444</v>
      </c>
    </row>
    <row r="36" spans="2:6">
      <c r="B36" s="64"/>
      <c r="C36" s="10" t="s">
        <v>16466</v>
      </c>
      <c r="D36" s="10" t="s">
        <v>10</v>
      </c>
      <c r="E36" s="11">
        <v>4345</v>
      </c>
      <c r="F36" s="18" t="s">
        <v>16441</v>
      </c>
    </row>
    <row r="37" spans="2:6">
      <c r="B37" s="64"/>
      <c r="C37" s="29" t="s">
        <v>16467</v>
      </c>
      <c r="D37" s="29" t="s">
        <v>10</v>
      </c>
      <c r="E37" s="11">
        <v>2288</v>
      </c>
      <c r="F37" s="12" t="s">
        <v>16445</v>
      </c>
    </row>
    <row r="38" spans="2:6">
      <c r="B38" s="64"/>
      <c r="C38" s="10" t="s">
        <v>16468</v>
      </c>
      <c r="D38" s="10" t="s">
        <v>10</v>
      </c>
      <c r="E38" s="11">
        <v>5360</v>
      </c>
      <c r="F38" s="18" t="s">
        <v>16442</v>
      </c>
    </row>
    <row r="39" spans="2:6">
      <c r="B39" s="13"/>
      <c r="C39" s="14" t="s">
        <v>16417</v>
      </c>
      <c r="D39" s="14"/>
      <c r="E39" s="15">
        <f>SUM(E34:E38)</f>
        <v>19163</v>
      </c>
      <c r="F39" s="16"/>
    </row>
    <row r="40" spans="2:6">
      <c r="B40" s="65" t="s">
        <v>11</v>
      </c>
      <c r="C40" s="10"/>
      <c r="D40" s="10"/>
      <c r="E40" s="17"/>
      <c r="F40" s="18"/>
    </row>
    <row r="41" spans="2:6">
      <c r="B41" s="66"/>
      <c r="C41" s="19"/>
      <c r="D41" s="19"/>
      <c r="E41" s="11"/>
      <c r="F41" s="18"/>
    </row>
    <row r="42" spans="2:6">
      <c r="B42" s="66"/>
      <c r="C42" s="19"/>
      <c r="D42" s="19"/>
      <c r="E42" s="11"/>
      <c r="F42" s="18"/>
    </row>
    <row r="43" spans="2:6">
      <c r="B43" s="67"/>
      <c r="C43" s="19"/>
      <c r="D43" s="19"/>
      <c r="E43" s="11"/>
      <c r="F43" s="12"/>
    </row>
    <row r="44" spans="2:6">
      <c r="B44" s="13"/>
      <c r="C44" s="14" t="s">
        <v>16417</v>
      </c>
      <c r="D44" s="14"/>
      <c r="E44" s="15">
        <f>SUM(E40:E43)</f>
        <v>0</v>
      </c>
      <c r="F44" s="16"/>
    </row>
    <row r="45" spans="2:6">
      <c r="B45" s="64" t="s">
        <v>16422</v>
      </c>
      <c r="C45" s="10" t="s">
        <v>16469</v>
      </c>
      <c r="D45" s="10" t="s">
        <v>15</v>
      </c>
      <c r="E45" s="4">
        <v>825</v>
      </c>
      <c r="F45" s="12" t="s">
        <v>16440</v>
      </c>
    </row>
    <row r="46" spans="2:6">
      <c r="B46" s="68"/>
      <c r="C46" s="10" t="s">
        <v>16470</v>
      </c>
      <c r="D46" s="10" t="s">
        <v>16401</v>
      </c>
      <c r="E46" s="28">
        <v>2850</v>
      </c>
      <c r="F46" s="18" t="s">
        <v>16446</v>
      </c>
    </row>
    <row r="47" spans="2:6">
      <c r="B47" s="64"/>
      <c r="C47" s="10"/>
      <c r="D47" s="10"/>
      <c r="E47" s="20"/>
      <c r="F47" s="18"/>
    </row>
    <row r="48" spans="2:6">
      <c r="B48" s="64"/>
      <c r="C48" s="10"/>
      <c r="D48" s="10"/>
      <c r="E48" s="20"/>
      <c r="F48" s="18"/>
    </row>
    <row r="49" spans="2:6">
      <c r="B49" s="64"/>
      <c r="C49" s="10"/>
      <c r="D49" s="10"/>
      <c r="E49" s="11"/>
      <c r="F49" s="18"/>
    </row>
    <row r="50" spans="2:6">
      <c r="B50" s="64"/>
      <c r="C50" s="10"/>
      <c r="D50" s="10"/>
      <c r="E50" s="11"/>
      <c r="F50" s="18"/>
    </row>
    <row r="51" spans="2:6">
      <c r="B51" s="64"/>
      <c r="C51" s="10"/>
      <c r="D51" s="10"/>
      <c r="E51" s="11"/>
      <c r="F51" s="18"/>
    </row>
    <row r="52" spans="2:6">
      <c r="B52" s="64"/>
      <c r="C52" s="10"/>
      <c r="D52" s="10"/>
      <c r="E52" s="11"/>
      <c r="F52" s="12"/>
    </row>
    <row r="53" spans="2:6">
      <c r="B53" s="64"/>
      <c r="C53" s="19"/>
      <c r="D53" s="19"/>
      <c r="E53" s="11"/>
      <c r="F53" s="10"/>
    </row>
    <row r="54" spans="2:6">
      <c r="B54" s="64"/>
      <c r="C54" s="10"/>
      <c r="D54" s="10"/>
      <c r="E54" s="11"/>
      <c r="F54" s="18"/>
    </row>
    <row r="55" spans="2:6">
      <c r="B55" s="64"/>
      <c r="C55" s="10"/>
      <c r="D55" s="10"/>
      <c r="E55" s="11"/>
      <c r="F55" s="18"/>
    </row>
    <row r="56" spans="2:6">
      <c r="B56" s="64"/>
      <c r="C56" s="10"/>
      <c r="D56" s="10"/>
      <c r="E56" s="11"/>
      <c r="F56" s="12"/>
    </row>
    <row r="57" spans="2:6">
      <c r="B57" s="64"/>
      <c r="C57" s="10"/>
      <c r="D57" s="10"/>
      <c r="E57" s="11"/>
      <c r="F57" s="12"/>
    </row>
    <row r="58" spans="2:6">
      <c r="B58" s="64"/>
      <c r="C58" s="10"/>
      <c r="D58" s="10"/>
      <c r="E58" s="11"/>
      <c r="F58" s="12"/>
    </row>
    <row r="59" spans="2:6">
      <c r="B59" s="64"/>
      <c r="C59" s="10"/>
      <c r="D59" s="10"/>
      <c r="E59" s="11"/>
      <c r="F59" s="12"/>
    </row>
    <row r="60" spans="2:6">
      <c r="B60" s="13"/>
      <c r="C60" s="25" t="s">
        <v>16417</v>
      </c>
      <c r="D60" s="25"/>
      <c r="E60" s="15">
        <f>SUM(E45:E59)</f>
        <v>3675</v>
      </c>
      <c r="F60" s="16"/>
    </row>
    <row r="61" spans="2:6" ht="12" customHeight="1">
      <c r="B61" s="69" t="s">
        <v>16423</v>
      </c>
      <c r="C61" s="10"/>
      <c r="D61" s="10"/>
      <c r="E61" s="20"/>
      <c r="F61" s="10"/>
    </row>
    <row r="62" spans="2:6" ht="11.25" customHeight="1">
      <c r="B62" s="70"/>
      <c r="C62" s="10"/>
      <c r="D62" s="10"/>
      <c r="E62" s="11"/>
      <c r="F62" s="18"/>
    </row>
    <row r="63" spans="2:6" ht="11.25" customHeight="1">
      <c r="B63" s="70"/>
      <c r="C63" s="10"/>
      <c r="D63" s="10"/>
      <c r="E63" s="11"/>
      <c r="F63" s="18"/>
    </row>
    <row r="64" spans="2:6" ht="12" customHeight="1">
      <c r="B64" s="70"/>
      <c r="C64" s="10"/>
      <c r="D64" s="10"/>
      <c r="E64" s="11"/>
      <c r="F64" s="18"/>
    </row>
    <row r="65" spans="2:6" ht="10.5" customHeight="1">
      <c r="B65" s="70"/>
      <c r="C65" s="10"/>
      <c r="D65" s="10"/>
      <c r="E65" s="11"/>
      <c r="F65" s="12"/>
    </row>
    <row r="66" spans="2:6">
      <c r="B66" s="67"/>
      <c r="C66" s="19"/>
      <c r="D66" s="19"/>
      <c r="E66" s="11"/>
      <c r="F66" s="10"/>
    </row>
    <row r="67" spans="2:6">
      <c r="B67" s="13"/>
      <c r="C67" s="14" t="s">
        <v>16417</v>
      </c>
      <c r="D67" s="14"/>
      <c r="E67" s="15">
        <f>SUM(E61:E66)</f>
        <v>0</v>
      </c>
      <c r="F67" s="16"/>
    </row>
    <row r="68" spans="2:6">
      <c r="B68" s="5"/>
      <c r="C68" s="31" t="s">
        <v>16417</v>
      </c>
      <c r="D68" s="31"/>
      <c r="E68" s="32">
        <f>SUM(E60,E39,E33,E24,E11,E6+E67+E44)</f>
        <v>36963</v>
      </c>
      <c r="F68" s="33"/>
    </row>
  </sheetData>
  <mergeCells count="9">
    <mergeCell ref="B34:B38"/>
    <mergeCell ref="B40:B43"/>
    <mergeCell ref="B45:B59"/>
    <mergeCell ref="B61:B66"/>
    <mergeCell ref="B1:F1"/>
    <mergeCell ref="B3:B5"/>
    <mergeCell ref="B7:B10"/>
    <mergeCell ref="B12:B23"/>
    <mergeCell ref="B25:B32"/>
  </mergeCells>
  <conditionalFormatting sqref="C3:D5">
    <cfRule type="expression" dxfId="16558" priority="6802">
      <formula>$A3=10</formula>
    </cfRule>
    <cfRule type="expression" dxfId="16557" priority="6803">
      <formula>$A3=8</formula>
    </cfRule>
    <cfRule type="expression" dxfId="16556" priority="6804">
      <formula>$A3=9</formula>
    </cfRule>
    <cfRule type="expression" dxfId="16555" priority="6805">
      <formula>$A3=5</formula>
    </cfRule>
    <cfRule type="expression" dxfId="16554" priority="6806">
      <formula>$A3=4</formula>
    </cfRule>
    <cfRule type="expression" dxfId="16553" priority="6807">
      <formula>$A3=3</formula>
    </cfRule>
    <cfRule type="expression" dxfId="16552" priority="6808">
      <formula>$A3=2</formula>
    </cfRule>
    <cfRule type="expression" dxfId="16551" priority="6809">
      <formula>$A3=1</formula>
    </cfRule>
  </conditionalFormatting>
  <conditionalFormatting sqref="C7:D8">
    <cfRule type="expression" dxfId="16550" priority="57">
      <formula>$A7=10</formula>
    </cfRule>
    <cfRule type="expression" dxfId="16549" priority="58">
      <formula>$A7=8</formula>
    </cfRule>
    <cfRule type="expression" dxfId="16548" priority="59">
      <formula>$A7=9</formula>
    </cfRule>
    <cfRule type="expression" dxfId="16547" priority="60">
      <formula>$A7=5</formula>
    </cfRule>
    <cfRule type="expression" dxfId="16546" priority="61">
      <formula>$A7=4</formula>
    </cfRule>
    <cfRule type="expression" dxfId="16545" priority="62">
      <formula>$A7=3</formula>
    </cfRule>
    <cfRule type="expression" dxfId="16544" priority="63">
      <formula>$A7=2</formula>
    </cfRule>
    <cfRule type="expression" dxfId="16543" priority="64">
      <formula>$A7=1</formula>
    </cfRule>
  </conditionalFormatting>
  <conditionalFormatting sqref="C10:D10">
    <cfRule type="expression" dxfId="16542" priority="7915">
      <formula>$A10=8</formula>
    </cfRule>
    <cfRule type="expression" dxfId="16541" priority="7916">
      <formula>$A10=9</formula>
    </cfRule>
    <cfRule type="expression" dxfId="16540" priority="7917">
      <formula>$A10=5</formula>
    </cfRule>
    <cfRule type="expression" dxfId="16539" priority="7918">
      <formula>$A10=4</formula>
    </cfRule>
    <cfRule type="expression" dxfId="16538" priority="7919">
      <formula>$A10=3</formula>
    </cfRule>
    <cfRule type="expression" dxfId="16537" priority="7920">
      <formula>$A10=2</formula>
    </cfRule>
    <cfRule type="expression" dxfId="16536" priority="7921">
      <formula>$A10=1</formula>
    </cfRule>
  </conditionalFormatting>
  <conditionalFormatting sqref="C12:D14">
    <cfRule type="expression" dxfId="16535" priority="11514">
      <formula>$A2=10</formula>
    </cfRule>
    <cfRule type="expression" dxfId="16534" priority="11796">
      <formula>$A2=8</formula>
    </cfRule>
    <cfRule type="expression" dxfId="16533" priority="11839">
      <formula>$A2=9</formula>
    </cfRule>
    <cfRule type="expression" dxfId="16532" priority="12010">
      <formula>$A2=5</formula>
    </cfRule>
    <cfRule type="expression" dxfId="16531" priority="12011">
      <formula>$A2=4</formula>
    </cfRule>
    <cfRule type="expression" dxfId="16530" priority="12012">
      <formula>$A2=3</formula>
    </cfRule>
    <cfRule type="expression" dxfId="16529" priority="12013">
      <formula>$A2=2</formula>
    </cfRule>
  </conditionalFormatting>
  <conditionalFormatting sqref="C15:D17">
    <cfRule type="expression" dxfId="16528" priority="633">
      <formula>$A15=10</formula>
    </cfRule>
    <cfRule type="expression" dxfId="16527" priority="634">
      <formula>$A15=8</formula>
    </cfRule>
    <cfRule type="expression" dxfId="16526" priority="635">
      <formula>$A15=9</formula>
    </cfRule>
    <cfRule type="expression" dxfId="16525" priority="636">
      <formula>$A15=5</formula>
    </cfRule>
    <cfRule type="expression" dxfId="16524" priority="637">
      <formula>$A15=4</formula>
    </cfRule>
    <cfRule type="expression" dxfId="16523" priority="638">
      <formula>$A15=3</formula>
    </cfRule>
    <cfRule type="expression" dxfId="16522" priority="639">
      <formula>$A15=2</formula>
    </cfRule>
    <cfRule type="expression" dxfId="16521" priority="640">
      <formula>$A15=1</formula>
    </cfRule>
  </conditionalFormatting>
  <conditionalFormatting sqref="C25:D25">
    <cfRule type="expression" dxfId="16520" priority="12023">
      <formula>$A2=1</formula>
    </cfRule>
    <cfRule type="expression" dxfId="16519" priority="12024">
      <formula>$A2=2</formula>
    </cfRule>
    <cfRule type="expression" dxfId="16518" priority="12025">
      <formula>$A2=3</formula>
    </cfRule>
    <cfRule type="expression" dxfId="16517" priority="12026">
      <formula>$A2=4</formula>
    </cfRule>
    <cfRule type="expression" dxfId="16516" priority="12027">
      <formula>$A2=5</formula>
    </cfRule>
    <cfRule type="expression" dxfId="16515" priority="12028">
      <formula>$A2=9</formula>
    </cfRule>
    <cfRule type="expression" dxfId="16514" priority="12029">
      <formula>$A2=8</formula>
    </cfRule>
    <cfRule type="expression" dxfId="16513" priority="12030">
      <formula>$A2=10</formula>
    </cfRule>
  </conditionalFormatting>
  <conditionalFormatting sqref="C28:D29 C31:D31">
    <cfRule type="expression" dxfId="16512" priority="7673">
      <formula>$A28=10</formula>
    </cfRule>
    <cfRule type="expression" dxfId="16511" priority="7674">
      <formula>$A28=8</formula>
    </cfRule>
    <cfRule type="expression" dxfId="16510" priority="7675">
      <formula>$A28=9</formula>
    </cfRule>
    <cfRule type="expression" dxfId="16509" priority="7676">
      <formula>$A28=5</formula>
    </cfRule>
    <cfRule type="expression" dxfId="16508" priority="7677">
      <formula>$A28=4</formula>
    </cfRule>
    <cfRule type="expression" dxfId="16507" priority="7678">
      <formula>$A28=3</formula>
    </cfRule>
    <cfRule type="expression" dxfId="16506" priority="7679">
      <formula>$A28=2</formula>
    </cfRule>
    <cfRule type="expression" dxfId="16505" priority="7680">
      <formula>$A28=1</formula>
    </cfRule>
  </conditionalFormatting>
  <conditionalFormatting sqref="C34:D36">
    <cfRule type="expression" dxfId="16504" priority="105">
      <formula>$A34=10</formula>
    </cfRule>
    <cfRule type="expression" dxfId="16503" priority="106">
      <formula>$A34=8</formula>
    </cfRule>
    <cfRule type="expression" dxfId="16502" priority="107">
      <formula>$A34=9</formula>
    </cfRule>
    <cfRule type="expression" dxfId="16501" priority="108">
      <formula>$A34=5</formula>
    </cfRule>
    <cfRule type="expression" dxfId="16500" priority="109">
      <formula>$A34=4</formula>
    </cfRule>
    <cfRule type="expression" dxfId="16499" priority="110">
      <formula>$A34=3</formula>
    </cfRule>
    <cfRule type="expression" dxfId="16498" priority="111">
      <formula>$A34=2</formula>
    </cfRule>
    <cfRule type="expression" dxfId="16497" priority="112">
      <formula>$A34=1</formula>
    </cfRule>
  </conditionalFormatting>
  <conditionalFormatting sqref="C38:D38">
    <cfRule type="expression" dxfId="16496" priority="7901">
      <formula>$A38=8</formula>
    </cfRule>
    <cfRule type="expression" dxfId="16495" priority="7902">
      <formula>$A38=9</formula>
    </cfRule>
    <cfRule type="expression" dxfId="16494" priority="7903">
      <formula>$A38=5</formula>
    </cfRule>
    <cfRule type="expression" dxfId="16493" priority="7904">
      <formula>$A38=4</formula>
    </cfRule>
    <cfRule type="expression" dxfId="16492" priority="7905">
      <formula>$A38=3</formula>
    </cfRule>
    <cfRule type="expression" dxfId="16491" priority="7906">
      <formula>$A38=2</formula>
    </cfRule>
    <cfRule type="expression" dxfId="16490" priority="7907">
      <formula>$A38=1</formula>
    </cfRule>
  </conditionalFormatting>
  <conditionalFormatting sqref="C40:D40">
    <cfRule type="expression" dxfId="16489" priority="4708">
      <formula>$A54=10</formula>
    </cfRule>
    <cfRule type="expression" dxfId="16488" priority="4709">
      <formula>$A54=8</formula>
    </cfRule>
    <cfRule type="expression" dxfId="16487" priority="4710">
      <formula>$A54=9</formula>
    </cfRule>
    <cfRule type="expression" dxfId="16486" priority="4711">
      <formula>$A54=5</formula>
    </cfRule>
    <cfRule type="expression" dxfId="16485" priority="4712">
      <formula>$A54=4</formula>
    </cfRule>
    <cfRule type="expression" dxfId="16484" priority="4713">
      <formula>$A54=3</formula>
    </cfRule>
    <cfRule type="expression" dxfId="16483" priority="4714">
      <formula>$A54=2</formula>
    </cfRule>
    <cfRule type="expression" dxfId="16482" priority="4715">
      <formula>$A54=1</formula>
    </cfRule>
  </conditionalFormatting>
  <conditionalFormatting sqref="C49:D52">
    <cfRule type="expression" dxfId="16481" priority="7489">
      <formula>$A49=10</formula>
    </cfRule>
    <cfRule type="expression" dxfId="16480" priority="7490">
      <formula>$A49=8</formula>
    </cfRule>
    <cfRule type="expression" dxfId="16479" priority="7491">
      <formula>$A49=9</formula>
    </cfRule>
    <cfRule type="expression" dxfId="16478" priority="7492">
      <formula>$A49=5</formula>
    </cfRule>
    <cfRule type="expression" dxfId="16477" priority="7493">
      <formula>$A49=4</formula>
    </cfRule>
    <cfRule type="expression" dxfId="16476" priority="7494">
      <formula>$A49=3</formula>
    </cfRule>
    <cfRule type="expression" dxfId="16475" priority="7495">
      <formula>$A49=2</formula>
    </cfRule>
    <cfRule type="expression" dxfId="16474" priority="7496">
      <formula>$A49=1</formula>
    </cfRule>
  </conditionalFormatting>
  <conditionalFormatting sqref="C54:D59">
    <cfRule type="expression" dxfId="16473" priority="6794">
      <formula>$A54=10</formula>
    </cfRule>
    <cfRule type="expression" dxfId="16472" priority="6795">
      <formula>$A54=8</formula>
    </cfRule>
    <cfRule type="expression" dxfId="16471" priority="6796">
      <formula>$A54=9</formula>
    </cfRule>
    <cfRule type="expression" dxfId="16470" priority="6797">
      <formula>$A54=5</formula>
    </cfRule>
    <cfRule type="expression" dxfId="16469" priority="6798">
      <formula>$A54=4</formula>
    </cfRule>
    <cfRule type="expression" dxfId="16468" priority="6799">
      <formula>$A54=3</formula>
    </cfRule>
    <cfRule type="expression" dxfId="16467" priority="6800">
      <formula>$A54=2</formula>
    </cfRule>
    <cfRule type="expression" dxfId="16466" priority="6801">
      <formula>$A54=1</formula>
    </cfRule>
  </conditionalFormatting>
  <conditionalFormatting sqref="C12:E14">
    <cfRule type="expression" dxfId="16465" priority="12014">
      <formula>$A2=1</formula>
    </cfRule>
  </conditionalFormatting>
  <conditionalFormatting sqref="C26:E27">
    <cfRule type="expression" dxfId="16464" priority="12031">
      <formula>$A2=1</formula>
    </cfRule>
    <cfRule type="expression" dxfId="16463" priority="12032">
      <formula>$A2=2</formula>
    </cfRule>
    <cfRule type="expression" dxfId="16462" priority="12033">
      <formula>$A2=3</formula>
    </cfRule>
    <cfRule type="expression" dxfId="16461" priority="12034">
      <formula>$A2=4</formula>
    </cfRule>
    <cfRule type="expression" dxfId="16460" priority="12035">
      <formula>$A2=5</formula>
    </cfRule>
    <cfRule type="expression" dxfId="16459" priority="12036">
      <formula>$A2=9</formula>
    </cfRule>
    <cfRule type="expression" dxfId="16458" priority="12037">
      <formula>$A2=8</formula>
    </cfRule>
    <cfRule type="expression" dxfId="16457" priority="12038">
      <formula>$A2=10</formula>
    </cfRule>
  </conditionalFormatting>
  <conditionalFormatting sqref="C48:E48 E47 C45:D47">
    <cfRule type="expression" dxfId="16456" priority="12055">
      <formula>$A1048576=1</formula>
    </cfRule>
    <cfRule type="expression" dxfId="16455" priority="12056">
      <formula>$A1048576=2</formula>
    </cfRule>
    <cfRule type="expression" dxfId="16454" priority="12057">
      <formula>$A1048576=3</formula>
    </cfRule>
    <cfRule type="expression" dxfId="16453" priority="12058">
      <formula>$A1048576=4</formula>
    </cfRule>
    <cfRule type="expression" dxfId="16452" priority="12059">
      <formula>$A1048576=5</formula>
    </cfRule>
    <cfRule type="expression" dxfId="16451" priority="12060">
      <formula>$A1048576=9</formula>
    </cfRule>
    <cfRule type="expression" dxfId="16450" priority="12061">
      <formula>$A1048576=8</formula>
    </cfRule>
    <cfRule type="expression" dxfId="16449" priority="12062">
      <formula>$A1048576=10</formula>
    </cfRule>
  </conditionalFormatting>
  <conditionalFormatting sqref="E12:E14">
    <cfRule type="expression" dxfId="16448" priority="12016">
      <formula>$A2=2</formula>
    </cfRule>
    <cfRule type="expression" dxfId="16447" priority="12017">
      <formula>$A2=3</formula>
    </cfRule>
    <cfRule type="expression" dxfId="16446" priority="12018">
      <formula>$A2=4</formula>
    </cfRule>
    <cfRule type="expression" dxfId="16445" priority="12019">
      <formula>$A2=5</formula>
    </cfRule>
    <cfRule type="expression" dxfId="16444" priority="12020">
      <formula>$A2=9</formula>
    </cfRule>
    <cfRule type="expression" dxfId="16443" priority="12021">
      <formula>$A2=8</formula>
    </cfRule>
    <cfRule type="expression" dxfId="16442" priority="12022">
      <formula>$A2=10</formula>
    </cfRule>
  </conditionalFormatting>
  <conditionalFormatting sqref="E3:F5">
    <cfRule type="expression" dxfId="16441" priority="8076">
      <formula>#REF!=5</formula>
    </cfRule>
    <cfRule type="expression" dxfId="16440" priority="8077">
      <formula>#REF!=4</formula>
    </cfRule>
    <cfRule type="expression" dxfId="16439" priority="8078">
      <formula>#REF!=3</formula>
    </cfRule>
    <cfRule type="expression" dxfId="16438" priority="8079">
      <formula>#REF!=2</formula>
    </cfRule>
    <cfRule type="expression" dxfId="16437" priority="8080">
      <formula>#REF!=1</formula>
    </cfRule>
  </conditionalFormatting>
  <conditionalFormatting sqref="F13">
    <cfRule type="expression" dxfId="16436" priority="89">
      <formula>$A13=10</formula>
    </cfRule>
    <cfRule type="expression" dxfId="16435" priority="90">
      <formula>$A13=8</formula>
    </cfRule>
    <cfRule type="expression" dxfId="16434" priority="91">
      <formula>$A13=9</formula>
    </cfRule>
    <cfRule type="expression" dxfId="16433" priority="92">
      <formula>$A13=5</formula>
    </cfRule>
    <cfRule type="expression" dxfId="16432" priority="93">
      <formula>$A13=4</formula>
    </cfRule>
    <cfRule type="expression" dxfId="16431" priority="94">
      <formula>$A13=3</formula>
    </cfRule>
    <cfRule type="expression" dxfId="16430" priority="95">
      <formula>$A13=2</formula>
    </cfRule>
    <cfRule type="expression" dxfId="16429" priority="96">
      <formula>$A13=1</formula>
    </cfRule>
  </conditionalFormatting>
  <conditionalFormatting sqref="F53">
    <cfRule type="expression" dxfId="16428" priority="33">
      <formula>$A17=1</formula>
    </cfRule>
    <cfRule type="expression" dxfId="16427" priority="34">
      <formula>$A17=2</formula>
    </cfRule>
    <cfRule type="expression" dxfId="16426" priority="35">
      <formula>$A17=3</formula>
    </cfRule>
    <cfRule type="expression" dxfId="16425" priority="36">
      <formula>$A17=4</formula>
    </cfRule>
    <cfRule type="expression" dxfId="16424" priority="37">
      <formula>$A17=5</formula>
    </cfRule>
    <cfRule type="expression" dxfId="16423" priority="38">
      <formula>$A17=9</formula>
    </cfRule>
    <cfRule type="expression" dxfId="16422" priority="39">
      <formula>$A17=8</formula>
    </cfRule>
    <cfRule type="expression" dxfId="16421" priority="40">
      <formula>$A17=10</formula>
    </cfRule>
  </conditionalFormatting>
  <conditionalFormatting sqref="C62:D65">
    <cfRule type="expression" dxfId="16420" priority="9">
      <formula>$A62=10</formula>
    </cfRule>
    <cfRule type="expression" dxfId="16419" priority="10">
      <formula>$A62=8</formula>
    </cfRule>
    <cfRule type="expression" dxfId="16418" priority="11">
      <formula>$A62=9</formula>
    </cfRule>
    <cfRule type="expression" dxfId="16417" priority="12">
      <formula>$A62=5</formula>
    </cfRule>
    <cfRule type="expression" dxfId="16416" priority="13">
      <formula>$A62=4</formula>
    </cfRule>
    <cfRule type="expression" dxfId="16415" priority="14">
      <formula>$A62=3</formula>
    </cfRule>
    <cfRule type="expression" dxfId="16414" priority="15">
      <formula>$A62=2</formula>
    </cfRule>
    <cfRule type="expression" dxfId="16413" priority="16">
      <formula>$A62=1</formula>
    </cfRule>
  </conditionalFormatting>
  <conditionalFormatting sqref="C61:E61">
    <cfRule type="expression" dxfId="16412" priority="17">
      <formula>$A16=1</formula>
    </cfRule>
    <cfRule type="expression" dxfId="16411" priority="18">
      <formula>$A16=2</formula>
    </cfRule>
    <cfRule type="expression" dxfId="16410" priority="19">
      <formula>$A16=3</formula>
    </cfRule>
    <cfRule type="expression" dxfId="16409" priority="20">
      <formula>$A16=4</formula>
    </cfRule>
    <cfRule type="expression" dxfId="16408" priority="21">
      <formula>$A16=5</formula>
    </cfRule>
    <cfRule type="expression" dxfId="16407" priority="22">
      <formula>$A16=9</formula>
    </cfRule>
    <cfRule type="expression" dxfId="16406" priority="23">
      <formula>$A16=8</formula>
    </cfRule>
    <cfRule type="expression" dxfId="16405" priority="24">
      <formula>$A16=10</formula>
    </cfRule>
  </conditionalFormatting>
  <conditionalFormatting sqref="F61">
    <cfRule type="expression" dxfId="16404" priority="25">
      <formula>$A25=1</formula>
    </cfRule>
    <cfRule type="expression" dxfId="16403" priority="26">
      <formula>$A25=2</formula>
    </cfRule>
    <cfRule type="expression" dxfId="16402" priority="27">
      <formula>$A25=3</formula>
    </cfRule>
    <cfRule type="expression" dxfId="16401" priority="28">
      <formula>$A25=4</formula>
    </cfRule>
    <cfRule type="expression" dxfId="16400" priority="29">
      <formula>$A25=5</formula>
    </cfRule>
    <cfRule type="expression" dxfId="16399" priority="30">
      <formula>$A25=9</formula>
    </cfRule>
    <cfRule type="expression" dxfId="16398" priority="31">
      <formula>$A25=8</formula>
    </cfRule>
    <cfRule type="expression" dxfId="16397" priority="32">
      <formula>$A25=10</formula>
    </cfRule>
  </conditionalFormatting>
  <conditionalFormatting sqref="F66">
    <cfRule type="expression" dxfId="16396" priority="1">
      <formula>$A30=1</formula>
    </cfRule>
    <cfRule type="expression" dxfId="16395" priority="2">
      <formula>$A30=2</formula>
    </cfRule>
    <cfRule type="expression" dxfId="16394" priority="3">
      <formula>$A30=3</formula>
    </cfRule>
    <cfRule type="expression" dxfId="16393" priority="4">
      <formula>$A30=4</formula>
    </cfRule>
    <cfRule type="expression" dxfId="16392" priority="5">
      <formula>$A30=5</formula>
    </cfRule>
    <cfRule type="expression" dxfId="16391" priority="6">
      <formula>$A30=9</formula>
    </cfRule>
    <cfRule type="expression" dxfId="16390" priority="7">
      <formula>$A30=8</formula>
    </cfRule>
    <cfRule type="expression" dxfId="16389" priority="8">
      <formula>$A30=10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PARTICULARES</vt:lpstr>
      <vt:lpstr>VALORACIONES MÉDICAS</vt:lpstr>
      <vt:lpstr>BAJAS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AtClientes</dc:creator>
  <cp:lastModifiedBy>Sistemas</cp:lastModifiedBy>
  <cp:revision>6</cp:revision>
  <dcterms:created xsi:type="dcterms:W3CDTF">2022-08-18T14:47:00Z</dcterms:created>
  <dcterms:modified xsi:type="dcterms:W3CDTF">2026-07-13T19:15:36Z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C4076B91040A40FA960B4165A9B42D4E_12</vt:lpwstr>
  </property>
  <property fmtid="{D5CDD505-2E9C-101B-9397-08002B2CF9AE}" pid="3" name="KSOProductBuildVer">
    <vt:lpwstr>3082-12.2.0.20326</vt:lpwstr>
  </property>
</Properties>
</file>