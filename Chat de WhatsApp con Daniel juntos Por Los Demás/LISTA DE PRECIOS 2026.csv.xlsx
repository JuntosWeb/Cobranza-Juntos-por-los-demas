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cesar\Downloads\Cobranza\cobranza-mvp\Chat de WhatsApp con Daniel juntos Por Los Demás\"/>
    </mc:Choice>
  </mc:AlternateContent>
  <xr:revisionPtr revIDLastSave="0" documentId="8_{6E9AAF9A-2E1D-4F29-8B47-E8A2610197CD}" xr6:coauthVersionLast="47" xr6:coauthVersionMax="47" xr10:uidLastSave="{00000000-0000-0000-0000-000000000000}"/>
  <bookViews>
    <workbookView xWindow="-108" yWindow="-108" windowWidth="23256" windowHeight="12456" xr2:uid="{00000000-000D-0000-FFFF-FFFF00000000}"/>
  </bookViews>
  <sheets>
    <sheet name="LISTA DE PRECIOS 2026" sheetId="1" r:id="rId1"/>
  </sheets>
  <definedNames>
    <definedName name="_xlnm.Print_Area" localSheetId="0">'LISTA DE PRECIOS 2026'!$A$53:$N$111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1" l="1"/>
  <c r="C107" i="1"/>
  <c r="E107" i="1" s="1"/>
  <c r="O106" i="1"/>
  <c r="J106" i="1"/>
  <c r="C106" i="1"/>
  <c r="E106" i="1" s="1"/>
  <c r="O105" i="1"/>
  <c r="J105" i="1"/>
  <c r="C105" i="1"/>
  <c r="E105" i="1" s="1"/>
  <c r="O102" i="1"/>
  <c r="J102" i="1"/>
  <c r="E102" i="1"/>
  <c r="O101" i="1"/>
  <c r="J101" i="1"/>
  <c r="E101" i="1"/>
  <c r="F101" i="1" s="1"/>
  <c r="O100" i="1"/>
  <c r="J100" i="1"/>
  <c r="E100" i="1"/>
  <c r="M94" i="1"/>
  <c r="O94" i="1" s="1"/>
  <c r="P94" i="1" s="1"/>
  <c r="J94" i="1"/>
  <c r="C94" i="1"/>
  <c r="E94" i="1" s="1"/>
  <c r="O93" i="1"/>
  <c r="P93" i="1" s="1"/>
  <c r="J93" i="1"/>
  <c r="C93" i="1"/>
  <c r="E93" i="1" s="1"/>
  <c r="O92" i="1"/>
  <c r="J92" i="1"/>
  <c r="C92" i="1"/>
  <c r="E92" i="1" s="1"/>
  <c r="O89" i="1"/>
  <c r="J89" i="1"/>
  <c r="C89" i="1"/>
  <c r="E89" i="1" s="1"/>
  <c r="O88" i="1"/>
  <c r="J88" i="1"/>
  <c r="C88" i="1"/>
  <c r="E88" i="1" s="1"/>
  <c r="H87" i="1"/>
  <c r="M87" i="1" s="1"/>
  <c r="O87" i="1" s="1"/>
  <c r="P89" i="1" s="1"/>
  <c r="E87" i="1"/>
  <c r="C80" i="1"/>
  <c r="E80" i="1" s="1"/>
  <c r="O79" i="1"/>
  <c r="C79" i="1"/>
  <c r="E79" i="1" s="1"/>
  <c r="O78" i="1"/>
  <c r="J78" i="1"/>
  <c r="C78" i="1"/>
  <c r="E78" i="1" s="1"/>
  <c r="C73" i="1"/>
  <c r="O69" i="1"/>
  <c r="J69" i="1"/>
  <c r="C69" i="1"/>
  <c r="E69" i="1" s="1"/>
  <c r="M68" i="1"/>
  <c r="O68" i="1" s="1"/>
  <c r="J68" i="1"/>
  <c r="E68" i="1"/>
  <c r="C68" i="1"/>
  <c r="O67" i="1"/>
  <c r="J67" i="1"/>
  <c r="K68" i="1" s="1"/>
  <c r="E67" i="1"/>
  <c r="O61" i="1"/>
  <c r="J61" i="1"/>
  <c r="C61" i="1"/>
  <c r="E61" i="1" s="1"/>
  <c r="F61" i="1" s="1"/>
  <c r="O60" i="1"/>
  <c r="J60" i="1"/>
  <c r="C60" i="1"/>
  <c r="E60" i="1" s="1"/>
  <c r="F60" i="1" s="1"/>
  <c r="H59" i="1"/>
  <c r="M59" i="1" s="1"/>
  <c r="O59" i="1" s="1"/>
  <c r="P60" i="1" s="1"/>
  <c r="E59" i="1"/>
  <c r="C52" i="1"/>
  <c r="O49" i="1"/>
  <c r="P49" i="1" s="1"/>
  <c r="H49" i="1"/>
  <c r="J49" i="1" s="1"/>
  <c r="K49" i="1" s="1"/>
  <c r="C49" i="1"/>
  <c r="E49" i="1" s="1"/>
  <c r="O48" i="1"/>
  <c r="J48" i="1"/>
  <c r="K48" i="1" s="1"/>
  <c r="C48" i="1"/>
  <c r="E48" i="1" s="1"/>
  <c r="F48" i="1" s="1"/>
  <c r="O47" i="1"/>
  <c r="P48" i="1" s="1"/>
  <c r="J47" i="1"/>
  <c r="E47" i="1"/>
  <c r="O44" i="1"/>
  <c r="P44" i="1" s="1"/>
  <c r="C44" i="1"/>
  <c r="H44" i="1" s="1"/>
  <c r="J44" i="1" s="1"/>
  <c r="K44" i="1" s="1"/>
  <c r="O43" i="1"/>
  <c r="J43" i="1"/>
  <c r="K43" i="1" s="1"/>
  <c r="C43" i="1"/>
  <c r="E43" i="1" s="1"/>
  <c r="F43" i="1" s="1"/>
  <c r="O42" i="1"/>
  <c r="J42" i="1"/>
  <c r="E42" i="1"/>
  <c r="O39" i="1"/>
  <c r="P39" i="1" s="1"/>
  <c r="H39" i="1"/>
  <c r="J39" i="1" s="1"/>
  <c r="C39" i="1"/>
  <c r="E39" i="1" s="1"/>
  <c r="O38" i="1"/>
  <c r="J38" i="1"/>
  <c r="K38" i="1" s="1"/>
  <c r="C38" i="1"/>
  <c r="E38" i="1" s="1"/>
  <c r="O37" i="1"/>
  <c r="J37" i="1"/>
  <c r="E37" i="1"/>
  <c r="H28" i="1"/>
  <c r="O24" i="1"/>
  <c r="J24" i="1"/>
  <c r="K24" i="1" s="1"/>
  <c r="E24" i="1"/>
  <c r="O23" i="1"/>
  <c r="J23" i="1"/>
  <c r="E23" i="1"/>
  <c r="O21" i="1"/>
  <c r="P21" i="1" s="1"/>
  <c r="O20" i="1"/>
  <c r="J20" i="1"/>
  <c r="E20" i="1"/>
  <c r="O19" i="1"/>
  <c r="J19" i="1"/>
  <c r="J18" i="1"/>
  <c r="K20" i="1" s="1"/>
  <c r="E18" i="1"/>
  <c r="O15" i="1"/>
  <c r="J15" i="1"/>
  <c r="E15" i="1"/>
  <c r="O14" i="1"/>
  <c r="P14" i="1" s="1"/>
  <c r="J14" i="1"/>
  <c r="E14" i="1"/>
  <c r="O13" i="1"/>
  <c r="C13" i="1"/>
  <c r="E13" i="1" s="1"/>
  <c r="O9" i="1"/>
  <c r="J9" i="1"/>
  <c r="E9" i="1"/>
  <c r="O8" i="1"/>
  <c r="P8" i="1" s="1"/>
  <c r="J8" i="1"/>
  <c r="E8" i="1"/>
  <c r="O7" i="1"/>
  <c r="C7" i="1"/>
  <c r="H7" i="1" s="1"/>
  <c r="J7" i="1" s="1"/>
  <c r="K69" i="1" l="1"/>
  <c r="F102" i="1"/>
  <c r="K102" i="1"/>
  <c r="F89" i="1"/>
  <c r="P102" i="1"/>
  <c r="K8" i="1"/>
  <c r="F88" i="1"/>
  <c r="F19" i="1"/>
  <c r="F24" i="1"/>
  <c r="J59" i="1"/>
  <c r="H80" i="1"/>
  <c r="J80" i="1" s="1"/>
  <c r="K80" i="1" s="1"/>
  <c r="P24" i="1"/>
  <c r="P38" i="1"/>
  <c r="F39" i="1"/>
  <c r="P43" i="1"/>
  <c r="K61" i="1"/>
  <c r="P69" i="1"/>
  <c r="P68" i="1"/>
  <c r="K101" i="1"/>
  <c r="P106" i="1"/>
  <c r="F107" i="1"/>
  <c r="F68" i="1"/>
  <c r="F20" i="1"/>
  <c r="K93" i="1"/>
  <c r="K106" i="1"/>
  <c r="P9" i="1"/>
  <c r="P15" i="1"/>
  <c r="K19" i="1"/>
  <c r="P20" i="1"/>
  <c r="F38" i="1"/>
  <c r="K39" i="1"/>
  <c r="F49" i="1"/>
  <c r="K60" i="1"/>
  <c r="P61" i="1"/>
  <c r="F69" i="1"/>
  <c r="P79" i="1"/>
  <c r="P88" i="1"/>
  <c r="K94" i="1"/>
  <c r="P101" i="1"/>
  <c r="F106" i="1"/>
  <c r="H107" i="1"/>
  <c r="M107" i="1" s="1"/>
  <c r="O107" i="1" s="1"/>
  <c r="P107" i="1" s="1"/>
  <c r="F15" i="1"/>
  <c r="F14" i="1"/>
  <c r="F80" i="1"/>
  <c r="F93" i="1"/>
  <c r="F79" i="1"/>
  <c r="F9" i="1"/>
  <c r="K9" i="1"/>
  <c r="F94" i="1"/>
  <c r="E7" i="1"/>
  <c r="F8" i="1" s="1"/>
  <c r="H79" i="1"/>
  <c r="J79" i="1" s="1"/>
  <c r="K79" i="1" s="1"/>
  <c r="E44" i="1"/>
  <c r="F44" i="1" s="1"/>
  <c r="H13" i="1"/>
  <c r="J13" i="1" s="1"/>
  <c r="K14" i="1" s="1"/>
  <c r="J87" i="1"/>
  <c r="K89" i="1" s="1"/>
  <c r="J107" i="1" l="1"/>
  <c r="K107" i="1" s="1"/>
  <c r="M80" i="1"/>
  <c r="O80" i="1" s="1"/>
  <c r="P80" i="1" s="1"/>
  <c r="K88" i="1"/>
  <c r="K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Dirección</author>
  </authors>
  <commentList>
    <comment ref="A17" authorId="0" shapeId="0" xr:uid="{00000000-0006-0000-0000-000001000000}">
      <text>
        <r>
          <rPr>
            <b/>
            <sz val="9"/>
            <color indexed="81"/>
            <rFont val="Tahoma"/>
            <family val="2"/>
          </rPr>
          <t>Dirección:</t>
        </r>
        <r>
          <rPr>
            <sz val="9"/>
            <color indexed="81"/>
            <rFont val="Tahoma"/>
            <family val="2"/>
          </rPr>
          <t xml:space="preserve">
no se proyecto incremento</t>
        </r>
      </text>
    </comment>
    <comment ref="B17" authorId="0" shapeId="0" xr:uid="{00000000-0006-0000-0000-000002000000}">
      <text>
        <r>
          <rPr>
            <b/>
            <sz val="9"/>
            <color indexed="81"/>
            <rFont val="Tahoma"/>
            <family val="2"/>
          </rPr>
          <t>Dirección:
PARA 2026 no se considero aumento en este servicio, se mantiene precio de 2025 para estar en margen con nuestra competencia cercana, ya que este precio nos posiciona en los 2do más caros de la zona</t>
        </r>
      </text>
    </comment>
    <comment ref="B36" authorId="0" shapeId="0" xr:uid="{00000000-0006-0000-0000-000003000000}">
      <text>
        <r>
          <rPr>
            <b/>
            <sz val="9"/>
            <color indexed="81"/>
            <rFont val="Tahoma"/>
            <family val="2"/>
          </rPr>
          <t>Dirección:</t>
        </r>
        <r>
          <rPr>
            <sz val="9"/>
            <color indexed="81"/>
            <rFont val="Tahoma"/>
            <family val="2"/>
          </rPr>
          <t xml:space="preserve">
PARA 2026 no se considero aumento en este servicio, se mantiene precio de 2025 para estar en margen con nuestra competencia cercana, ya que este precio nos posiciona como los más caros de la zona comparados entre 500-700.00 por seison de la competencia</t>
        </r>
      </text>
    </comment>
  </commentList>
</comments>
</file>

<file path=xl/sharedStrings.xml><?xml version="1.0" encoding="utf-8"?>
<sst xmlns="http://schemas.openxmlformats.org/spreadsheetml/2006/main" count="268" uniqueCount="65">
  <si>
    <t>LISTA DE PRECIOS 2026</t>
  </si>
  <si>
    <t>Vigencia a partir de febrero</t>
  </si>
  <si>
    <t>EQUINOTERAPIA</t>
  </si>
  <si>
    <t>HORARIOS "A"</t>
  </si>
  <si>
    <t>HORARIOS "B"</t>
  </si>
  <si>
    <t>HORARIOS "C"</t>
  </si>
  <si>
    <t>10 AM  -  4-5 Y 6 PM</t>
  </si>
  <si>
    <t xml:space="preserve">9 Y 11 AM   </t>
  </si>
  <si>
    <t>8 AM  12-1 -2-3 Y 7 PM</t>
  </si>
  <si>
    <t>MONTA TERAPEUTICA</t>
  </si>
  <si>
    <t>1 VEZ POR SEMANA</t>
  </si>
  <si>
    <t>MES</t>
  </si>
  <si>
    <t>2 VECES POR SEMANA</t>
  </si>
  <si>
    <t>3 VECES POR SEMANA</t>
  </si>
  <si>
    <t>CONOCIENDO A MI CABALLO</t>
  </si>
  <si>
    <t>ESTIMULACIÓN TEMPRANA C/ CABALLOS</t>
  </si>
  <si>
    <t>INSCRIPCIÓN $1,700.00</t>
  </si>
  <si>
    <t>EQUITACION</t>
  </si>
  <si>
    <t>PARA 2026 SE MANTIENEN PRECIOS DE 2025</t>
  </si>
  <si>
    <t>VAULTING</t>
  </si>
  <si>
    <t xml:space="preserve">PSICOTERAPIA ASISTIDA </t>
  </si>
  <si>
    <r>
      <rPr>
        <b/>
        <sz val="10"/>
        <rFont val="Arial"/>
        <family val="2"/>
      </rPr>
      <t>INDIVIDUAL</t>
    </r>
    <r>
      <rPr>
        <sz val="10"/>
        <rFont val="Arial"/>
        <family val="2"/>
      </rPr>
      <t xml:space="preserve"> 1 VEZ POR SEMANA</t>
    </r>
  </si>
  <si>
    <r>
      <rPr>
        <b/>
        <sz val="10"/>
        <rFont val="Arial"/>
        <family val="2"/>
      </rPr>
      <t>FAMILIAR</t>
    </r>
    <r>
      <rPr>
        <sz val="10"/>
        <rFont val="Arial"/>
        <family val="2"/>
      </rPr>
      <t xml:space="preserve"> 1 VEZ POR SEMANA</t>
    </r>
  </si>
  <si>
    <t>PENSIÓN</t>
  </si>
  <si>
    <t>CAMA DE CABALLO, CABALLERANGO, HERRAJE BÁSICO, ALIMENTO (ALFALFA)</t>
  </si>
  <si>
    <t>COGNICION Y LOGOFONIATRÍA</t>
  </si>
  <si>
    <t>"Con base en la cartera vigente a enero de 2026 y la frecuencia de servicio por cliente , se ha implementado un ajuste para aplicar un porcentaje de descuento en el margen de todas las áreas, para mantener homolgados la aplicación de precios por frecuencia y horario de 2 y 3vxs</t>
  </si>
  <si>
    <t>10-11 AM   12-4-5-6 PM</t>
  </si>
  <si>
    <t>9 AM     1-2-3 PM</t>
  </si>
  <si>
    <t>8 AM   7 PM</t>
  </si>
  <si>
    <t>COGNICION Y COMUNICACIÓN</t>
  </si>
  <si>
    <t>NEUROFEEDBACK/EDUFEED.</t>
  </si>
  <si>
    <t>LOGOFONIATRIA</t>
  </si>
  <si>
    <t>ESTIMULACIÓN MAGNETICA TRANSCRANEAL</t>
  </si>
  <si>
    <t>TRATAMIENTO 20 SESIONES</t>
  </si>
  <si>
    <t>PSICOLOGÍA</t>
  </si>
  <si>
    <t>"Con base en la cartera vigente a enero de 2026 y la frecuencia de servicio por cliente , se ha implementado un ajuste para aplicar un porcentaje de descuento en el margen de todas las áreas, para mantener homolgados la aplicación de precios por frecuencia y horario de 2 a 3vxs</t>
  </si>
  <si>
    <t xml:space="preserve">  12-1-4-5-6-7 PM</t>
  </si>
  <si>
    <t xml:space="preserve">     2-3 PM</t>
  </si>
  <si>
    <t>8-9-10-11  AM   7 PM</t>
  </si>
  <si>
    <t>MOTRICIDAD</t>
  </si>
  <si>
    <t>NEURODESARROLLO Y CEMS</t>
  </si>
  <si>
    <t>FISIOTERAPIA</t>
  </si>
  <si>
    <t>INSTALACIONES</t>
  </si>
  <si>
    <t>SESIÓN</t>
  </si>
  <si>
    <t>DOMICILIO</t>
  </si>
  <si>
    <t>PSICOMOTRICIDAD RECREATIVA</t>
  </si>
  <si>
    <t>ALBERCA</t>
  </si>
  <si>
    <t>HIDROTERAPIA</t>
  </si>
  <si>
    <t>NATACION ESPECIAL</t>
  </si>
  <si>
    <t xml:space="preserve">  4-5-6-7 PM</t>
  </si>
  <si>
    <t xml:space="preserve">    8-9-10-11 AM    12 PM</t>
  </si>
  <si>
    <t>1-2-3 PM</t>
  </si>
  <si>
    <t>INSCRIPCIÓN $400</t>
  </si>
  <si>
    <t>NATACION INDIVIDUAL</t>
  </si>
  <si>
    <t>NATACION GRUPAL</t>
  </si>
  <si>
    <t>"Con base en la cartera vigente a enero de 2026 y la frecuencia de servicio por cliente , se ha implementado un ajuste para aplicar aumento mayor al 10% en el margen de todas las áreas, para mantener homolgados la aplicación de precios por frecuencia y horario de 2 a 3vxs, y considerandoq ue actuamente no se tienen clientes con servicio con mayor frecuencia</t>
  </si>
  <si>
    <t>NADO LIBRE</t>
  </si>
  <si>
    <t>LUNES A VIERNES</t>
  </si>
  <si>
    <t>NOTA:</t>
  </si>
  <si>
    <t>PARA EL COSTEO DE PRECIOS DE FUNDACIÒN SE TOMARÀ DE BASE</t>
  </si>
  <si>
    <t>EL PRECIO HORARIO "A" DE 1VXS ELEVADO A LAS VECES `POR SEMANA</t>
  </si>
  <si>
    <t>CORRESPONDIENTE DEL SERVICIO Y SE DIVIDIRÀ ENTRE EL NUMERO DE PX DEL GRUPO PARA EL COSTRO  POR PACIENTE.</t>
  </si>
  <si>
    <t>ESTO DEBIDO A LA VARIACIÒN DE PRECIOS EN MAYOR FRECUENCIA DEBISO A LOS DESCUENTOS ESPACIALES PARA</t>
  </si>
  <si>
    <t>LOS CLIENTES PRIVADOS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</si>
</sst>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_-&quot;$&quot;* #,##0_-;\-&quot;$&quot;* #,##0_-;_-&quot;$&quot;* &quot;-&quot;??_-;_-@_-"/>
    <numFmt numFmtId="165" formatCode="_-* #,##0_-;\-* #,##0_-;_-* &quot;-&quot;??_-;_-@_-"/>
    <numFmt numFmtId="166" formatCode="&quot;$&quot;#,##0.00"/>
    <numFmt numFmtId="167" formatCode="&quot;$&quot;#,##0"/>
  </numFmts>
  <fonts count="8" x14ac:knownFonts="1">
    <font>
      <sz val="11"/>
      <color theme="1"/>
      <name val="Calibri"/>
      <family val="2"/>
      <scheme val="minor"/>
    </font>
    <font>
      <sz val="11"/>
      <color theme="1"/>
      <name val="Calibri"/>
      <family val="2"/>
      <scheme val="minor"/>
    </font>
    <font>
      <b/>
      <sz val="10"/>
      <name val="Arial"/>
      <family val="2"/>
    </font>
    <font>
      <sz val="10"/>
      <name val="Arial"/>
      <family val="2"/>
    </font>
    <font>
      <b/>
      <sz val="8"/>
      <name val="Arial"/>
      <family val="2"/>
    </font>
    <font>
      <sz val="10"/>
      <color rgb="FFFF0000"/>
      <name val="Arial"/>
      <family val="2"/>
    </font>
    <font>
      <b/>
      <sz val="9"/>
      <color indexed="81"/>
      <name val="Tahoma"/>
      <family val="2"/>
    </font>
    <font>
      <sz val="9"/>
      <color indexed="81"/>
      <name val="Tahoma"/>
      <family val="2"/>
    </font>
  </fonts>
  <fills count="3">
    <fill>
      <patternFill patternType="none"/>
    </fill>
    <fill>
      <patternFill patternType="gray125"/>
    </fill>
    <fill>
      <patternFill patternType="solid">
        <fgColor theme="0" tint="-0.14999847407452621"/>
        <bgColor indexed="64"/>
      </patternFill>
    </fill>
  </fills>
  <borders count="1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3" fillId="0" borderId="0"/>
  </cellStyleXfs>
  <cellXfs count="99">
    <xf numFmtId="0" fontId="0" fillId="0" borderId="0" xfId="0"/>
    <xf numFmtId="43" fontId="0" fillId="0" borderId="0" xfId="1" applyFont="1"/>
    <xf numFmtId="0" fontId="2" fillId="0" borderId="0" xfId="0" applyFont="1" applyAlignment="1">
      <alignment horizontal="center" vertical="top" wrapText="1"/>
    </xf>
    <xf numFmtId="0" fontId="3" fillId="0" borderId="0" xfId="0" applyFont="1" applyAlignment="1">
      <alignment wrapText="1"/>
    </xf>
    <xf numFmtId="0" fontId="3" fillId="0" borderId="0" xfId="4"/>
    <xf numFmtId="43" fontId="2" fillId="0" borderId="0" xfId="1" applyFont="1" applyBorder="1" applyAlignment="1">
      <alignment horizontal="center"/>
    </xf>
    <xf numFmtId="165" fontId="3" fillId="0" borderId="0" xfId="1" applyNumberFormat="1" applyFont="1"/>
    <xf numFmtId="0" fontId="3" fillId="0" borderId="0" xfId="0" applyFont="1"/>
    <xf numFmtId="0" fontId="2" fillId="0" borderId="0" xfId="4" applyFont="1"/>
    <xf numFmtId="164" fontId="3" fillId="0" borderId="8" xfId="2" applyNumberFormat="1" applyFont="1" applyFill="1" applyBorder="1"/>
    <xf numFmtId="0" fontId="3" fillId="0" borderId="9" xfId="4" applyBorder="1" applyAlignment="1">
      <alignment horizontal="center"/>
    </xf>
    <xf numFmtId="43" fontId="3" fillId="0" borderId="0" xfId="1" applyFont="1" applyFill="1" applyBorder="1" applyAlignment="1">
      <alignment horizontal="center"/>
    </xf>
    <xf numFmtId="165" fontId="3" fillId="0" borderId="0" xfId="1" applyNumberFormat="1" applyFont="1" applyFill="1"/>
    <xf numFmtId="164" fontId="3" fillId="0" borderId="8" xfId="2" applyNumberFormat="1" applyFont="1" applyFill="1" applyBorder="1" applyAlignment="1">
      <alignment horizontal="center"/>
    </xf>
    <xf numFmtId="164" fontId="3" fillId="0" borderId="8" xfId="2" applyNumberFormat="1" applyFont="1" applyFill="1" applyBorder="1" applyAlignment="1">
      <alignment horizontal="center" vertical="center"/>
    </xf>
    <xf numFmtId="9" fontId="3" fillId="0" borderId="0" xfId="3" applyFont="1" applyFill="1"/>
    <xf numFmtId="0" fontId="2" fillId="0" borderId="0" xfId="0" applyFont="1"/>
    <xf numFmtId="43" fontId="3" fillId="0" borderId="0" xfId="1" applyFont="1"/>
    <xf numFmtId="164" fontId="3" fillId="0" borderId="8" xfId="2" applyNumberFormat="1" applyFont="1" applyBorder="1" applyAlignment="1">
      <alignment horizontal="center"/>
    </xf>
    <xf numFmtId="43" fontId="3" fillId="0" borderId="0" xfId="1" applyFont="1" applyBorder="1" applyAlignment="1">
      <alignment horizontal="center"/>
    </xf>
    <xf numFmtId="164" fontId="3" fillId="0" borderId="8" xfId="2" applyNumberFormat="1" applyFont="1" applyBorder="1" applyAlignment="1">
      <alignment vertical="center"/>
    </xf>
    <xf numFmtId="164" fontId="2" fillId="0" borderId="8" xfId="2" applyNumberFormat="1" applyFont="1" applyBorder="1" applyAlignment="1">
      <alignment vertical="center"/>
    </xf>
    <xf numFmtId="0" fontId="2" fillId="0" borderId="9" xfId="4" applyFont="1" applyBorder="1" applyAlignment="1">
      <alignment horizontal="center"/>
    </xf>
    <xf numFmtId="164" fontId="3" fillId="0" borderId="10" xfId="2" applyNumberFormat="1" applyFont="1" applyBorder="1" applyAlignment="1">
      <alignment horizontal="center"/>
    </xf>
    <xf numFmtId="0" fontId="3" fillId="0" borderId="11" xfId="4" applyBorder="1" applyAlignment="1">
      <alignment horizontal="center"/>
    </xf>
    <xf numFmtId="164" fontId="3" fillId="0" borderId="10" xfId="2" applyNumberFormat="1" applyFont="1" applyBorder="1" applyAlignment="1">
      <alignment horizontal="left"/>
    </xf>
    <xf numFmtId="164" fontId="3" fillId="0" borderId="0" xfId="2" applyNumberFormat="1" applyFont="1" applyBorder="1" applyAlignment="1">
      <alignment horizontal="center"/>
    </xf>
    <xf numFmtId="0" fontId="3" fillId="0" borderId="0" xfId="4" applyAlignment="1">
      <alignment horizontal="center"/>
    </xf>
    <xf numFmtId="164" fontId="3" fillId="0" borderId="0" xfId="2" applyNumberFormat="1" applyFont="1" applyBorder="1" applyAlignment="1">
      <alignment horizontal="left"/>
    </xf>
    <xf numFmtId="166" fontId="2" fillId="0" borderId="0" xfId="4" applyNumberFormat="1" applyFont="1" applyAlignment="1">
      <alignment horizontal="left"/>
    </xf>
    <xf numFmtId="165" fontId="3" fillId="0" borderId="0" xfId="1" applyNumberFormat="1" applyFont="1" applyBorder="1"/>
    <xf numFmtId="164" fontId="3" fillId="0" borderId="0" xfId="2" applyNumberFormat="1" applyFont="1" applyBorder="1"/>
    <xf numFmtId="0" fontId="2" fillId="0" borderId="0" xfId="4" applyFont="1" applyAlignment="1">
      <alignment horizontal="center"/>
    </xf>
    <xf numFmtId="166" fontId="3" fillId="0" borderId="0" xfId="2" applyNumberFormat="1" applyFont="1" applyBorder="1" applyAlignment="1">
      <alignment vertical="center"/>
    </xf>
    <xf numFmtId="164" fontId="3" fillId="0" borderId="0" xfId="2" applyNumberFormat="1" applyFont="1" applyBorder="1" applyAlignment="1">
      <alignment vertical="center"/>
    </xf>
    <xf numFmtId="43" fontId="3" fillId="0" borderId="0" xfId="1" applyFont="1" applyBorder="1" applyAlignment="1">
      <alignment vertical="center"/>
    </xf>
    <xf numFmtId="165" fontId="3" fillId="0" borderId="0" xfId="1" applyNumberFormat="1" applyFont="1" applyBorder="1" applyAlignment="1">
      <alignment vertical="center"/>
    </xf>
    <xf numFmtId="43" fontId="4" fillId="0" borderId="0" xfId="1" applyFont="1" applyBorder="1" applyAlignment="1">
      <alignment horizontal="center"/>
    </xf>
    <xf numFmtId="164" fontId="3" fillId="0" borderId="8" xfId="2" applyNumberFormat="1" applyFont="1" applyBorder="1"/>
    <xf numFmtId="0" fontId="3" fillId="0" borderId="9" xfId="4" applyBorder="1"/>
    <xf numFmtId="43" fontId="3" fillId="0" borderId="0" xfId="1" applyFont="1" applyBorder="1"/>
    <xf numFmtId="164" fontId="3" fillId="0" borderId="13" xfId="2" applyNumberFormat="1" applyFont="1" applyBorder="1"/>
    <xf numFmtId="0" fontId="3" fillId="0" borderId="14" xfId="4" applyBorder="1"/>
    <xf numFmtId="43" fontId="5" fillId="0" borderId="0" xfId="1" applyFont="1" applyFill="1" applyBorder="1" applyAlignment="1">
      <alignment horizontal="center"/>
    </xf>
    <xf numFmtId="9" fontId="5" fillId="0" borderId="0" xfId="3" applyFont="1" applyFill="1"/>
    <xf numFmtId="0" fontId="3" fillId="0" borderId="9" xfId="0" applyFont="1" applyBorder="1" applyAlignment="1">
      <alignment horizontal="center"/>
    </xf>
    <xf numFmtId="0" fontId="3" fillId="0" borderId="9" xfId="0" applyFont="1" applyBorder="1"/>
    <xf numFmtId="164" fontId="3" fillId="0" borderId="6" xfId="2" applyNumberFormat="1" applyFont="1" applyFill="1" applyBorder="1" applyAlignment="1">
      <alignment horizontal="center"/>
    </xf>
    <xf numFmtId="0" fontId="3" fillId="0" borderId="7" xfId="4" applyBorder="1" applyAlignment="1">
      <alignment horizontal="center"/>
    </xf>
    <xf numFmtId="164" fontId="3" fillId="0" borderId="8" xfId="2" applyNumberFormat="1" applyFont="1" applyBorder="1" applyAlignment="1">
      <alignment horizontal="right"/>
    </xf>
    <xf numFmtId="167" fontId="3" fillId="0" borderId="9" xfId="1" applyNumberFormat="1" applyFont="1" applyBorder="1" applyAlignment="1">
      <alignment horizontal="center"/>
    </xf>
    <xf numFmtId="167" fontId="3" fillId="0" borderId="11" xfId="1" applyNumberFormat="1" applyFont="1" applyBorder="1" applyAlignment="1">
      <alignment horizontal="center"/>
    </xf>
    <xf numFmtId="0" fontId="3" fillId="0" borderId="0" xfId="0" applyFont="1" applyAlignment="1">
      <alignment vertical="center" wrapText="1"/>
    </xf>
    <xf numFmtId="0" fontId="3" fillId="0" borderId="14" xfId="4" applyBorder="1" applyAlignment="1">
      <alignment horizontal="center"/>
    </xf>
    <xf numFmtId="167" fontId="3" fillId="0" borderId="0" xfId="1" applyNumberFormat="1" applyFont="1" applyBorder="1" applyAlignment="1">
      <alignment horizontal="center"/>
    </xf>
    <xf numFmtId="165" fontId="3" fillId="0" borderId="0" xfId="1" applyNumberFormat="1" applyFont="1" applyAlignment="1">
      <alignment horizontal="center"/>
    </xf>
    <xf numFmtId="164" fontId="3" fillId="0" borderId="13" xfId="2" applyNumberFormat="1" applyFont="1" applyBorder="1" applyAlignment="1">
      <alignment horizontal="center"/>
    </xf>
    <xf numFmtId="167" fontId="3" fillId="0" borderId="14" xfId="1" applyNumberFormat="1" applyFont="1" applyBorder="1" applyAlignment="1">
      <alignment horizontal="center"/>
    </xf>
    <xf numFmtId="0" fontId="3" fillId="0" borderId="0" xfId="0" applyFont="1" applyAlignment="1">
      <alignment horizontal="center"/>
    </xf>
    <xf numFmtId="165" fontId="3" fillId="0" borderId="0" xfId="1" applyNumberFormat="1" applyFont="1" applyBorder="1" applyAlignment="1">
      <alignment horizontal="center"/>
    </xf>
    <xf numFmtId="167" fontId="3" fillId="0" borderId="0" xfId="1" applyNumberFormat="1" applyFont="1" applyAlignment="1">
      <alignment horizontal="center"/>
    </xf>
    <xf numFmtId="164" fontId="3" fillId="0" borderId="10" xfId="2" applyNumberFormat="1" applyFont="1" applyBorder="1" applyAlignment="1">
      <alignment horizontal="right"/>
    </xf>
    <xf numFmtId="165" fontId="3" fillId="0" borderId="11" xfId="1" applyNumberFormat="1" applyFont="1" applyBorder="1" applyAlignment="1">
      <alignment horizontal="center"/>
    </xf>
    <xf numFmtId="165" fontId="3" fillId="0" borderId="14" xfId="1" applyNumberFormat="1" applyFont="1" applyBorder="1" applyAlignment="1">
      <alignment horizontal="center"/>
    </xf>
    <xf numFmtId="165" fontId="3" fillId="0" borderId="14" xfId="1" applyNumberFormat="1" applyFont="1" applyBorder="1"/>
    <xf numFmtId="164" fontId="3" fillId="0" borderId="0" xfId="2" applyNumberFormat="1" applyFont="1" applyAlignment="1">
      <alignment horizontal="center"/>
    </xf>
    <xf numFmtId="43" fontId="3" fillId="0" borderId="0" xfId="1" applyFont="1" applyAlignment="1">
      <alignment horizontal="center"/>
    </xf>
    <xf numFmtId="164" fontId="3" fillId="0" borderId="0" xfId="2" applyNumberFormat="1" applyFont="1" applyAlignment="1">
      <alignment horizontal="right"/>
    </xf>
    <xf numFmtId="164" fontId="3" fillId="0" borderId="0" xfId="2" applyNumberFormat="1" applyFont="1"/>
    <xf numFmtId="0" fontId="2" fillId="0" borderId="0" xfId="4" applyFont="1" applyAlignment="1">
      <alignment horizontal="center" vertical="center" wrapText="1"/>
    </xf>
    <xf numFmtId="0" fontId="2" fillId="0" borderId="6" xfId="4" applyFont="1" applyBorder="1" applyAlignment="1">
      <alignment horizontal="center"/>
    </xf>
    <xf numFmtId="0" fontId="2" fillId="0" borderId="7" xfId="4" applyFont="1" applyBorder="1" applyAlignment="1">
      <alignment horizontal="center"/>
    </xf>
    <xf numFmtId="0" fontId="2" fillId="0" borderId="0" xfId="0" applyFont="1" applyAlignment="1">
      <alignment horizontal="center" vertical="center" wrapText="1"/>
    </xf>
    <xf numFmtId="165" fontId="2" fillId="0" borderId="6" xfId="1" applyNumberFormat="1" applyFont="1" applyBorder="1" applyAlignment="1">
      <alignment horizontal="center"/>
    </xf>
    <xf numFmtId="165" fontId="2" fillId="0" borderId="7" xfId="1" applyNumberFormat="1" applyFont="1" applyBorder="1" applyAlignment="1">
      <alignment horizontal="center"/>
    </xf>
    <xf numFmtId="165" fontId="4" fillId="0" borderId="6" xfId="1" applyNumberFormat="1" applyFont="1" applyBorder="1" applyAlignment="1">
      <alignment horizontal="center"/>
    </xf>
    <xf numFmtId="165" fontId="4" fillId="0" borderId="7" xfId="1" applyNumberFormat="1" applyFont="1" applyBorder="1" applyAlignment="1">
      <alignment horizontal="center"/>
    </xf>
    <xf numFmtId="0" fontId="4" fillId="0" borderId="6" xfId="4" applyFont="1" applyBorder="1" applyAlignment="1">
      <alignment horizontal="center"/>
    </xf>
    <xf numFmtId="0" fontId="4" fillId="0" borderId="7" xfId="4" applyFont="1" applyBorder="1" applyAlignment="1">
      <alignment horizontal="center"/>
    </xf>
    <xf numFmtId="18" fontId="2" fillId="0" borderId="6" xfId="4" applyNumberFormat="1" applyFont="1" applyBorder="1" applyAlignment="1">
      <alignment horizontal="center"/>
    </xf>
    <xf numFmtId="18" fontId="2" fillId="0" borderId="7" xfId="4" applyNumberFormat="1" applyFont="1" applyBorder="1" applyAlignment="1">
      <alignment horizontal="center"/>
    </xf>
    <xf numFmtId="0" fontId="2" fillId="2" borderId="1" xfId="4" applyFont="1" applyFill="1" applyBorder="1" applyAlignment="1">
      <alignment horizontal="center"/>
    </xf>
    <xf numFmtId="0" fontId="2" fillId="2" borderId="2" xfId="4" applyFont="1" applyFill="1" applyBorder="1" applyAlignment="1">
      <alignment horizontal="center"/>
    </xf>
    <xf numFmtId="0" fontId="2" fillId="2" borderId="3" xfId="4" applyFont="1" applyFill="1" applyBorder="1" applyAlignment="1">
      <alignment horizontal="center"/>
    </xf>
    <xf numFmtId="0" fontId="2" fillId="0" borderId="4" xfId="4" applyFont="1" applyBorder="1" applyAlignment="1">
      <alignment horizontal="center"/>
    </xf>
    <xf numFmtId="0" fontId="2" fillId="0" borderId="5" xfId="4" applyFont="1" applyBorder="1" applyAlignment="1">
      <alignment horizontal="center"/>
    </xf>
    <xf numFmtId="0" fontId="2" fillId="0" borderId="10" xfId="4" applyFont="1" applyBorder="1" applyAlignment="1">
      <alignment horizontal="center"/>
    </xf>
    <xf numFmtId="0" fontId="2" fillId="0" borderId="11" xfId="4" applyFont="1" applyBorder="1" applyAlignment="1">
      <alignment horizontal="center"/>
    </xf>
    <xf numFmtId="0" fontId="2" fillId="2" borderId="15" xfId="4" applyFont="1" applyFill="1" applyBorder="1" applyAlignment="1">
      <alignment horizontal="center"/>
    </xf>
    <xf numFmtId="0" fontId="2" fillId="2" borderId="16" xfId="4" applyFont="1" applyFill="1" applyBorder="1" applyAlignment="1">
      <alignment horizontal="center"/>
    </xf>
    <xf numFmtId="0" fontId="2" fillId="2" borderId="17" xfId="4" applyFont="1" applyFill="1" applyBorder="1" applyAlignment="1">
      <alignment horizontal="center"/>
    </xf>
    <xf numFmtId="0" fontId="2" fillId="0" borderId="0" xfId="0" applyFont="1" applyAlignment="1">
      <alignment horizontal="center"/>
    </xf>
    <xf numFmtId="164" fontId="3" fillId="0" borderId="0" xfId="2" applyNumberFormat="1" applyFont="1" applyAlignment="1">
      <alignment horizontal="center"/>
    </xf>
    <xf numFmtId="0" fontId="2" fillId="2" borderId="12" xfId="4" applyFont="1" applyFill="1" applyBorder="1" applyAlignment="1">
      <alignment horizont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164" fontId="3" fillId="0" borderId="6" xfId="2" applyNumberFormat="1" applyFont="1" applyFill="1" applyBorder="1" applyAlignment="1">
      <alignment horizontal="center"/>
    </xf>
    <xf numFmtId="164" fontId="3" fillId="0" borderId="7" xfId="2" applyNumberFormat="1" applyFont="1" applyFill="1" applyBorder="1" applyAlignment="1">
      <alignment horizontal="center"/>
    </xf>
  </cellXfs>
  <cellStyles count="5">
    <cellStyle name="Millares" xfId="1" builtinId="3"/>
    <cellStyle name="Moneda" xfId="2" builtinId="4"/>
    <cellStyle name="Normal" xfId="0" builtinId="0"/>
    <cellStyle name="Normal 2" xfId="4" xr:uid="{00000000-0005-0000-0000-00000300000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23"/>
  <sheetViews>
    <sheetView tabSelected="1" zoomScale="76" zoomScaleNormal="76" workbookViewId="0">
      <selection activeCell="R12" sqref="R12"/>
    </sheetView>
  </sheetViews>
  <sheetFormatPr baseColWidth="10" defaultRowHeight="14.4" x14ac:dyDescent="0.3"/>
  <cols>
    <col min="1" max="1" width="13.33203125" style="7" customWidth="1"/>
    <col min="2" max="2" width="42" style="7" customWidth="1"/>
    <col min="3" max="3" width="10.44140625" style="68" customWidth="1"/>
    <col min="4" max="4" width="9" style="7" customWidth="1"/>
    <col min="5" max="5" width="9" style="17" hidden="1" customWidth="1"/>
    <col min="6" max="6" width="10.109375" style="6" hidden="1" customWidth="1"/>
    <col min="7" max="7" width="4.33203125" style="6" customWidth="1"/>
    <col min="8" max="8" width="11.5546875" style="68" customWidth="1"/>
    <col min="9" max="9" width="7" style="7" customWidth="1"/>
    <col min="10" max="10" width="9" style="17" hidden="1" customWidth="1"/>
    <col min="11" max="11" width="9.33203125" style="7" hidden="1" customWidth="1"/>
    <col min="12" max="12" width="2.6640625" style="7" customWidth="1"/>
    <col min="13" max="13" width="11.109375" style="68" customWidth="1"/>
    <col min="14" max="14" width="10.88671875" style="7" customWidth="1"/>
    <col min="15" max="15" width="11.44140625" style="1" hidden="1" customWidth="1"/>
    <col min="16" max="16" width="11.44140625" hidden="1" customWidth="1"/>
    <col min="257" max="257" width="13.33203125" customWidth="1"/>
    <col min="258" max="258" width="42" customWidth="1"/>
    <col min="259" max="259" width="10.44140625" customWidth="1"/>
    <col min="260" max="261" width="9" customWidth="1"/>
    <col min="262" max="262" width="10.109375" customWidth="1"/>
    <col min="263" max="263" width="4.33203125" customWidth="1"/>
    <col min="264" max="264" width="11.5546875" customWidth="1"/>
    <col min="265" max="265" width="7" customWidth="1"/>
    <col min="266" max="266" width="9" customWidth="1"/>
    <col min="267" max="267" width="9.33203125" customWidth="1"/>
    <col min="268" max="268" width="2.6640625" customWidth="1"/>
    <col min="269" max="269" width="11.109375" customWidth="1"/>
    <col min="270" max="270" width="10.88671875" customWidth="1"/>
    <col min="271" max="272" width="11.44140625" customWidth="1"/>
    <col min="513" max="513" width="13.33203125" customWidth="1"/>
    <col min="514" max="514" width="42" customWidth="1"/>
    <col min="515" max="515" width="10.44140625" customWidth="1"/>
    <col min="516" max="517" width="9" customWidth="1"/>
    <col min="518" max="518" width="10.109375" customWidth="1"/>
    <col min="519" max="519" width="4.33203125" customWidth="1"/>
    <col min="520" max="520" width="11.5546875" customWidth="1"/>
    <col min="521" max="521" width="7" customWidth="1"/>
    <col min="522" max="522" width="9" customWidth="1"/>
    <col min="523" max="523" width="9.33203125" customWidth="1"/>
    <col min="524" max="524" width="2.6640625" customWidth="1"/>
    <col min="525" max="525" width="11.109375" customWidth="1"/>
    <col min="526" max="526" width="10.88671875" customWidth="1"/>
    <col min="527" max="528" width="11.44140625" customWidth="1"/>
    <col min="769" max="769" width="13.33203125" customWidth="1"/>
    <col min="770" max="770" width="42" customWidth="1"/>
    <col min="771" max="771" width="10.44140625" customWidth="1"/>
    <col min="772" max="773" width="9" customWidth="1"/>
    <col min="774" max="774" width="10.109375" customWidth="1"/>
    <col min="775" max="775" width="4.33203125" customWidth="1"/>
    <col min="776" max="776" width="11.5546875" customWidth="1"/>
    <col min="777" max="777" width="7" customWidth="1"/>
    <col min="778" max="778" width="9" customWidth="1"/>
    <col min="779" max="779" width="9.33203125" customWidth="1"/>
    <col min="780" max="780" width="2.6640625" customWidth="1"/>
    <col min="781" max="781" width="11.109375" customWidth="1"/>
    <col min="782" max="782" width="10.88671875" customWidth="1"/>
    <col min="783" max="784" width="11.44140625" customWidth="1"/>
    <col min="1025" max="1025" width="13.33203125" customWidth="1"/>
    <col min="1026" max="1026" width="42" customWidth="1"/>
    <col min="1027" max="1027" width="10.44140625" customWidth="1"/>
    <col min="1028" max="1029" width="9" customWidth="1"/>
    <col min="1030" max="1030" width="10.109375" customWidth="1"/>
    <col min="1031" max="1031" width="4.33203125" customWidth="1"/>
    <col min="1032" max="1032" width="11.5546875" customWidth="1"/>
    <col min="1033" max="1033" width="7" customWidth="1"/>
    <col min="1034" max="1034" width="9" customWidth="1"/>
    <col min="1035" max="1035" width="9.33203125" customWidth="1"/>
    <col min="1036" max="1036" width="2.6640625" customWidth="1"/>
    <col min="1037" max="1037" width="11.109375" customWidth="1"/>
    <col min="1038" max="1038" width="10.88671875" customWidth="1"/>
    <col min="1039" max="1040" width="11.44140625" customWidth="1"/>
    <col min="1281" max="1281" width="13.33203125" customWidth="1"/>
    <col min="1282" max="1282" width="42" customWidth="1"/>
    <col min="1283" max="1283" width="10.44140625" customWidth="1"/>
    <col min="1284" max="1285" width="9" customWidth="1"/>
    <col min="1286" max="1286" width="10.109375" customWidth="1"/>
    <col min="1287" max="1287" width="4.33203125" customWidth="1"/>
    <col min="1288" max="1288" width="11.5546875" customWidth="1"/>
    <col min="1289" max="1289" width="7" customWidth="1"/>
    <col min="1290" max="1290" width="9" customWidth="1"/>
    <col min="1291" max="1291" width="9.33203125" customWidth="1"/>
    <col min="1292" max="1292" width="2.6640625" customWidth="1"/>
    <col min="1293" max="1293" width="11.109375" customWidth="1"/>
    <col min="1294" max="1294" width="10.88671875" customWidth="1"/>
    <col min="1295" max="1296" width="11.44140625" customWidth="1"/>
    <col min="1537" max="1537" width="13.33203125" customWidth="1"/>
    <col min="1538" max="1538" width="42" customWidth="1"/>
    <col min="1539" max="1539" width="10.44140625" customWidth="1"/>
    <col min="1540" max="1541" width="9" customWidth="1"/>
    <col min="1542" max="1542" width="10.109375" customWidth="1"/>
    <col min="1543" max="1543" width="4.33203125" customWidth="1"/>
    <col min="1544" max="1544" width="11.5546875" customWidth="1"/>
    <col min="1545" max="1545" width="7" customWidth="1"/>
    <col min="1546" max="1546" width="9" customWidth="1"/>
    <col min="1547" max="1547" width="9.33203125" customWidth="1"/>
    <col min="1548" max="1548" width="2.6640625" customWidth="1"/>
    <col min="1549" max="1549" width="11.109375" customWidth="1"/>
    <col min="1550" max="1550" width="10.88671875" customWidth="1"/>
    <col min="1551" max="1552" width="11.44140625" customWidth="1"/>
    <col min="1793" max="1793" width="13.33203125" customWidth="1"/>
    <col min="1794" max="1794" width="42" customWidth="1"/>
    <col min="1795" max="1795" width="10.44140625" customWidth="1"/>
    <col min="1796" max="1797" width="9" customWidth="1"/>
    <col min="1798" max="1798" width="10.109375" customWidth="1"/>
    <col min="1799" max="1799" width="4.33203125" customWidth="1"/>
    <col min="1800" max="1800" width="11.5546875" customWidth="1"/>
    <col min="1801" max="1801" width="7" customWidth="1"/>
    <col min="1802" max="1802" width="9" customWidth="1"/>
    <col min="1803" max="1803" width="9.33203125" customWidth="1"/>
    <col min="1804" max="1804" width="2.6640625" customWidth="1"/>
    <col min="1805" max="1805" width="11.109375" customWidth="1"/>
    <col min="1806" max="1806" width="10.88671875" customWidth="1"/>
    <col min="1807" max="1808" width="11.44140625" customWidth="1"/>
    <col min="2049" max="2049" width="13.33203125" customWidth="1"/>
    <col min="2050" max="2050" width="42" customWidth="1"/>
    <col min="2051" max="2051" width="10.44140625" customWidth="1"/>
    <col min="2052" max="2053" width="9" customWidth="1"/>
    <col min="2054" max="2054" width="10.109375" customWidth="1"/>
    <col min="2055" max="2055" width="4.33203125" customWidth="1"/>
    <col min="2056" max="2056" width="11.5546875" customWidth="1"/>
    <col min="2057" max="2057" width="7" customWidth="1"/>
    <col min="2058" max="2058" width="9" customWidth="1"/>
    <col min="2059" max="2059" width="9.33203125" customWidth="1"/>
    <col min="2060" max="2060" width="2.6640625" customWidth="1"/>
    <col min="2061" max="2061" width="11.109375" customWidth="1"/>
    <col min="2062" max="2062" width="10.88671875" customWidth="1"/>
    <col min="2063" max="2064" width="11.44140625" customWidth="1"/>
    <col min="2305" max="2305" width="13.33203125" customWidth="1"/>
    <col min="2306" max="2306" width="42" customWidth="1"/>
    <col min="2307" max="2307" width="10.44140625" customWidth="1"/>
    <col min="2308" max="2309" width="9" customWidth="1"/>
    <col min="2310" max="2310" width="10.109375" customWidth="1"/>
    <col min="2311" max="2311" width="4.33203125" customWidth="1"/>
    <col min="2312" max="2312" width="11.5546875" customWidth="1"/>
    <col min="2313" max="2313" width="7" customWidth="1"/>
    <col min="2314" max="2314" width="9" customWidth="1"/>
    <col min="2315" max="2315" width="9.33203125" customWidth="1"/>
    <col min="2316" max="2316" width="2.6640625" customWidth="1"/>
    <col min="2317" max="2317" width="11.109375" customWidth="1"/>
    <col min="2318" max="2318" width="10.88671875" customWidth="1"/>
    <col min="2319" max="2320" width="11.44140625" customWidth="1"/>
    <col min="2561" max="2561" width="13.33203125" customWidth="1"/>
    <col min="2562" max="2562" width="42" customWidth="1"/>
    <col min="2563" max="2563" width="10.44140625" customWidth="1"/>
    <col min="2564" max="2565" width="9" customWidth="1"/>
    <col min="2566" max="2566" width="10.109375" customWidth="1"/>
    <col min="2567" max="2567" width="4.33203125" customWidth="1"/>
    <col min="2568" max="2568" width="11.5546875" customWidth="1"/>
    <col min="2569" max="2569" width="7" customWidth="1"/>
    <col min="2570" max="2570" width="9" customWidth="1"/>
    <col min="2571" max="2571" width="9.33203125" customWidth="1"/>
    <col min="2572" max="2572" width="2.6640625" customWidth="1"/>
    <col min="2573" max="2573" width="11.109375" customWidth="1"/>
    <col min="2574" max="2574" width="10.88671875" customWidth="1"/>
    <col min="2575" max="2576" width="11.44140625" customWidth="1"/>
    <col min="2817" max="2817" width="13.33203125" customWidth="1"/>
    <col min="2818" max="2818" width="42" customWidth="1"/>
    <col min="2819" max="2819" width="10.44140625" customWidth="1"/>
    <col min="2820" max="2821" width="9" customWidth="1"/>
    <col min="2822" max="2822" width="10.109375" customWidth="1"/>
    <col min="2823" max="2823" width="4.33203125" customWidth="1"/>
    <col min="2824" max="2824" width="11.5546875" customWidth="1"/>
    <col min="2825" max="2825" width="7" customWidth="1"/>
    <col min="2826" max="2826" width="9" customWidth="1"/>
    <col min="2827" max="2827" width="9.33203125" customWidth="1"/>
    <col min="2828" max="2828" width="2.6640625" customWidth="1"/>
    <col min="2829" max="2829" width="11.109375" customWidth="1"/>
    <col min="2830" max="2830" width="10.88671875" customWidth="1"/>
    <col min="2831" max="2832" width="11.44140625" customWidth="1"/>
    <col min="3073" max="3073" width="13.33203125" customWidth="1"/>
    <col min="3074" max="3074" width="42" customWidth="1"/>
    <col min="3075" max="3075" width="10.44140625" customWidth="1"/>
    <col min="3076" max="3077" width="9" customWidth="1"/>
    <col min="3078" max="3078" width="10.109375" customWidth="1"/>
    <col min="3079" max="3079" width="4.33203125" customWidth="1"/>
    <col min="3080" max="3080" width="11.5546875" customWidth="1"/>
    <col min="3081" max="3081" width="7" customWidth="1"/>
    <col min="3082" max="3082" width="9" customWidth="1"/>
    <col min="3083" max="3083" width="9.33203125" customWidth="1"/>
    <col min="3084" max="3084" width="2.6640625" customWidth="1"/>
    <col min="3085" max="3085" width="11.109375" customWidth="1"/>
    <col min="3086" max="3086" width="10.88671875" customWidth="1"/>
    <col min="3087" max="3088" width="11.44140625" customWidth="1"/>
    <col min="3329" max="3329" width="13.33203125" customWidth="1"/>
    <col min="3330" max="3330" width="42" customWidth="1"/>
    <col min="3331" max="3331" width="10.44140625" customWidth="1"/>
    <col min="3332" max="3333" width="9" customWidth="1"/>
    <col min="3334" max="3334" width="10.109375" customWidth="1"/>
    <col min="3335" max="3335" width="4.33203125" customWidth="1"/>
    <col min="3336" max="3336" width="11.5546875" customWidth="1"/>
    <col min="3337" max="3337" width="7" customWidth="1"/>
    <col min="3338" max="3338" width="9" customWidth="1"/>
    <col min="3339" max="3339" width="9.33203125" customWidth="1"/>
    <col min="3340" max="3340" width="2.6640625" customWidth="1"/>
    <col min="3341" max="3341" width="11.109375" customWidth="1"/>
    <col min="3342" max="3342" width="10.88671875" customWidth="1"/>
    <col min="3343" max="3344" width="11.44140625" customWidth="1"/>
    <col min="3585" max="3585" width="13.33203125" customWidth="1"/>
    <col min="3586" max="3586" width="42" customWidth="1"/>
    <col min="3587" max="3587" width="10.44140625" customWidth="1"/>
    <col min="3588" max="3589" width="9" customWidth="1"/>
    <col min="3590" max="3590" width="10.109375" customWidth="1"/>
    <col min="3591" max="3591" width="4.33203125" customWidth="1"/>
    <col min="3592" max="3592" width="11.5546875" customWidth="1"/>
    <col min="3593" max="3593" width="7" customWidth="1"/>
    <col min="3594" max="3594" width="9" customWidth="1"/>
    <col min="3595" max="3595" width="9.33203125" customWidth="1"/>
    <col min="3596" max="3596" width="2.6640625" customWidth="1"/>
    <col min="3597" max="3597" width="11.109375" customWidth="1"/>
    <col min="3598" max="3598" width="10.88671875" customWidth="1"/>
    <col min="3599" max="3600" width="11.44140625" customWidth="1"/>
    <col min="3841" max="3841" width="13.33203125" customWidth="1"/>
    <col min="3842" max="3842" width="42" customWidth="1"/>
    <col min="3843" max="3843" width="10.44140625" customWidth="1"/>
    <col min="3844" max="3845" width="9" customWidth="1"/>
    <col min="3846" max="3846" width="10.109375" customWidth="1"/>
    <col min="3847" max="3847" width="4.33203125" customWidth="1"/>
    <col min="3848" max="3848" width="11.5546875" customWidth="1"/>
    <col min="3849" max="3849" width="7" customWidth="1"/>
    <col min="3850" max="3850" width="9" customWidth="1"/>
    <col min="3851" max="3851" width="9.33203125" customWidth="1"/>
    <col min="3852" max="3852" width="2.6640625" customWidth="1"/>
    <col min="3853" max="3853" width="11.109375" customWidth="1"/>
    <col min="3854" max="3854" width="10.88671875" customWidth="1"/>
    <col min="3855" max="3856" width="11.44140625" customWidth="1"/>
    <col min="4097" max="4097" width="13.33203125" customWidth="1"/>
    <col min="4098" max="4098" width="42" customWidth="1"/>
    <col min="4099" max="4099" width="10.44140625" customWidth="1"/>
    <col min="4100" max="4101" width="9" customWidth="1"/>
    <col min="4102" max="4102" width="10.109375" customWidth="1"/>
    <col min="4103" max="4103" width="4.33203125" customWidth="1"/>
    <col min="4104" max="4104" width="11.5546875" customWidth="1"/>
    <col min="4105" max="4105" width="7" customWidth="1"/>
    <col min="4106" max="4106" width="9" customWidth="1"/>
    <col min="4107" max="4107" width="9.33203125" customWidth="1"/>
    <col min="4108" max="4108" width="2.6640625" customWidth="1"/>
    <col min="4109" max="4109" width="11.109375" customWidth="1"/>
    <col min="4110" max="4110" width="10.88671875" customWidth="1"/>
    <col min="4111" max="4112" width="11.44140625" customWidth="1"/>
    <col min="4353" max="4353" width="13.33203125" customWidth="1"/>
    <col min="4354" max="4354" width="42" customWidth="1"/>
    <col min="4355" max="4355" width="10.44140625" customWidth="1"/>
    <col min="4356" max="4357" width="9" customWidth="1"/>
    <col min="4358" max="4358" width="10.109375" customWidth="1"/>
    <col min="4359" max="4359" width="4.33203125" customWidth="1"/>
    <col min="4360" max="4360" width="11.5546875" customWidth="1"/>
    <col min="4361" max="4361" width="7" customWidth="1"/>
    <col min="4362" max="4362" width="9" customWidth="1"/>
    <col min="4363" max="4363" width="9.33203125" customWidth="1"/>
    <col min="4364" max="4364" width="2.6640625" customWidth="1"/>
    <col min="4365" max="4365" width="11.109375" customWidth="1"/>
    <col min="4366" max="4366" width="10.88671875" customWidth="1"/>
    <col min="4367" max="4368" width="11.44140625" customWidth="1"/>
    <col min="4609" max="4609" width="13.33203125" customWidth="1"/>
    <col min="4610" max="4610" width="42" customWidth="1"/>
    <col min="4611" max="4611" width="10.44140625" customWidth="1"/>
    <col min="4612" max="4613" width="9" customWidth="1"/>
    <col min="4614" max="4614" width="10.109375" customWidth="1"/>
    <col min="4615" max="4615" width="4.33203125" customWidth="1"/>
    <col min="4616" max="4616" width="11.5546875" customWidth="1"/>
    <col min="4617" max="4617" width="7" customWidth="1"/>
    <col min="4618" max="4618" width="9" customWidth="1"/>
    <col min="4619" max="4619" width="9.33203125" customWidth="1"/>
    <col min="4620" max="4620" width="2.6640625" customWidth="1"/>
    <col min="4621" max="4621" width="11.109375" customWidth="1"/>
    <col min="4622" max="4622" width="10.88671875" customWidth="1"/>
    <col min="4623" max="4624" width="11.44140625" customWidth="1"/>
    <col min="4865" max="4865" width="13.33203125" customWidth="1"/>
    <col min="4866" max="4866" width="42" customWidth="1"/>
    <col min="4867" max="4867" width="10.44140625" customWidth="1"/>
    <col min="4868" max="4869" width="9" customWidth="1"/>
    <col min="4870" max="4870" width="10.109375" customWidth="1"/>
    <col min="4871" max="4871" width="4.33203125" customWidth="1"/>
    <col min="4872" max="4872" width="11.5546875" customWidth="1"/>
    <col min="4873" max="4873" width="7" customWidth="1"/>
    <col min="4874" max="4874" width="9" customWidth="1"/>
    <col min="4875" max="4875" width="9.33203125" customWidth="1"/>
    <col min="4876" max="4876" width="2.6640625" customWidth="1"/>
    <col min="4877" max="4877" width="11.109375" customWidth="1"/>
    <col min="4878" max="4878" width="10.88671875" customWidth="1"/>
    <col min="4879" max="4880" width="11.44140625" customWidth="1"/>
    <col min="5121" max="5121" width="13.33203125" customWidth="1"/>
    <col min="5122" max="5122" width="42" customWidth="1"/>
    <col min="5123" max="5123" width="10.44140625" customWidth="1"/>
    <col min="5124" max="5125" width="9" customWidth="1"/>
    <col min="5126" max="5126" width="10.109375" customWidth="1"/>
    <col min="5127" max="5127" width="4.33203125" customWidth="1"/>
    <col min="5128" max="5128" width="11.5546875" customWidth="1"/>
    <col min="5129" max="5129" width="7" customWidth="1"/>
    <col min="5130" max="5130" width="9" customWidth="1"/>
    <col min="5131" max="5131" width="9.33203125" customWidth="1"/>
    <col min="5132" max="5132" width="2.6640625" customWidth="1"/>
    <col min="5133" max="5133" width="11.109375" customWidth="1"/>
    <col min="5134" max="5134" width="10.88671875" customWidth="1"/>
    <col min="5135" max="5136" width="11.44140625" customWidth="1"/>
    <col min="5377" max="5377" width="13.33203125" customWidth="1"/>
    <col min="5378" max="5378" width="42" customWidth="1"/>
    <col min="5379" max="5379" width="10.44140625" customWidth="1"/>
    <col min="5380" max="5381" width="9" customWidth="1"/>
    <col min="5382" max="5382" width="10.109375" customWidth="1"/>
    <col min="5383" max="5383" width="4.33203125" customWidth="1"/>
    <col min="5384" max="5384" width="11.5546875" customWidth="1"/>
    <col min="5385" max="5385" width="7" customWidth="1"/>
    <col min="5386" max="5386" width="9" customWidth="1"/>
    <col min="5387" max="5387" width="9.33203125" customWidth="1"/>
    <col min="5388" max="5388" width="2.6640625" customWidth="1"/>
    <col min="5389" max="5389" width="11.109375" customWidth="1"/>
    <col min="5390" max="5390" width="10.88671875" customWidth="1"/>
    <col min="5391" max="5392" width="11.44140625" customWidth="1"/>
    <col min="5633" max="5633" width="13.33203125" customWidth="1"/>
    <col min="5634" max="5634" width="42" customWidth="1"/>
    <col min="5635" max="5635" width="10.44140625" customWidth="1"/>
    <col min="5636" max="5637" width="9" customWidth="1"/>
    <col min="5638" max="5638" width="10.109375" customWidth="1"/>
    <col min="5639" max="5639" width="4.33203125" customWidth="1"/>
    <col min="5640" max="5640" width="11.5546875" customWidth="1"/>
    <col min="5641" max="5641" width="7" customWidth="1"/>
    <col min="5642" max="5642" width="9" customWidth="1"/>
    <col min="5643" max="5643" width="9.33203125" customWidth="1"/>
    <col min="5644" max="5644" width="2.6640625" customWidth="1"/>
    <col min="5645" max="5645" width="11.109375" customWidth="1"/>
    <col min="5646" max="5646" width="10.88671875" customWidth="1"/>
    <col min="5647" max="5648" width="11.44140625" customWidth="1"/>
    <col min="5889" max="5889" width="13.33203125" customWidth="1"/>
    <col min="5890" max="5890" width="42" customWidth="1"/>
    <col min="5891" max="5891" width="10.44140625" customWidth="1"/>
    <col min="5892" max="5893" width="9" customWidth="1"/>
    <col min="5894" max="5894" width="10.109375" customWidth="1"/>
    <col min="5895" max="5895" width="4.33203125" customWidth="1"/>
    <col min="5896" max="5896" width="11.5546875" customWidth="1"/>
    <col min="5897" max="5897" width="7" customWidth="1"/>
    <col min="5898" max="5898" width="9" customWidth="1"/>
    <col min="5899" max="5899" width="9.33203125" customWidth="1"/>
    <col min="5900" max="5900" width="2.6640625" customWidth="1"/>
    <col min="5901" max="5901" width="11.109375" customWidth="1"/>
    <col min="5902" max="5902" width="10.88671875" customWidth="1"/>
    <col min="5903" max="5904" width="11.44140625" customWidth="1"/>
    <col min="6145" max="6145" width="13.33203125" customWidth="1"/>
    <col min="6146" max="6146" width="42" customWidth="1"/>
    <col min="6147" max="6147" width="10.44140625" customWidth="1"/>
    <col min="6148" max="6149" width="9" customWidth="1"/>
    <col min="6150" max="6150" width="10.109375" customWidth="1"/>
    <col min="6151" max="6151" width="4.33203125" customWidth="1"/>
    <col min="6152" max="6152" width="11.5546875" customWidth="1"/>
    <col min="6153" max="6153" width="7" customWidth="1"/>
    <col min="6154" max="6154" width="9" customWidth="1"/>
    <col min="6155" max="6155" width="9.33203125" customWidth="1"/>
    <col min="6156" max="6156" width="2.6640625" customWidth="1"/>
    <col min="6157" max="6157" width="11.109375" customWidth="1"/>
    <col min="6158" max="6158" width="10.88671875" customWidth="1"/>
    <col min="6159" max="6160" width="11.44140625" customWidth="1"/>
    <col min="6401" max="6401" width="13.33203125" customWidth="1"/>
    <col min="6402" max="6402" width="42" customWidth="1"/>
    <col min="6403" max="6403" width="10.44140625" customWidth="1"/>
    <col min="6404" max="6405" width="9" customWidth="1"/>
    <col min="6406" max="6406" width="10.109375" customWidth="1"/>
    <col min="6407" max="6407" width="4.33203125" customWidth="1"/>
    <col min="6408" max="6408" width="11.5546875" customWidth="1"/>
    <col min="6409" max="6409" width="7" customWidth="1"/>
    <col min="6410" max="6410" width="9" customWidth="1"/>
    <col min="6411" max="6411" width="9.33203125" customWidth="1"/>
    <col min="6412" max="6412" width="2.6640625" customWidth="1"/>
    <col min="6413" max="6413" width="11.109375" customWidth="1"/>
    <col min="6414" max="6414" width="10.88671875" customWidth="1"/>
    <col min="6415" max="6416" width="11.44140625" customWidth="1"/>
    <col min="6657" max="6657" width="13.33203125" customWidth="1"/>
    <col min="6658" max="6658" width="42" customWidth="1"/>
    <col min="6659" max="6659" width="10.44140625" customWidth="1"/>
    <col min="6660" max="6661" width="9" customWidth="1"/>
    <col min="6662" max="6662" width="10.109375" customWidth="1"/>
    <col min="6663" max="6663" width="4.33203125" customWidth="1"/>
    <col min="6664" max="6664" width="11.5546875" customWidth="1"/>
    <col min="6665" max="6665" width="7" customWidth="1"/>
    <col min="6666" max="6666" width="9" customWidth="1"/>
    <col min="6667" max="6667" width="9.33203125" customWidth="1"/>
    <col min="6668" max="6668" width="2.6640625" customWidth="1"/>
    <col min="6669" max="6669" width="11.109375" customWidth="1"/>
    <col min="6670" max="6670" width="10.88671875" customWidth="1"/>
    <col min="6671" max="6672" width="11.44140625" customWidth="1"/>
    <col min="6913" max="6913" width="13.33203125" customWidth="1"/>
    <col min="6914" max="6914" width="42" customWidth="1"/>
    <col min="6915" max="6915" width="10.44140625" customWidth="1"/>
    <col min="6916" max="6917" width="9" customWidth="1"/>
    <col min="6918" max="6918" width="10.109375" customWidth="1"/>
    <col min="6919" max="6919" width="4.33203125" customWidth="1"/>
    <col min="6920" max="6920" width="11.5546875" customWidth="1"/>
    <col min="6921" max="6921" width="7" customWidth="1"/>
    <col min="6922" max="6922" width="9" customWidth="1"/>
    <col min="6923" max="6923" width="9.33203125" customWidth="1"/>
    <col min="6924" max="6924" width="2.6640625" customWidth="1"/>
    <col min="6925" max="6925" width="11.109375" customWidth="1"/>
    <col min="6926" max="6926" width="10.88671875" customWidth="1"/>
    <col min="6927" max="6928" width="11.44140625" customWidth="1"/>
    <col min="7169" max="7169" width="13.33203125" customWidth="1"/>
    <col min="7170" max="7170" width="42" customWidth="1"/>
    <col min="7171" max="7171" width="10.44140625" customWidth="1"/>
    <col min="7172" max="7173" width="9" customWidth="1"/>
    <col min="7174" max="7174" width="10.109375" customWidth="1"/>
    <col min="7175" max="7175" width="4.33203125" customWidth="1"/>
    <col min="7176" max="7176" width="11.5546875" customWidth="1"/>
    <col min="7177" max="7177" width="7" customWidth="1"/>
    <col min="7178" max="7178" width="9" customWidth="1"/>
    <col min="7179" max="7179" width="9.33203125" customWidth="1"/>
    <col min="7180" max="7180" width="2.6640625" customWidth="1"/>
    <col min="7181" max="7181" width="11.109375" customWidth="1"/>
    <col min="7182" max="7182" width="10.88671875" customWidth="1"/>
    <col min="7183" max="7184" width="11.44140625" customWidth="1"/>
    <col min="7425" max="7425" width="13.33203125" customWidth="1"/>
    <col min="7426" max="7426" width="42" customWidth="1"/>
    <col min="7427" max="7427" width="10.44140625" customWidth="1"/>
    <col min="7428" max="7429" width="9" customWidth="1"/>
    <col min="7430" max="7430" width="10.109375" customWidth="1"/>
    <col min="7431" max="7431" width="4.33203125" customWidth="1"/>
    <col min="7432" max="7432" width="11.5546875" customWidth="1"/>
    <col min="7433" max="7433" width="7" customWidth="1"/>
    <col min="7434" max="7434" width="9" customWidth="1"/>
    <col min="7435" max="7435" width="9.33203125" customWidth="1"/>
    <col min="7436" max="7436" width="2.6640625" customWidth="1"/>
    <col min="7437" max="7437" width="11.109375" customWidth="1"/>
    <col min="7438" max="7438" width="10.88671875" customWidth="1"/>
    <col min="7439" max="7440" width="11.44140625" customWidth="1"/>
    <col min="7681" max="7681" width="13.33203125" customWidth="1"/>
    <col min="7682" max="7682" width="42" customWidth="1"/>
    <col min="7683" max="7683" width="10.44140625" customWidth="1"/>
    <col min="7684" max="7685" width="9" customWidth="1"/>
    <col min="7686" max="7686" width="10.109375" customWidth="1"/>
    <col min="7687" max="7687" width="4.33203125" customWidth="1"/>
    <col min="7688" max="7688" width="11.5546875" customWidth="1"/>
    <col min="7689" max="7689" width="7" customWidth="1"/>
    <col min="7690" max="7690" width="9" customWidth="1"/>
    <col min="7691" max="7691" width="9.33203125" customWidth="1"/>
    <col min="7692" max="7692" width="2.6640625" customWidth="1"/>
    <col min="7693" max="7693" width="11.109375" customWidth="1"/>
    <col min="7694" max="7694" width="10.88671875" customWidth="1"/>
    <col min="7695" max="7696" width="11.44140625" customWidth="1"/>
    <col min="7937" max="7937" width="13.33203125" customWidth="1"/>
    <col min="7938" max="7938" width="42" customWidth="1"/>
    <col min="7939" max="7939" width="10.44140625" customWidth="1"/>
    <col min="7940" max="7941" width="9" customWidth="1"/>
    <col min="7942" max="7942" width="10.109375" customWidth="1"/>
    <col min="7943" max="7943" width="4.33203125" customWidth="1"/>
    <col min="7944" max="7944" width="11.5546875" customWidth="1"/>
    <col min="7945" max="7945" width="7" customWidth="1"/>
    <col min="7946" max="7946" width="9" customWidth="1"/>
    <col min="7947" max="7947" width="9.33203125" customWidth="1"/>
    <col min="7948" max="7948" width="2.6640625" customWidth="1"/>
    <col min="7949" max="7949" width="11.109375" customWidth="1"/>
    <col min="7950" max="7950" width="10.88671875" customWidth="1"/>
    <col min="7951" max="7952" width="11.44140625" customWidth="1"/>
    <col min="8193" max="8193" width="13.33203125" customWidth="1"/>
    <col min="8194" max="8194" width="42" customWidth="1"/>
    <col min="8195" max="8195" width="10.44140625" customWidth="1"/>
    <col min="8196" max="8197" width="9" customWidth="1"/>
    <col min="8198" max="8198" width="10.109375" customWidth="1"/>
    <col min="8199" max="8199" width="4.33203125" customWidth="1"/>
    <col min="8200" max="8200" width="11.5546875" customWidth="1"/>
    <col min="8201" max="8201" width="7" customWidth="1"/>
    <col min="8202" max="8202" width="9" customWidth="1"/>
    <col min="8203" max="8203" width="9.33203125" customWidth="1"/>
    <col min="8204" max="8204" width="2.6640625" customWidth="1"/>
    <col min="8205" max="8205" width="11.109375" customWidth="1"/>
    <col min="8206" max="8206" width="10.88671875" customWidth="1"/>
    <col min="8207" max="8208" width="11.44140625" customWidth="1"/>
    <col min="8449" max="8449" width="13.33203125" customWidth="1"/>
    <col min="8450" max="8450" width="42" customWidth="1"/>
    <col min="8451" max="8451" width="10.44140625" customWidth="1"/>
    <col min="8452" max="8453" width="9" customWidth="1"/>
    <col min="8454" max="8454" width="10.109375" customWidth="1"/>
    <col min="8455" max="8455" width="4.33203125" customWidth="1"/>
    <col min="8456" max="8456" width="11.5546875" customWidth="1"/>
    <col min="8457" max="8457" width="7" customWidth="1"/>
    <col min="8458" max="8458" width="9" customWidth="1"/>
    <col min="8459" max="8459" width="9.33203125" customWidth="1"/>
    <col min="8460" max="8460" width="2.6640625" customWidth="1"/>
    <col min="8461" max="8461" width="11.109375" customWidth="1"/>
    <col min="8462" max="8462" width="10.88671875" customWidth="1"/>
    <col min="8463" max="8464" width="11.44140625" customWidth="1"/>
    <col min="8705" max="8705" width="13.33203125" customWidth="1"/>
    <col min="8706" max="8706" width="42" customWidth="1"/>
    <col min="8707" max="8707" width="10.44140625" customWidth="1"/>
    <col min="8708" max="8709" width="9" customWidth="1"/>
    <col min="8710" max="8710" width="10.109375" customWidth="1"/>
    <col min="8711" max="8711" width="4.33203125" customWidth="1"/>
    <col min="8712" max="8712" width="11.5546875" customWidth="1"/>
    <col min="8713" max="8713" width="7" customWidth="1"/>
    <col min="8714" max="8714" width="9" customWidth="1"/>
    <col min="8715" max="8715" width="9.33203125" customWidth="1"/>
    <col min="8716" max="8716" width="2.6640625" customWidth="1"/>
    <col min="8717" max="8717" width="11.109375" customWidth="1"/>
    <col min="8718" max="8718" width="10.88671875" customWidth="1"/>
    <col min="8719" max="8720" width="11.44140625" customWidth="1"/>
    <col min="8961" max="8961" width="13.33203125" customWidth="1"/>
    <col min="8962" max="8962" width="42" customWidth="1"/>
    <col min="8963" max="8963" width="10.44140625" customWidth="1"/>
    <col min="8964" max="8965" width="9" customWidth="1"/>
    <col min="8966" max="8966" width="10.109375" customWidth="1"/>
    <col min="8967" max="8967" width="4.33203125" customWidth="1"/>
    <col min="8968" max="8968" width="11.5546875" customWidth="1"/>
    <col min="8969" max="8969" width="7" customWidth="1"/>
    <col min="8970" max="8970" width="9" customWidth="1"/>
    <col min="8971" max="8971" width="9.33203125" customWidth="1"/>
    <col min="8972" max="8972" width="2.6640625" customWidth="1"/>
    <col min="8973" max="8973" width="11.109375" customWidth="1"/>
    <col min="8974" max="8974" width="10.88671875" customWidth="1"/>
    <col min="8975" max="8976" width="11.44140625" customWidth="1"/>
    <col min="9217" max="9217" width="13.33203125" customWidth="1"/>
    <col min="9218" max="9218" width="42" customWidth="1"/>
    <col min="9219" max="9219" width="10.44140625" customWidth="1"/>
    <col min="9220" max="9221" width="9" customWidth="1"/>
    <col min="9222" max="9222" width="10.109375" customWidth="1"/>
    <col min="9223" max="9223" width="4.33203125" customWidth="1"/>
    <col min="9224" max="9224" width="11.5546875" customWidth="1"/>
    <col min="9225" max="9225" width="7" customWidth="1"/>
    <col min="9226" max="9226" width="9" customWidth="1"/>
    <col min="9227" max="9227" width="9.33203125" customWidth="1"/>
    <col min="9228" max="9228" width="2.6640625" customWidth="1"/>
    <col min="9229" max="9229" width="11.109375" customWidth="1"/>
    <col min="9230" max="9230" width="10.88671875" customWidth="1"/>
    <col min="9231" max="9232" width="11.44140625" customWidth="1"/>
    <col min="9473" max="9473" width="13.33203125" customWidth="1"/>
    <col min="9474" max="9474" width="42" customWidth="1"/>
    <col min="9475" max="9475" width="10.44140625" customWidth="1"/>
    <col min="9476" max="9477" width="9" customWidth="1"/>
    <col min="9478" max="9478" width="10.109375" customWidth="1"/>
    <col min="9479" max="9479" width="4.33203125" customWidth="1"/>
    <col min="9480" max="9480" width="11.5546875" customWidth="1"/>
    <col min="9481" max="9481" width="7" customWidth="1"/>
    <col min="9482" max="9482" width="9" customWidth="1"/>
    <col min="9483" max="9483" width="9.33203125" customWidth="1"/>
    <col min="9484" max="9484" width="2.6640625" customWidth="1"/>
    <col min="9485" max="9485" width="11.109375" customWidth="1"/>
    <col min="9486" max="9486" width="10.88671875" customWidth="1"/>
    <col min="9487" max="9488" width="11.44140625" customWidth="1"/>
    <col min="9729" max="9729" width="13.33203125" customWidth="1"/>
    <col min="9730" max="9730" width="42" customWidth="1"/>
    <col min="9731" max="9731" width="10.44140625" customWidth="1"/>
    <col min="9732" max="9733" width="9" customWidth="1"/>
    <col min="9734" max="9734" width="10.109375" customWidth="1"/>
    <col min="9735" max="9735" width="4.33203125" customWidth="1"/>
    <col min="9736" max="9736" width="11.5546875" customWidth="1"/>
    <col min="9737" max="9737" width="7" customWidth="1"/>
    <col min="9738" max="9738" width="9" customWidth="1"/>
    <col min="9739" max="9739" width="9.33203125" customWidth="1"/>
    <col min="9740" max="9740" width="2.6640625" customWidth="1"/>
    <col min="9741" max="9741" width="11.109375" customWidth="1"/>
    <col min="9742" max="9742" width="10.88671875" customWidth="1"/>
    <col min="9743" max="9744" width="11.44140625" customWidth="1"/>
    <col min="9985" max="9985" width="13.33203125" customWidth="1"/>
    <col min="9986" max="9986" width="42" customWidth="1"/>
    <col min="9987" max="9987" width="10.44140625" customWidth="1"/>
    <col min="9988" max="9989" width="9" customWidth="1"/>
    <col min="9990" max="9990" width="10.109375" customWidth="1"/>
    <col min="9991" max="9991" width="4.33203125" customWidth="1"/>
    <col min="9992" max="9992" width="11.5546875" customWidth="1"/>
    <col min="9993" max="9993" width="7" customWidth="1"/>
    <col min="9994" max="9994" width="9" customWidth="1"/>
    <col min="9995" max="9995" width="9.33203125" customWidth="1"/>
    <col min="9996" max="9996" width="2.6640625" customWidth="1"/>
    <col min="9997" max="9997" width="11.109375" customWidth="1"/>
    <col min="9998" max="9998" width="10.88671875" customWidth="1"/>
    <col min="9999" max="10000" width="11.44140625" customWidth="1"/>
    <col min="10241" max="10241" width="13.33203125" customWidth="1"/>
    <col min="10242" max="10242" width="42" customWidth="1"/>
    <col min="10243" max="10243" width="10.44140625" customWidth="1"/>
    <col min="10244" max="10245" width="9" customWidth="1"/>
    <col min="10246" max="10246" width="10.109375" customWidth="1"/>
    <col min="10247" max="10247" width="4.33203125" customWidth="1"/>
    <col min="10248" max="10248" width="11.5546875" customWidth="1"/>
    <col min="10249" max="10249" width="7" customWidth="1"/>
    <col min="10250" max="10250" width="9" customWidth="1"/>
    <col min="10251" max="10251" width="9.33203125" customWidth="1"/>
    <col min="10252" max="10252" width="2.6640625" customWidth="1"/>
    <col min="10253" max="10253" width="11.109375" customWidth="1"/>
    <col min="10254" max="10254" width="10.88671875" customWidth="1"/>
    <col min="10255" max="10256" width="11.44140625" customWidth="1"/>
    <col min="10497" max="10497" width="13.33203125" customWidth="1"/>
    <col min="10498" max="10498" width="42" customWidth="1"/>
    <col min="10499" max="10499" width="10.44140625" customWidth="1"/>
    <col min="10500" max="10501" width="9" customWidth="1"/>
    <col min="10502" max="10502" width="10.109375" customWidth="1"/>
    <col min="10503" max="10503" width="4.33203125" customWidth="1"/>
    <col min="10504" max="10504" width="11.5546875" customWidth="1"/>
    <col min="10505" max="10505" width="7" customWidth="1"/>
    <col min="10506" max="10506" width="9" customWidth="1"/>
    <col min="10507" max="10507" width="9.33203125" customWidth="1"/>
    <col min="10508" max="10508" width="2.6640625" customWidth="1"/>
    <col min="10509" max="10509" width="11.109375" customWidth="1"/>
    <col min="10510" max="10510" width="10.88671875" customWidth="1"/>
    <col min="10511" max="10512" width="11.44140625" customWidth="1"/>
    <col min="10753" max="10753" width="13.33203125" customWidth="1"/>
    <col min="10754" max="10754" width="42" customWidth="1"/>
    <col min="10755" max="10755" width="10.44140625" customWidth="1"/>
    <col min="10756" max="10757" width="9" customWidth="1"/>
    <col min="10758" max="10758" width="10.109375" customWidth="1"/>
    <col min="10759" max="10759" width="4.33203125" customWidth="1"/>
    <col min="10760" max="10760" width="11.5546875" customWidth="1"/>
    <col min="10761" max="10761" width="7" customWidth="1"/>
    <col min="10762" max="10762" width="9" customWidth="1"/>
    <col min="10763" max="10763" width="9.33203125" customWidth="1"/>
    <col min="10764" max="10764" width="2.6640625" customWidth="1"/>
    <col min="10765" max="10765" width="11.109375" customWidth="1"/>
    <col min="10766" max="10766" width="10.88671875" customWidth="1"/>
    <col min="10767" max="10768" width="11.44140625" customWidth="1"/>
    <col min="11009" max="11009" width="13.33203125" customWidth="1"/>
    <col min="11010" max="11010" width="42" customWidth="1"/>
    <col min="11011" max="11011" width="10.44140625" customWidth="1"/>
    <col min="11012" max="11013" width="9" customWidth="1"/>
    <col min="11014" max="11014" width="10.109375" customWidth="1"/>
    <col min="11015" max="11015" width="4.33203125" customWidth="1"/>
    <col min="11016" max="11016" width="11.5546875" customWidth="1"/>
    <col min="11017" max="11017" width="7" customWidth="1"/>
    <col min="11018" max="11018" width="9" customWidth="1"/>
    <col min="11019" max="11019" width="9.33203125" customWidth="1"/>
    <col min="11020" max="11020" width="2.6640625" customWidth="1"/>
    <col min="11021" max="11021" width="11.109375" customWidth="1"/>
    <col min="11022" max="11022" width="10.88671875" customWidth="1"/>
    <col min="11023" max="11024" width="11.44140625" customWidth="1"/>
    <col min="11265" max="11265" width="13.33203125" customWidth="1"/>
    <col min="11266" max="11266" width="42" customWidth="1"/>
    <col min="11267" max="11267" width="10.44140625" customWidth="1"/>
    <col min="11268" max="11269" width="9" customWidth="1"/>
    <col min="11270" max="11270" width="10.109375" customWidth="1"/>
    <col min="11271" max="11271" width="4.33203125" customWidth="1"/>
    <col min="11272" max="11272" width="11.5546875" customWidth="1"/>
    <col min="11273" max="11273" width="7" customWidth="1"/>
    <col min="11274" max="11274" width="9" customWidth="1"/>
    <col min="11275" max="11275" width="9.33203125" customWidth="1"/>
    <col min="11276" max="11276" width="2.6640625" customWidth="1"/>
    <col min="11277" max="11277" width="11.109375" customWidth="1"/>
    <col min="11278" max="11278" width="10.88671875" customWidth="1"/>
    <col min="11279" max="11280" width="11.44140625" customWidth="1"/>
    <col min="11521" max="11521" width="13.33203125" customWidth="1"/>
    <col min="11522" max="11522" width="42" customWidth="1"/>
    <col min="11523" max="11523" width="10.44140625" customWidth="1"/>
    <col min="11524" max="11525" width="9" customWidth="1"/>
    <col min="11526" max="11526" width="10.109375" customWidth="1"/>
    <col min="11527" max="11527" width="4.33203125" customWidth="1"/>
    <col min="11528" max="11528" width="11.5546875" customWidth="1"/>
    <col min="11529" max="11529" width="7" customWidth="1"/>
    <col min="11530" max="11530" width="9" customWidth="1"/>
    <col min="11531" max="11531" width="9.33203125" customWidth="1"/>
    <col min="11532" max="11532" width="2.6640625" customWidth="1"/>
    <col min="11533" max="11533" width="11.109375" customWidth="1"/>
    <col min="11534" max="11534" width="10.88671875" customWidth="1"/>
    <col min="11535" max="11536" width="11.44140625" customWidth="1"/>
    <col min="11777" max="11777" width="13.33203125" customWidth="1"/>
    <col min="11778" max="11778" width="42" customWidth="1"/>
    <col min="11779" max="11779" width="10.44140625" customWidth="1"/>
    <col min="11780" max="11781" width="9" customWidth="1"/>
    <col min="11782" max="11782" width="10.109375" customWidth="1"/>
    <col min="11783" max="11783" width="4.33203125" customWidth="1"/>
    <col min="11784" max="11784" width="11.5546875" customWidth="1"/>
    <col min="11785" max="11785" width="7" customWidth="1"/>
    <col min="11786" max="11786" width="9" customWidth="1"/>
    <col min="11787" max="11787" width="9.33203125" customWidth="1"/>
    <col min="11788" max="11788" width="2.6640625" customWidth="1"/>
    <col min="11789" max="11789" width="11.109375" customWidth="1"/>
    <col min="11790" max="11790" width="10.88671875" customWidth="1"/>
    <col min="11791" max="11792" width="11.44140625" customWidth="1"/>
    <col min="12033" max="12033" width="13.33203125" customWidth="1"/>
    <col min="12034" max="12034" width="42" customWidth="1"/>
    <col min="12035" max="12035" width="10.44140625" customWidth="1"/>
    <col min="12036" max="12037" width="9" customWidth="1"/>
    <col min="12038" max="12038" width="10.109375" customWidth="1"/>
    <col min="12039" max="12039" width="4.33203125" customWidth="1"/>
    <col min="12040" max="12040" width="11.5546875" customWidth="1"/>
    <col min="12041" max="12041" width="7" customWidth="1"/>
    <col min="12042" max="12042" width="9" customWidth="1"/>
    <col min="12043" max="12043" width="9.33203125" customWidth="1"/>
    <col min="12044" max="12044" width="2.6640625" customWidth="1"/>
    <col min="12045" max="12045" width="11.109375" customWidth="1"/>
    <col min="12046" max="12046" width="10.88671875" customWidth="1"/>
    <col min="12047" max="12048" width="11.44140625" customWidth="1"/>
    <col min="12289" max="12289" width="13.33203125" customWidth="1"/>
    <col min="12290" max="12290" width="42" customWidth="1"/>
    <col min="12291" max="12291" width="10.44140625" customWidth="1"/>
    <col min="12292" max="12293" width="9" customWidth="1"/>
    <col min="12294" max="12294" width="10.109375" customWidth="1"/>
    <col min="12295" max="12295" width="4.33203125" customWidth="1"/>
    <col min="12296" max="12296" width="11.5546875" customWidth="1"/>
    <col min="12297" max="12297" width="7" customWidth="1"/>
    <col min="12298" max="12298" width="9" customWidth="1"/>
    <col min="12299" max="12299" width="9.33203125" customWidth="1"/>
    <col min="12300" max="12300" width="2.6640625" customWidth="1"/>
    <col min="12301" max="12301" width="11.109375" customWidth="1"/>
    <col min="12302" max="12302" width="10.88671875" customWidth="1"/>
    <col min="12303" max="12304" width="11.44140625" customWidth="1"/>
    <col min="12545" max="12545" width="13.33203125" customWidth="1"/>
    <col min="12546" max="12546" width="42" customWidth="1"/>
    <col min="12547" max="12547" width="10.44140625" customWidth="1"/>
    <col min="12548" max="12549" width="9" customWidth="1"/>
    <col min="12550" max="12550" width="10.109375" customWidth="1"/>
    <col min="12551" max="12551" width="4.33203125" customWidth="1"/>
    <col min="12552" max="12552" width="11.5546875" customWidth="1"/>
    <col min="12553" max="12553" width="7" customWidth="1"/>
    <col min="12554" max="12554" width="9" customWidth="1"/>
    <col min="12555" max="12555" width="9.33203125" customWidth="1"/>
    <col min="12556" max="12556" width="2.6640625" customWidth="1"/>
    <col min="12557" max="12557" width="11.109375" customWidth="1"/>
    <col min="12558" max="12558" width="10.88671875" customWidth="1"/>
    <col min="12559" max="12560" width="11.44140625" customWidth="1"/>
    <col min="12801" max="12801" width="13.33203125" customWidth="1"/>
    <col min="12802" max="12802" width="42" customWidth="1"/>
    <col min="12803" max="12803" width="10.44140625" customWidth="1"/>
    <col min="12804" max="12805" width="9" customWidth="1"/>
    <col min="12806" max="12806" width="10.109375" customWidth="1"/>
    <col min="12807" max="12807" width="4.33203125" customWidth="1"/>
    <col min="12808" max="12808" width="11.5546875" customWidth="1"/>
    <col min="12809" max="12809" width="7" customWidth="1"/>
    <col min="12810" max="12810" width="9" customWidth="1"/>
    <col min="12811" max="12811" width="9.33203125" customWidth="1"/>
    <col min="12812" max="12812" width="2.6640625" customWidth="1"/>
    <col min="12813" max="12813" width="11.109375" customWidth="1"/>
    <col min="12814" max="12814" width="10.88671875" customWidth="1"/>
    <col min="12815" max="12816" width="11.44140625" customWidth="1"/>
    <col min="13057" max="13057" width="13.33203125" customWidth="1"/>
    <col min="13058" max="13058" width="42" customWidth="1"/>
    <col min="13059" max="13059" width="10.44140625" customWidth="1"/>
    <col min="13060" max="13061" width="9" customWidth="1"/>
    <col min="13062" max="13062" width="10.109375" customWidth="1"/>
    <col min="13063" max="13063" width="4.33203125" customWidth="1"/>
    <col min="13064" max="13064" width="11.5546875" customWidth="1"/>
    <col min="13065" max="13065" width="7" customWidth="1"/>
    <col min="13066" max="13066" width="9" customWidth="1"/>
    <col min="13067" max="13067" width="9.33203125" customWidth="1"/>
    <col min="13068" max="13068" width="2.6640625" customWidth="1"/>
    <col min="13069" max="13069" width="11.109375" customWidth="1"/>
    <col min="13070" max="13070" width="10.88671875" customWidth="1"/>
    <col min="13071" max="13072" width="11.44140625" customWidth="1"/>
    <col min="13313" max="13313" width="13.33203125" customWidth="1"/>
    <col min="13314" max="13314" width="42" customWidth="1"/>
    <col min="13315" max="13315" width="10.44140625" customWidth="1"/>
    <col min="13316" max="13317" width="9" customWidth="1"/>
    <col min="13318" max="13318" width="10.109375" customWidth="1"/>
    <col min="13319" max="13319" width="4.33203125" customWidth="1"/>
    <col min="13320" max="13320" width="11.5546875" customWidth="1"/>
    <col min="13321" max="13321" width="7" customWidth="1"/>
    <col min="13322" max="13322" width="9" customWidth="1"/>
    <col min="13323" max="13323" width="9.33203125" customWidth="1"/>
    <col min="13324" max="13324" width="2.6640625" customWidth="1"/>
    <col min="13325" max="13325" width="11.109375" customWidth="1"/>
    <col min="13326" max="13326" width="10.88671875" customWidth="1"/>
    <col min="13327" max="13328" width="11.44140625" customWidth="1"/>
    <col min="13569" max="13569" width="13.33203125" customWidth="1"/>
    <col min="13570" max="13570" width="42" customWidth="1"/>
    <col min="13571" max="13571" width="10.44140625" customWidth="1"/>
    <col min="13572" max="13573" width="9" customWidth="1"/>
    <col min="13574" max="13574" width="10.109375" customWidth="1"/>
    <col min="13575" max="13575" width="4.33203125" customWidth="1"/>
    <col min="13576" max="13576" width="11.5546875" customWidth="1"/>
    <col min="13577" max="13577" width="7" customWidth="1"/>
    <col min="13578" max="13578" width="9" customWidth="1"/>
    <col min="13579" max="13579" width="9.33203125" customWidth="1"/>
    <col min="13580" max="13580" width="2.6640625" customWidth="1"/>
    <col min="13581" max="13581" width="11.109375" customWidth="1"/>
    <col min="13582" max="13582" width="10.88671875" customWidth="1"/>
    <col min="13583" max="13584" width="11.44140625" customWidth="1"/>
    <col min="13825" max="13825" width="13.33203125" customWidth="1"/>
    <col min="13826" max="13826" width="42" customWidth="1"/>
    <col min="13827" max="13827" width="10.44140625" customWidth="1"/>
    <col min="13828" max="13829" width="9" customWidth="1"/>
    <col min="13830" max="13830" width="10.109375" customWidth="1"/>
    <col min="13831" max="13831" width="4.33203125" customWidth="1"/>
    <col min="13832" max="13832" width="11.5546875" customWidth="1"/>
    <col min="13833" max="13833" width="7" customWidth="1"/>
    <col min="13834" max="13834" width="9" customWidth="1"/>
    <col min="13835" max="13835" width="9.33203125" customWidth="1"/>
    <col min="13836" max="13836" width="2.6640625" customWidth="1"/>
    <col min="13837" max="13837" width="11.109375" customWidth="1"/>
    <col min="13838" max="13838" width="10.88671875" customWidth="1"/>
    <col min="13839" max="13840" width="11.44140625" customWidth="1"/>
    <col min="14081" max="14081" width="13.33203125" customWidth="1"/>
    <col min="14082" max="14082" width="42" customWidth="1"/>
    <col min="14083" max="14083" width="10.44140625" customWidth="1"/>
    <col min="14084" max="14085" width="9" customWidth="1"/>
    <col min="14086" max="14086" width="10.109375" customWidth="1"/>
    <col min="14087" max="14087" width="4.33203125" customWidth="1"/>
    <col min="14088" max="14088" width="11.5546875" customWidth="1"/>
    <col min="14089" max="14089" width="7" customWidth="1"/>
    <col min="14090" max="14090" width="9" customWidth="1"/>
    <col min="14091" max="14091" width="9.33203125" customWidth="1"/>
    <col min="14092" max="14092" width="2.6640625" customWidth="1"/>
    <col min="14093" max="14093" width="11.109375" customWidth="1"/>
    <col min="14094" max="14094" width="10.88671875" customWidth="1"/>
    <col min="14095" max="14096" width="11.44140625" customWidth="1"/>
    <col min="14337" max="14337" width="13.33203125" customWidth="1"/>
    <col min="14338" max="14338" width="42" customWidth="1"/>
    <col min="14339" max="14339" width="10.44140625" customWidth="1"/>
    <col min="14340" max="14341" width="9" customWidth="1"/>
    <col min="14342" max="14342" width="10.109375" customWidth="1"/>
    <col min="14343" max="14343" width="4.33203125" customWidth="1"/>
    <col min="14344" max="14344" width="11.5546875" customWidth="1"/>
    <col min="14345" max="14345" width="7" customWidth="1"/>
    <col min="14346" max="14346" width="9" customWidth="1"/>
    <col min="14347" max="14347" width="9.33203125" customWidth="1"/>
    <col min="14348" max="14348" width="2.6640625" customWidth="1"/>
    <col min="14349" max="14349" width="11.109375" customWidth="1"/>
    <col min="14350" max="14350" width="10.88671875" customWidth="1"/>
    <col min="14351" max="14352" width="11.44140625" customWidth="1"/>
    <col min="14593" max="14593" width="13.33203125" customWidth="1"/>
    <col min="14594" max="14594" width="42" customWidth="1"/>
    <col min="14595" max="14595" width="10.44140625" customWidth="1"/>
    <col min="14596" max="14597" width="9" customWidth="1"/>
    <col min="14598" max="14598" width="10.109375" customWidth="1"/>
    <col min="14599" max="14599" width="4.33203125" customWidth="1"/>
    <col min="14600" max="14600" width="11.5546875" customWidth="1"/>
    <col min="14601" max="14601" width="7" customWidth="1"/>
    <col min="14602" max="14602" width="9" customWidth="1"/>
    <col min="14603" max="14603" width="9.33203125" customWidth="1"/>
    <col min="14604" max="14604" width="2.6640625" customWidth="1"/>
    <col min="14605" max="14605" width="11.109375" customWidth="1"/>
    <col min="14606" max="14606" width="10.88671875" customWidth="1"/>
    <col min="14607" max="14608" width="11.44140625" customWidth="1"/>
    <col min="14849" max="14849" width="13.33203125" customWidth="1"/>
    <col min="14850" max="14850" width="42" customWidth="1"/>
    <col min="14851" max="14851" width="10.44140625" customWidth="1"/>
    <col min="14852" max="14853" width="9" customWidth="1"/>
    <col min="14854" max="14854" width="10.109375" customWidth="1"/>
    <col min="14855" max="14855" width="4.33203125" customWidth="1"/>
    <col min="14856" max="14856" width="11.5546875" customWidth="1"/>
    <col min="14857" max="14857" width="7" customWidth="1"/>
    <col min="14858" max="14858" width="9" customWidth="1"/>
    <col min="14859" max="14859" width="9.33203125" customWidth="1"/>
    <col min="14860" max="14860" width="2.6640625" customWidth="1"/>
    <col min="14861" max="14861" width="11.109375" customWidth="1"/>
    <col min="14862" max="14862" width="10.88671875" customWidth="1"/>
    <col min="14863" max="14864" width="11.44140625" customWidth="1"/>
    <col min="15105" max="15105" width="13.33203125" customWidth="1"/>
    <col min="15106" max="15106" width="42" customWidth="1"/>
    <col min="15107" max="15107" width="10.44140625" customWidth="1"/>
    <col min="15108" max="15109" width="9" customWidth="1"/>
    <col min="15110" max="15110" width="10.109375" customWidth="1"/>
    <col min="15111" max="15111" width="4.33203125" customWidth="1"/>
    <col min="15112" max="15112" width="11.5546875" customWidth="1"/>
    <col min="15113" max="15113" width="7" customWidth="1"/>
    <col min="15114" max="15114" width="9" customWidth="1"/>
    <col min="15115" max="15115" width="9.33203125" customWidth="1"/>
    <col min="15116" max="15116" width="2.6640625" customWidth="1"/>
    <col min="15117" max="15117" width="11.109375" customWidth="1"/>
    <col min="15118" max="15118" width="10.88671875" customWidth="1"/>
    <col min="15119" max="15120" width="11.44140625" customWidth="1"/>
    <col min="15361" max="15361" width="13.33203125" customWidth="1"/>
    <col min="15362" max="15362" width="42" customWidth="1"/>
    <col min="15363" max="15363" width="10.44140625" customWidth="1"/>
    <col min="15364" max="15365" width="9" customWidth="1"/>
    <col min="15366" max="15366" width="10.109375" customWidth="1"/>
    <col min="15367" max="15367" width="4.33203125" customWidth="1"/>
    <col min="15368" max="15368" width="11.5546875" customWidth="1"/>
    <col min="15369" max="15369" width="7" customWidth="1"/>
    <col min="15370" max="15370" width="9" customWidth="1"/>
    <col min="15371" max="15371" width="9.33203125" customWidth="1"/>
    <col min="15372" max="15372" width="2.6640625" customWidth="1"/>
    <col min="15373" max="15373" width="11.109375" customWidth="1"/>
    <col min="15374" max="15374" width="10.88671875" customWidth="1"/>
    <col min="15375" max="15376" width="11.44140625" customWidth="1"/>
    <col min="15617" max="15617" width="13.33203125" customWidth="1"/>
    <col min="15618" max="15618" width="42" customWidth="1"/>
    <col min="15619" max="15619" width="10.44140625" customWidth="1"/>
    <col min="15620" max="15621" width="9" customWidth="1"/>
    <col min="15622" max="15622" width="10.109375" customWidth="1"/>
    <col min="15623" max="15623" width="4.33203125" customWidth="1"/>
    <col min="15624" max="15624" width="11.5546875" customWidth="1"/>
    <col min="15625" max="15625" width="7" customWidth="1"/>
    <col min="15626" max="15626" width="9" customWidth="1"/>
    <col min="15627" max="15627" width="9.33203125" customWidth="1"/>
    <col min="15628" max="15628" width="2.6640625" customWidth="1"/>
    <col min="15629" max="15629" width="11.109375" customWidth="1"/>
    <col min="15630" max="15630" width="10.88671875" customWidth="1"/>
    <col min="15631" max="15632" width="11.44140625" customWidth="1"/>
    <col min="15873" max="15873" width="13.33203125" customWidth="1"/>
    <col min="15874" max="15874" width="42" customWidth="1"/>
    <col min="15875" max="15875" width="10.44140625" customWidth="1"/>
    <col min="15876" max="15877" width="9" customWidth="1"/>
    <col min="15878" max="15878" width="10.109375" customWidth="1"/>
    <col min="15879" max="15879" width="4.33203125" customWidth="1"/>
    <col min="15880" max="15880" width="11.5546875" customWidth="1"/>
    <col min="15881" max="15881" width="7" customWidth="1"/>
    <col min="15882" max="15882" width="9" customWidth="1"/>
    <col min="15883" max="15883" width="9.33203125" customWidth="1"/>
    <col min="15884" max="15884" width="2.6640625" customWidth="1"/>
    <col min="15885" max="15885" width="11.109375" customWidth="1"/>
    <col min="15886" max="15886" width="10.88671875" customWidth="1"/>
    <col min="15887" max="15888" width="11.44140625" customWidth="1"/>
    <col min="16129" max="16129" width="13.33203125" customWidth="1"/>
    <col min="16130" max="16130" width="42" customWidth="1"/>
    <col min="16131" max="16131" width="10.44140625" customWidth="1"/>
    <col min="16132" max="16133" width="9" customWidth="1"/>
    <col min="16134" max="16134" width="10.109375" customWidth="1"/>
    <col min="16135" max="16135" width="4.33203125" customWidth="1"/>
    <col min="16136" max="16136" width="11.5546875" customWidth="1"/>
    <col min="16137" max="16137" width="7" customWidth="1"/>
    <col min="16138" max="16138" width="9" customWidth="1"/>
    <col min="16139" max="16139" width="9.33203125" customWidth="1"/>
    <col min="16140" max="16140" width="2.6640625" customWidth="1"/>
    <col min="16141" max="16141" width="11.109375" customWidth="1"/>
    <col min="16142" max="16142" width="10.88671875" customWidth="1"/>
    <col min="16143" max="16144" width="11.44140625" customWidth="1"/>
  </cols>
  <sheetData>
    <row r="1" spans="1:16" x14ac:dyDescent="0.3">
      <c r="A1" s="91" t="s">
        <v>0</v>
      </c>
      <c r="B1" s="91"/>
      <c r="C1" s="91"/>
      <c r="D1" s="91"/>
      <c r="E1" s="91"/>
      <c r="F1" s="91"/>
      <c r="G1" s="91"/>
      <c r="H1" s="91"/>
      <c r="I1" s="91"/>
      <c r="J1" s="91"/>
      <c r="K1" s="91"/>
      <c r="L1" s="91"/>
      <c r="M1" s="91"/>
      <c r="N1" s="91"/>
    </row>
    <row r="2" spans="1:16" ht="15" thickBot="1" x14ac:dyDescent="0.35">
      <c r="A2" s="92" t="s">
        <v>1</v>
      </c>
      <c r="B2" s="92"/>
      <c r="C2" s="92"/>
      <c r="D2" s="92"/>
      <c r="E2" s="92"/>
      <c r="F2" s="92"/>
      <c r="G2" s="92"/>
      <c r="H2" s="92"/>
      <c r="I2" s="92"/>
      <c r="J2" s="92"/>
      <c r="K2" s="92"/>
      <c r="L2" s="92"/>
      <c r="M2" s="92"/>
      <c r="N2" s="92"/>
    </row>
    <row r="3" spans="1:16" ht="15" thickBot="1" x14ac:dyDescent="0.35">
      <c r="A3" s="2"/>
      <c r="B3" s="94" t="s">
        <v>2</v>
      </c>
      <c r="C3" s="95"/>
      <c r="D3" s="95"/>
      <c r="E3" s="95"/>
      <c r="F3" s="95"/>
      <c r="G3" s="95"/>
      <c r="H3" s="95"/>
      <c r="I3" s="95"/>
      <c r="J3" s="95"/>
      <c r="K3" s="95"/>
      <c r="L3" s="95"/>
      <c r="M3" s="95"/>
      <c r="N3" s="96"/>
    </row>
    <row r="4" spans="1:16" x14ac:dyDescent="0.3">
      <c r="A4" s="3"/>
      <c r="B4" s="4"/>
      <c r="C4" s="84" t="s">
        <v>3</v>
      </c>
      <c r="D4" s="85"/>
      <c r="E4" s="5"/>
      <c r="H4" s="84" t="s">
        <v>4</v>
      </c>
      <c r="I4" s="85"/>
      <c r="J4" s="5"/>
      <c r="K4" s="4"/>
      <c r="L4" s="4"/>
      <c r="M4" s="84" t="s">
        <v>5</v>
      </c>
      <c r="N4" s="85"/>
    </row>
    <row r="5" spans="1:16" x14ac:dyDescent="0.3">
      <c r="B5" s="4"/>
      <c r="C5" s="70" t="s">
        <v>6</v>
      </c>
      <c r="D5" s="71"/>
      <c r="E5" s="5"/>
      <c r="H5" s="70" t="s">
        <v>7</v>
      </c>
      <c r="I5" s="71"/>
      <c r="J5" s="5"/>
      <c r="K5" s="4"/>
      <c r="L5" s="4"/>
      <c r="M5" s="70" t="s">
        <v>8</v>
      </c>
      <c r="N5" s="71"/>
    </row>
    <row r="6" spans="1:16" x14ac:dyDescent="0.3">
      <c r="B6" s="8" t="s">
        <v>9</v>
      </c>
      <c r="C6" s="9"/>
      <c r="D6" s="10"/>
      <c r="E6" s="11"/>
      <c r="F6" s="12"/>
      <c r="G6" s="12"/>
      <c r="H6" s="13"/>
      <c r="I6" s="10"/>
      <c r="J6" s="11"/>
      <c r="K6" s="4"/>
      <c r="L6" s="4"/>
      <c r="M6" s="13"/>
      <c r="N6" s="10"/>
    </row>
    <row r="7" spans="1:16" x14ac:dyDescent="0.3">
      <c r="B7" s="4" t="s">
        <v>10</v>
      </c>
      <c r="C7" s="13">
        <f>4050.0058968*1.1</f>
        <v>4455.0064864800006</v>
      </c>
      <c r="D7" s="10" t="s">
        <v>11</v>
      </c>
      <c r="E7" s="11">
        <f>+C7/4</f>
        <v>1113.7516216200002</v>
      </c>
      <c r="F7" s="12"/>
      <c r="G7" s="12"/>
      <c r="H7" s="14">
        <f>+C7*0.9</f>
        <v>4009.5058378320005</v>
      </c>
      <c r="I7" s="10" t="s">
        <v>11</v>
      </c>
      <c r="J7" s="11">
        <f>+H7/4</f>
        <v>1002.3764594580001</v>
      </c>
      <c r="K7" s="12"/>
      <c r="L7" s="12"/>
      <c r="M7" s="13">
        <v>3605</v>
      </c>
      <c r="N7" s="10" t="s">
        <v>11</v>
      </c>
      <c r="O7" s="11">
        <f>+M7/4</f>
        <v>901.25</v>
      </c>
      <c r="P7" s="12"/>
    </row>
    <row r="8" spans="1:16" x14ac:dyDescent="0.3">
      <c r="B8" s="4" t="s">
        <v>12</v>
      </c>
      <c r="C8" s="13">
        <v>6225</v>
      </c>
      <c r="D8" s="10" t="s">
        <v>11</v>
      </c>
      <c r="E8" s="11">
        <f>+C8/8</f>
        <v>778.125</v>
      </c>
      <c r="F8" s="15">
        <f>+E8/E7</f>
        <v>0.69865218141562246</v>
      </c>
      <c r="G8" s="15"/>
      <c r="H8" s="14">
        <v>5600</v>
      </c>
      <c r="I8" s="10" t="s">
        <v>11</v>
      </c>
      <c r="J8" s="11">
        <f>+H8/8</f>
        <v>700</v>
      </c>
      <c r="K8" s="15">
        <f>+J8/J7</f>
        <v>0.69834042229852489</v>
      </c>
      <c r="L8" s="15"/>
      <c r="M8" s="13">
        <v>5040</v>
      </c>
      <c r="N8" s="10" t="s">
        <v>11</v>
      </c>
      <c r="O8" s="11">
        <f>+M8/8</f>
        <v>630</v>
      </c>
      <c r="P8" s="15">
        <f>+O8/O7</f>
        <v>0.69902912621359226</v>
      </c>
    </row>
    <row r="9" spans="1:16" x14ac:dyDescent="0.3">
      <c r="B9" s="4" t="s">
        <v>13</v>
      </c>
      <c r="C9" s="13">
        <v>8875</v>
      </c>
      <c r="D9" s="10" t="s">
        <v>11</v>
      </c>
      <c r="E9" s="11">
        <f>+C9/12</f>
        <v>739.58333333333337</v>
      </c>
      <c r="F9" s="15">
        <f>+E9/E7</f>
        <v>0.66404691941779381</v>
      </c>
      <c r="G9" s="15"/>
      <c r="H9" s="14">
        <v>7985</v>
      </c>
      <c r="I9" s="10" t="s">
        <v>11</v>
      </c>
      <c r="J9" s="11">
        <f>+H9/12</f>
        <v>665.41666666666663</v>
      </c>
      <c r="K9" s="15">
        <f>+J9/J7</f>
        <v>0.66383908000639535</v>
      </c>
      <c r="L9" s="15"/>
      <c r="M9" s="13">
        <v>7185</v>
      </c>
      <c r="N9" s="10" t="s">
        <v>11</v>
      </c>
      <c r="O9" s="11">
        <f>+M9/12</f>
        <v>598.75</v>
      </c>
      <c r="P9" s="15">
        <f>+O9/O7</f>
        <v>0.66435506241331488</v>
      </c>
    </row>
    <row r="10" spans="1:16" x14ac:dyDescent="0.3">
      <c r="B10" s="4"/>
      <c r="C10" s="13"/>
      <c r="D10" s="10"/>
      <c r="E10" s="11"/>
      <c r="F10" s="12"/>
      <c r="G10" s="12"/>
      <c r="H10" s="14"/>
      <c r="I10" s="10"/>
      <c r="J10" s="11"/>
      <c r="K10" s="4"/>
      <c r="L10" s="4"/>
      <c r="M10" s="13"/>
      <c r="N10" s="10"/>
    </row>
    <row r="11" spans="1:16" x14ac:dyDescent="0.3">
      <c r="B11" s="8" t="s">
        <v>14</v>
      </c>
      <c r="C11" s="13"/>
      <c r="D11" s="10"/>
      <c r="E11" s="11"/>
      <c r="F11" s="12"/>
      <c r="G11" s="12"/>
      <c r="H11" s="14"/>
      <c r="I11" s="10"/>
      <c r="J11" s="11"/>
      <c r="K11" s="4"/>
      <c r="L11" s="4"/>
      <c r="M11" s="13"/>
      <c r="N11" s="10"/>
    </row>
    <row r="12" spans="1:16" x14ac:dyDescent="0.3">
      <c r="B12" s="8" t="s">
        <v>15</v>
      </c>
      <c r="C12" s="13"/>
      <c r="D12" s="10"/>
      <c r="E12" s="11"/>
      <c r="F12" s="12"/>
      <c r="G12" s="12"/>
      <c r="H12" s="14"/>
      <c r="I12" s="10"/>
      <c r="J12" s="11"/>
      <c r="K12" s="4"/>
      <c r="L12" s="4"/>
      <c r="M12" s="13"/>
      <c r="N12" s="10"/>
    </row>
    <row r="13" spans="1:16" x14ac:dyDescent="0.3">
      <c r="B13" s="4" t="s">
        <v>10</v>
      </c>
      <c r="C13" s="13">
        <f>3000*1.1</f>
        <v>3300.0000000000005</v>
      </c>
      <c r="D13" s="10" t="s">
        <v>11</v>
      </c>
      <c r="E13" s="11">
        <f>+C13/4</f>
        <v>825.00000000000011</v>
      </c>
      <c r="F13" s="12"/>
      <c r="G13" s="12"/>
      <c r="H13" s="14">
        <f>+C13*0.9</f>
        <v>2970.0000000000005</v>
      </c>
      <c r="I13" s="10" t="s">
        <v>11</v>
      </c>
      <c r="J13" s="11">
        <f>+H13/4</f>
        <v>742.50000000000011</v>
      </c>
      <c r="K13" s="12"/>
      <c r="L13" s="12"/>
      <c r="M13" s="13">
        <v>2670</v>
      </c>
      <c r="N13" s="10" t="s">
        <v>11</v>
      </c>
      <c r="O13" s="11">
        <f>+M13/4</f>
        <v>667.5</v>
      </c>
      <c r="P13" s="12"/>
    </row>
    <row r="14" spans="1:16" x14ac:dyDescent="0.3">
      <c r="B14" s="4" t="s">
        <v>12</v>
      </c>
      <c r="C14" s="13">
        <v>5025</v>
      </c>
      <c r="D14" s="10" t="s">
        <v>11</v>
      </c>
      <c r="E14" s="11">
        <f>+C14/8</f>
        <v>628.125</v>
      </c>
      <c r="F14" s="15">
        <f>+E14/E13</f>
        <v>0.76136363636363624</v>
      </c>
      <c r="G14" s="15"/>
      <c r="H14" s="14">
        <v>4520</v>
      </c>
      <c r="I14" s="10" t="s">
        <v>11</v>
      </c>
      <c r="J14" s="11">
        <f>+H14/8</f>
        <v>565</v>
      </c>
      <c r="K14" s="15">
        <f>+J14/J13</f>
        <v>0.76094276094276081</v>
      </c>
      <c r="L14" s="15"/>
      <c r="M14" s="13">
        <v>4065</v>
      </c>
      <c r="N14" s="10" t="s">
        <v>11</v>
      </c>
      <c r="O14" s="11">
        <f>+M14/8</f>
        <v>508.125</v>
      </c>
      <c r="P14" s="15">
        <f>+O14/O13</f>
        <v>0.7612359550561798</v>
      </c>
    </row>
    <row r="15" spans="1:16" x14ac:dyDescent="0.3">
      <c r="B15" s="4" t="s">
        <v>13</v>
      </c>
      <c r="C15" s="13">
        <v>6765</v>
      </c>
      <c r="D15" s="10" t="s">
        <v>11</v>
      </c>
      <c r="E15" s="11">
        <f>+C15/12</f>
        <v>563.75</v>
      </c>
      <c r="F15" s="15">
        <f>+E15/E13</f>
        <v>0.68333333333333324</v>
      </c>
      <c r="G15" s="15"/>
      <c r="H15" s="14">
        <v>6085</v>
      </c>
      <c r="I15" s="10" t="s">
        <v>11</v>
      </c>
      <c r="J15" s="11">
        <f>+H15/12</f>
        <v>507.08333333333331</v>
      </c>
      <c r="K15" s="15">
        <f>+J15/J13</f>
        <v>0.68294051627384944</v>
      </c>
      <c r="L15" s="15"/>
      <c r="M15" s="13">
        <v>5475</v>
      </c>
      <c r="N15" s="10" t="s">
        <v>11</v>
      </c>
      <c r="O15" s="11">
        <f>+M15/12</f>
        <v>456.25</v>
      </c>
      <c r="P15" s="15">
        <f>+O15/O13</f>
        <v>0.68352059925093633</v>
      </c>
    </row>
    <row r="16" spans="1:16" x14ac:dyDescent="0.3">
      <c r="B16" s="4"/>
      <c r="C16" s="13"/>
      <c r="D16" s="10"/>
      <c r="E16" s="11"/>
      <c r="F16" s="12"/>
      <c r="G16" s="12"/>
      <c r="H16" s="14"/>
      <c r="I16" s="10"/>
      <c r="J16" s="11"/>
      <c r="K16" s="4"/>
      <c r="L16" s="4"/>
      <c r="M16" s="13"/>
      <c r="N16" s="10"/>
    </row>
    <row r="17" spans="1:18" x14ac:dyDescent="0.3">
      <c r="A17" s="69" t="s">
        <v>16</v>
      </c>
      <c r="B17" s="8" t="s">
        <v>17</v>
      </c>
      <c r="C17" s="13"/>
      <c r="D17" s="10"/>
      <c r="E17" s="11"/>
      <c r="F17" s="12"/>
      <c r="G17" s="12"/>
      <c r="H17" s="14"/>
      <c r="I17" s="10"/>
      <c r="J17" s="11"/>
      <c r="K17" s="4"/>
      <c r="L17" s="4"/>
      <c r="M17" s="13"/>
      <c r="N17" s="10"/>
      <c r="R17" s="16" t="s">
        <v>18</v>
      </c>
    </row>
    <row r="18" spans="1:18" x14ac:dyDescent="0.3">
      <c r="A18" s="69"/>
      <c r="B18" s="4" t="s">
        <v>10</v>
      </c>
      <c r="C18" s="13">
        <v>3470</v>
      </c>
      <c r="D18" s="10" t="s">
        <v>11</v>
      </c>
      <c r="E18" s="11">
        <f>+C18/4</f>
        <v>867.5</v>
      </c>
      <c r="F18" s="12"/>
      <c r="G18" s="12"/>
      <c r="H18" s="14">
        <v>3130</v>
      </c>
      <c r="I18" s="10" t="s">
        <v>11</v>
      </c>
      <c r="J18" s="11">
        <f>+H18/4</f>
        <v>782.5</v>
      </c>
      <c r="K18" s="12"/>
      <c r="L18" s="12"/>
      <c r="M18" s="13">
        <v>2810</v>
      </c>
      <c r="N18" s="10" t="s">
        <v>11</v>
      </c>
    </row>
    <row r="19" spans="1:18" x14ac:dyDescent="0.3">
      <c r="A19" s="69"/>
      <c r="B19" s="4" t="s">
        <v>12</v>
      </c>
      <c r="C19" s="13">
        <v>5050</v>
      </c>
      <c r="D19" s="10" t="s">
        <v>11</v>
      </c>
      <c r="E19" s="11">
        <f>+C19/8</f>
        <v>631.25</v>
      </c>
      <c r="F19" s="15">
        <f>+E19/E18</f>
        <v>0.7276657060518732</v>
      </c>
      <c r="G19" s="15"/>
      <c r="H19" s="14">
        <v>4540</v>
      </c>
      <c r="I19" s="10" t="s">
        <v>11</v>
      </c>
      <c r="J19" s="11">
        <f>+H19/8</f>
        <v>567.5</v>
      </c>
      <c r="K19" s="15">
        <f>+J19/J18</f>
        <v>0.72523961661341851</v>
      </c>
      <c r="L19" s="15"/>
      <c r="M19" s="13">
        <v>4090</v>
      </c>
      <c r="N19" s="10" t="s">
        <v>11</v>
      </c>
      <c r="O19" s="11">
        <f>+M19/4</f>
        <v>1022.5</v>
      </c>
      <c r="P19" s="12"/>
    </row>
    <row r="20" spans="1:18" x14ac:dyDescent="0.3">
      <c r="A20" s="69"/>
      <c r="B20" s="4" t="s">
        <v>13</v>
      </c>
      <c r="C20" s="13">
        <v>6630</v>
      </c>
      <c r="D20" s="10" t="s">
        <v>11</v>
      </c>
      <c r="E20" s="11">
        <f>+C20/12</f>
        <v>552.5</v>
      </c>
      <c r="F20" s="15">
        <f>+E20/E18</f>
        <v>0.63688760806916422</v>
      </c>
      <c r="G20" s="15"/>
      <c r="H20" s="14">
        <v>5970</v>
      </c>
      <c r="I20" s="10" t="s">
        <v>11</v>
      </c>
      <c r="J20" s="11">
        <f>+H20/12</f>
        <v>497.5</v>
      </c>
      <c r="K20" s="15">
        <f>+J20/J18</f>
        <v>0.63578274760383391</v>
      </c>
      <c r="L20" s="15"/>
      <c r="M20" s="13">
        <v>5370</v>
      </c>
      <c r="N20" s="10" t="s">
        <v>11</v>
      </c>
      <c r="O20" s="11">
        <f>+M20/8</f>
        <v>671.25</v>
      </c>
      <c r="P20" s="15">
        <f>+O20/O19</f>
        <v>0.65647921760391204</v>
      </c>
    </row>
    <row r="21" spans="1:18" x14ac:dyDescent="0.3">
      <c r="B21" s="4"/>
      <c r="C21" s="13"/>
      <c r="D21" s="10"/>
      <c r="E21" s="11"/>
      <c r="F21" s="12"/>
      <c r="G21" s="12"/>
      <c r="H21" s="14"/>
      <c r="I21" s="10"/>
      <c r="J21" s="11"/>
      <c r="K21" s="4"/>
      <c r="L21" s="4"/>
      <c r="M21" s="13"/>
      <c r="N21" s="10"/>
      <c r="O21" s="11">
        <f>+M21/12</f>
        <v>0</v>
      </c>
      <c r="P21" s="15">
        <f>+O21/O19</f>
        <v>0</v>
      </c>
    </row>
    <row r="22" spans="1:18" x14ac:dyDescent="0.3">
      <c r="A22" s="17"/>
      <c r="B22" s="8" t="s">
        <v>19</v>
      </c>
      <c r="C22" s="13"/>
      <c r="D22" s="10"/>
      <c r="E22" s="11"/>
      <c r="F22" s="12"/>
      <c r="G22" s="12"/>
      <c r="H22" s="14"/>
      <c r="I22" s="10"/>
      <c r="J22" s="11"/>
      <c r="K22" s="4"/>
      <c r="L22" s="4"/>
      <c r="M22" s="13"/>
      <c r="N22" s="10"/>
    </row>
    <row r="23" spans="1:18" x14ac:dyDescent="0.3">
      <c r="B23" s="4" t="s">
        <v>10</v>
      </c>
      <c r="C23" s="13">
        <v>3495</v>
      </c>
      <c r="D23" s="10" t="s">
        <v>11</v>
      </c>
      <c r="E23" s="11">
        <f>+C23/4</f>
        <v>873.75</v>
      </c>
      <c r="F23" s="12"/>
      <c r="G23" s="12"/>
      <c r="H23" s="14">
        <v>3145</v>
      </c>
      <c r="I23" s="10" t="s">
        <v>11</v>
      </c>
      <c r="J23" s="11">
        <f>+H23/4</f>
        <v>786.25</v>
      </c>
      <c r="K23" s="12"/>
      <c r="L23" s="12"/>
      <c r="M23" s="13">
        <v>2830</v>
      </c>
      <c r="N23" s="10" t="s">
        <v>11</v>
      </c>
      <c r="O23" s="11">
        <f>+M23/4</f>
        <v>707.5</v>
      </c>
      <c r="P23" s="12"/>
    </row>
    <row r="24" spans="1:18" x14ac:dyDescent="0.3">
      <c r="B24" s="4" t="s">
        <v>12</v>
      </c>
      <c r="C24" s="13">
        <v>4720</v>
      </c>
      <c r="D24" s="10" t="s">
        <v>11</v>
      </c>
      <c r="E24" s="11">
        <f>+C24/8</f>
        <v>590</v>
      </c>
      <c r="F24" s="15">
        <f>+E24/E23</f>
        <v>0.67525035765379116</v>
      </c>
      <c r="G24" s="15"/>
      <c r="H24" s="14">
        <v>4245</v>
      </c>
      <c r="I24" s="10" t="s">
        <v>11</v>
      </c>
      <c r="J24" s="11">
        <f>+H24/8</f>
        <v>530.625</v>
      </c>
      <c r="K24" s="15">
        <f>+J24/J23</f>
        <v>0.67488076311605727</v>
      </c>
      <c r="L24" s="15"/>
      <c r="M24" s="13">
        <v>3820</v>
      </c>
      <c r="N24" s="10" t="s">
        <v>11</v>
      </c>
      <c r="O24" s="11">
        <f>+M24/8</f>
        <v>477.5</v>
      </c>
      <c r="P24" s="15">
        <f>+O24/O23</f>
        <v>0.67491166077738518</v>
      </c>
    </row>
    <row r="25" spans="1:18" x14ac:dyDescent="0.3">
      <c r="B25" s="4"/>
      <c r="C25" s="18"/>
      <c r="D25" s="10"/>
      <c r="E25" s="19"/>
      <c r="H25" s="20"/>
      <c r="I25" s="10"/>
      <c r="J25" s="19"/>
      <c r="K25" s="4"/>
      <c r="L25" s="4"/>
      <c r="M25" s="18"/>
      <c r="N25" s="10"/>
    </row>
    <row r="26" spans="1:18" x14ac:dyDescent="0.3">
      <c r="B26" s="8" t="s">
        <v>20</v>
      </c>
      <c r="C26" s="18"/>
      <c r="D26" s="10"/>
      <c r="E26" s="19"/>
      <c r="H26" s="21"/>
      <c r="I26" s="22"/>
      <c r="J26" s="5"/>
      <c r="K26" s="4"/>
      <c r="L26" s="4"/>
      <c r="M26" s="18"/>
      <c r="N26" s="10"/>
    </row>
    <row r="27" spans="1:18" x14ac:dyDescent="0.3">
      <c r="B27" s="4" t="s">
        <v>21</v>
      </c>
      <c r="C27" s="18">
        <v>3530</v>
      </c>
      <c r="D27" s="10" t="s">
        <v>11</v>
      </c>
      <c r="E27" s="19"/>
      <c r="F27" s="12"/>
      <c r="G27" s="12"/>
      <c r="H27" s="20">
        <v>3175</v>
      </c>
      <c r="I27" s="10" t="s">
        <v>11</v>
      </c>
      <c r="J27" s="19"/>
      <c r="K27" s="4"/>
      <c r="L27" s="4"/>
      <c r="M27" s="18">
        <v>2855</v>
      </c>
      <c r="N27" s="10" t="s">
        <v>11</v>
      </c>
    </row>
    <row r="28" spans="1:18" x14ac:dyDescent="0.3">
      <c r="B28" s="4" t="s">
        <v>22</v>
      </c>
      <c r="C28" s="23">
        <v>4200</v>
      </c>
      <c r="D28" s="24" t="s">
        <v>11</v>
      </c>
      <c r="E28" s="19"/>
      <c r="F28" s="12"/>
      <c r="G28" s="12"/>
      <c r="H28" s="25">
        <f>+C28*0.9</f>
        <v>3780</v>
      </c>
      <c r="I28" s="24" t="s">
        <v>11</v>
      </c>
      <c r="J28" s="19"/>
      <c r="K28" s="4"/>
      <c r="L28" s="4"/>
      <c r="M28" s="23">
        <v>3400</v>
      </c>
      <c r="N28" s="24" t="s">
        <v>11</v>
      </c>
    </row>
    <row r="29" spans="1:18" x14ac:dyDescent="0.3">
      <c r="B29" s="4"/>
      <c r="C29" s="26"/>
      <c r="D29" s="27"/>
      <c r="E29" s="19"/>
      <c r="H29" s="28"/>
      <c r="I29" s="27"/>
      <c r="J29" s="19"/>
      <c r="K29" s="4"/>
      <c r="L29" s="4"/>
      <c r="M29" s="26"/>
      <c r="N29" s="27"/>
    </row>
    <row r="30" spans="1:18" x14ac:dyDescent="0.3">
      <c r="B30" s="29" t="s">
        <v>23</v>
      </c>
      <c r="C30" s="97">
        <v>10930</v>
      </c>
      <c r="D30" s="98"/>
      <c r="E30" s="11"/>
      <c r="F30" s="30"/>
      <c r="G30" s="30"/>
      <c r="H30" s="31"/>
      <c r="I30" s="32"/>
      <c r="J30" s="5"/>
      <c r="K30" s="4"/>
      <c r="L30" s="4"/>
      <c r="M30" s="26"/>
      <c r="N30" s="27"/>
    </row>
    <row r="31" spans="1:18" x14ac:dyDescent="0.3">
      <c r="B31" s="33" t="s">
        <v>24</v>
      </c>
      <c r="C31" s="34"/>
      <c r="D31" s="33"/>
      <c r="E31" s="35"/>
      <c r="F31" s="36"/>
      <c r="G31" s="36"/>
      <c r="H31" s="34"/>
      <c r="I31" s="33"/>
      <c r="J31" s="35"/>
      <c r="K31" s="4"/>
      <c r="L31" s="4"/>
      <c r="M31" s="26"/>
      <c r="N31" s="27"/>
    </row>
    <row r="32" spans="1:18" ht="15" thickBot="1" x14ac:dyDescent="0.35">
      <c r="B32" s="33"/>
      <c r="C32" s="34"/>
      <c r="D32" s="33"/>
      <c r="E32" s="35"/>
      <c r="F32" s="36"/>
      <c r="G32" s="36"/>
      <c r="H32" s="34"/>
      <c r="I32" s="33"/>
      <c r="J32" s="35"/>
      <c r="K32" s="4"/>
      <c r="L32" s="4"/>
      <c r="M32" s="26"/>
      <c r="N32" s="27"/>
    </row>
    <row r="33" spans="2:21" x14ac:dyDescent="0.3">
      <c r="B33" s="88" t="s">
        <v>25</v>
      </c>
      <c r="C33" s="89"/>
      <c r="D33" s="89"/>
      <c r="E33" s="89"/>
      <c r="F33" s="89"/>
      <c r="G33" s="89"/>
      <c r="H33" s="89"/>
      <c r="I33" s="89"/>
      <c r="J33" s="89"/>
      <c r="K33" s="89"/>
      <c r="L33" s="89"/>
      <c r="M33" s="89"/>
      <c r="N33" s="90"/>
      <c r="R33" s="16" t="s">
        <v>18</v>
      </c>
    </row>
    <row r="34" spans="2:21" ht="12.75" customHeight="1" x14ac:dyDescent="0.3">
      <c r="B34" s="4"/>
      <c r="C34" s="86" t="s">
        <v>3</v>
      </c>
      <c r="D34" s="87"/>
      <c r="E34" s="5"/>
      <c r="F34" s="30"/>
      <c r="G34" s="30"/>
      <c r="H34" s="86" t="s">
        <v>4</v>
      </c>
      <c r="I34" s="87"/>
      <c r="J34" s="5"/>
      <c r="K34" s="4"/>
      <c r="L34" s="4"/>
      <c r="M34" s="86" t="s">
        <v>5</v>
      </c>
      <c r="N34" s="87"/>
      <c r="R34" s="72" t="s">
        <v>26</v>
      </c>
      <c r="S34" s="72"/>
      <c r="T34" s="72"/>
      <c r="U34" s="72"/>
    </row>
    <row r="35" spans="2:21" x14ac:dyDescent="0.3">
      <c r="B35" s="4"/>
      <c r="C35" s="77" t="s">
        <v>27</v>
      </c>
      <c r="D35" s="78"/>
      <c r="E35" s="37"/>
      <c r="F35" s="30"/>
      <c r="G35" s="30"/>
      <c r="H35" s="70" t="s">
        <v>28</v>
      </c>
      <c r="I35" s="71"/>
      <c r="J35" s="5"/>
      <c r="K35" s="4"/>
      <c r="L35" s="4"/>
      <c r="M35" s="70" t="s">
        <v>29</v>
      </c>
      <c r="N35" s="71"/>
      <c r="R35" s="72"/>
      <c r="S35" s="72"/>
      <c r="T35" s="72"/>
      <c r="U35" s="72"/>
    </row>
    <row r="36" spans="2:21" x14ac:dyDescent="0.3">
      <c r="B36" s="8" t="s">
        <v>30</v>
      </c>
      <c r="C36" s="38"/>
      <c r="D36" s="10"/>
      <c r="E36" s="19"/>
      <c r="F36" s="30"/>
      <c r="G36" s="30"/>
      <c r="H36" s="38"/>
      <c r="I36" s="39"/>
      <c r="J36" s="40"/>
      <c r="K36" s="4"/>
      <c r="L36" s="4"/>
      <c r="M36" s="41"/>
      <c r="N36" s="42"/>
      <c r="R36" s="72"/>
      <c r="S36" s="72"/>
      <c r="T36" s="72"/>
      <c r="U36" s="72"/>
    </row>
    <row r="37" spans="2:21" x14ac:dyDescent="0.3">
      <c r="B37" s="4" t="s">
        <v>10</v>
      </c>
      <c r="C37" s="18">
        <v>3550</v>
      </c>
      <c r="D37" s="10" t="s">
        <v>11</v>
      </c>
      <c r="E37" s="11">
        <f>+C37/4</f>
        <v>887.5</v>
      </c>
      <c r="F37" s="12"/>
      <c r="G37" s="12"/>
      <c r="H37" s="18">
        <v>3200</v>
      </c>
      <c r="I37" s="10" t="s">
        <v>11</v>
      </c>
      <c r="J37" s="11">
        <f>+H37/4</f>
        <v>800</v>
      </c>
      <c r="K37" s="12"/>
      <c r="L37" s="12"/>
      <c r="M37" s="18">
        <v>2880</v>
      </c>
      <c r="N37" s="10" t="s">
        <v>11</v>
      </c>
      <c r="O37" s="11">
        <f>+M37/4</f>
        <v>720</v>
      </c>
      <c r="P37" s="12"/>
      <c r="R37" s="72"/>
      <c r="S37" s="72"/>
      <c r="T37" s="72"/>
      <c r="U37" s="72"/>
    </row>
    <row r="38" spans="2:21" x14ac:dyDescent="0.3">
      <c r="B38" s="4" t="s">
        <v>12</v>
      </c>
      <c r="C38" s="18">
        <f>665*8</f>
        <v>5320</v>
      </c>
      <c r="D38" s="10" t="s">
        <v>11</v>
      </c>
      <c r="E38" s="43">
        <f>+C38/8</f>
        <v>665</v>
      </c>
      <c r="F38" s="44">
        <f>+E38/E37</f>
        <v>0.74929577464788732</v>
      </c>
      <c r="G38" s="44"/>
      <c r="H38" s="18">
        <v>4785</v>
      </c>
      <c r="I38" s="10" t="s">
        <v>11</v>
      </c>
      <c r="J38" s="43">
        <f>+H38/8</f>
        <v>598.125</v>
      </c>
      <c r="K38" s="44">
        <f>+J38/J37</f>
        <v>0.74765625000000002</v>
      </c>
      <c r="L38" s="44"/>
      <c r="M38" s="18">
        <v>4305</v>
      </c>
      <c r="N38" s="10" t="s">
        <v>11</v>
      </c>
      <c r="O38" s="43">
        <f>+M38/8</f>
        <v>538.125</v>
      </c>
      <c r="P38" s="44">
        <f>+O38/O37</f>
        <v>0.74739583333333337</v>
      </c>
      <c r="R38" s="72"/>
      <c r="S38" s="72"/>
      <c r="T38" s="72"/>
      <c r="U38" s="72"/>
    </row>
    <row r="39" spans="2:21" x14ac:dyDescent="0.3">
      <c r="B39" s="4" t="s">
        <v>13</v>
      </c>
      <c r="C39" s="18">
        <f>600*12</f>
        <v>7200</v>
      </c>
      <c r="D39" s="10" t="s">
        <v>11</v>
      </c>
      <c r="E39" s="43">
        <f>+C39/12</f>
        <v>600</v>
      </c>
      <c r="F39" s="44">
        <f>+E39/E37</f>
        <v>0.676056338028169</v>
      </c>
      <c r="G39" s="44"/>
      <c r="H39" s="18">
        <f>+C39*0.9</f>
        <v>6480</v>
      </c>
      <c r="I39" s="10" t="s">
        <v>11</v>
      </c>
      <c r="J39" s="43">
        <f>+H39/12</f>
        <v>540</v>
      </c>
      <c r="K39" s="44">
        <f>+J39/J37</f>
        <v>0.67500000000000004</v>
      </c>
      <c r="L39" s="44"/>
      <c r="M39" s="18">
        <v>5830</v>
      </c>
      <c r="N39" s="10" t="s">
        <v>11</v>
      </c>
      <c r="O39" s="43">
        <f>+M39/12</f>
        <v>485.83333333333331</v>
      </c>
      <c r="P39" s="44">
        <f>+O39/O37</f>
        <v>0.67476851851851849</v>
      </c>
      <c r="R39" s="72"/>
      <c r="S39" s="72"/>
      <c r="T39" s="72"/>
      <c r="U39" s="72"/>
    </row>
    <row r="40" spans="2:21" x14ac:dyDescent="0.3">
      <c r="B40" s="4"/>
      <c r="C40" s="18"/>
      <c r="D40" s="10"/>
      <c r="E40" s="19"/>
      <c r="F40" s="30"/>
      <c r="G40" s="30"/>
      <c r="H40" s="18"/>
      <c r="I40" s="10"/>
      <c r="J40" s="19"/>
      <c r="K40" s="4"/>
      <c r="L40" s="4"/>
      <c r="M40" s="18"/>
      <c r="N40" s="10"/>
      <c r="R40" s="72"/>
      <c r="S40" s="72"/>
      <c r="T40" s="72"/>
      <c r="U40" s="72"/>
    </row>
    <row r="41" spans="2:21" x14ac:dyDescent="0.3">
      <c r="B41" s="8" t="s">
        <v>31</v>
      </c>
      <c r="C41" s="18"/>
      <c r="D41" s="45"/>
      <c r="E41" s="19"/>
      <c r="F41" s="30"/>
      <c r="G41" s="30"/>
      <c r="H41" s="38"/>
      <c r="I41" s="46"/>
      <c r="J41" s="40"/>
      <c r="M41" s="38"/>
      <c r="N41" s="46"/>
      <c r="R41" s="72"/>
      <c r="S41" s="72"/>
      <c r="T41" s="72"/>
      <c r="U41" s="72"/>
    </row>
    <row r="42" spans="2:21" x14ac:dyDescent="0.3">
      <c r="B42" s="4" t="s">
        <v>10</v>
      </c>
      <c r="C42" s="18">
        <v>3550</v>
      </c>
      <c r="D42" s="10" t="s">
        <v>11</v>
      </c>
      <c r="E42" s="11">
        <f>+C42/4</f>
        <v>887.5</v>
      </c>
      <c r="F42" s="12"/>
      <c r="G42" s="12"/>
      <c r="H42" s="18">
        <v>3200</v>
      </c>
      <c r="I42" s="10" t="s">
        <v>11</v>
      </c>
      <c r="J42" s="11">
        <f>+H42/4</f>
        <v>800</v>
      </c>
      <c r="K42" s="12"/>
      <c r="L42" s="12"/>
      <c r="M42" s="18">
        <v>2880</v>
      </c>
      <c r="N42" s="10" t="s">
        <v>11</v>
      </c>
      <c r="O42" s="11">
        <f>+M42/4</f>
        <v>720</v>
      </c>
      <c r="P42" s="12"/>
      <c r="R42" s="72"/>
      <c r="S42" s="72"/>
      <c r="T42" s="72"/>
      <c r="U42" s="72"/>
    </row>
    <row r="43" spans="2:21" x14ac:dyDescent="0.3">
      <c r="B43" s="4" t="s">
        <v>12</v>
      </c>
      <c r="C43" s="18">
        <f>665*8</f>
        <v>5320</v>
      </c>
      <c r="D43" s="10" t="s">
        <v>11</v>
      </c>
      <c r="E43" s="43">
        <f>+C43/8</f>
        <v>665</v>
      </c>
      <c r="F43" s="44">
        <f>+E43/E42</f>
        <v>0.74929577464788732</v>
      </c>
      <c r="G43" s="44"/>
      <c r="H43" s="18">
        <v>4785</v>
      </c>
      <c r="I43" s="10" t="s">
        <v>11</v>
      </c>
      <c r="J43" s="43">
        <f>+H43/8</f>
        <v>598.125</v>
      </c>
      <c r="K43" s="44">
        <f>+J43/J42</f>
        <v>0.74765625000000002</v>
      </c>
      <c r="L43" s="44"/>
      <c r="M43" s="18">
        <v>4305</v>
      </c>
      <c r="N43" s="10" t="s">
        <v>11</v>
      </c>
      <c r="O43" s="43">
        <f>+M43/8</f>
        <v>538.125</v>
      </c>
      <c r="P43" s="44">
        <f>+O43/O42</f>
        <v>0.74739583333333337</v>
      </c>
      <c r="R43" s="72"/>
      <c r="S43" s="72"/>
      <c r="T43" s="72"/>
      <c r="U43" s="72"/>
    </row>
    <row r="44" spans="2:21" x14ac:dyDescent="0.3">
      <c r="B44" s="4" t="s">
        <v>13</v>
      </c>
      <c r="C44" s="18">
        <f>600*12</f>
        <v>7200</v>
      </c>
      <c r="D44" s="10" t="s">
        <v>11</v>
      </c>
      <c r="E44" s="43">
        <f>+C44/12</f>
        <v>600</v>
      </c>
      <c r="F44" s="44">
        <f>+E44/E42</f>
        <v>0.676056338028169</v>
      </c>
      <c r="G44" s="44"/>
      <c r="H44" s="18">
        <f>+C44*0.9</f>
        <v>6480</v>
      </c>
      <c r="I44" s="10" t="s">
        <v>11</v>
      </c>
      <c r="J44" s="43">
        <f>+H44/12</f>
        <v>540</v>
      </c>
      <c r="K44" s="44">
        <f>+J44/J42</f>
        <v>0.67500000000000004</v>
      </c>
      <c r="L44" s="44"/>
      <c r="M44" s="18">
        <v>5830</v>
      </c>
      <c r="N44" s="10" t="s">
        <v>11</v>
      </c>
      <c r="O44" s="43">
        <f>+M44/12</f>
        <v>485.83333333333331</v>
      </c>
      <c r="P44" s="44">
        <f>+O44/O42</f>
        <v>0.67476851851851849</v>
      </c>
      <c r="R44" s="72"/>
      <c r="S44" s="72"/>
      <c r="T44" s="72"/>
      <c r="U44" s="72"/>
    </row>
    <row r="45" spans="2:21" x14ac:dyDescent="0.3">
      <c r="B45" s="4"/>
      <c r="C45" s="18"/>
      <c r="D45" s="46"/>
      <c r="E45" s="40"/>
      <c r="F45" s="30"/>
      <c r="G45" s="30"/>
      <c r="H45" s="38"/>
      <c r="I45" s="46"/>
      <c r="J45" s="40"/>
      <c r="M45" s="38"/>
      <c r="N45" s="46"/>
      <c r="R45" s="72"/>
      <c r="S45" s="72"/>
      <c r="T45" s="72"/>
      <c r="U45" s="72"/>
    </row>
    <row r="46" spans="2:21" x14ac:dyDescent="0.3">
      <c r="B46" s="8" t="s">
        <v>32</v>
      </c>
      <c r="C46" s="18"/>
      <c r="D46" s="10"/>
      <c r="E46" s="19"/>
      <c r="F46" s="30"/>
      <c r="G46" s="30"/>
      <c r="H46" s="38"/>
      <c r="I46" s="39"/>
      <c r="J46" s="40"/>
      <c r="K46" s="4"/>
      <c r="L46" s="4"/>
      <c r="M46" s="38"/>
      <c r="N46" s="39"/>
      <c r="R46" s="72"/>
      <c r="S46" s="72"/>
      <c r="T46" s="72"/>
      <c r="U46" s="72"/>
    </row>
    <row r="47" spans="2:21" x14ac:dyDescent="0.3">
      <c r="B47" s="4" t="s">
        <v>10</v>
      </c>
      <c r="C47" s="18">
        <v>3550</v>
      </c>
      <c r="D47" s="10" t="s">
        <v>11</v>
      </c>
      <c r="E47" s="11">
        <f>+C47/4</f>
        <v>887.5</v>
      </c>
      <c r="F47" s="12"/>
      <c r="G47" s="12"/>
      <c r="H47" s="18">
        <v>3200</v>
      </c>
      <c r="I47" s="10" t="s">
        <v>11</v>
      </c>
      <c r="J47" s="11">
        <f>+H47/4</f>
        <v>800</v>
      </c>
      <c r="K47" s="12"/>
      <c r="L47" s="12"/>
      <c r="M47" s="18">
        <v>2880</v>
      </c>
      <c r="N47" s="10" t="s">
        <v>11</v>
      </c>
      <c r="O47" s="11">
        <f>+M47/4</f>
        <v>720</v>
      </c>
      <c r="P47" s="12"/>
      <c r="R47" s="72"/>
      <c r="S47" s="72"/>
      <c r="T47" s="72"/>
      <c r="U47" s="72"/>
    </row>
    <row r="48" spans="2:21" x14ac:dyDescent="0.3">
      <c r="B48" s="4" t="s">
        <v>12</v>
      </c>
      <c r="C48" s="18">
        <f>665*8</f>
        <v>5320</v>
      </c>
      <c r="D48" s="10" t="s">
        <v>11</v>
      </c>
      <c r="E48" s="43">
        <f>+C48/8</f>
        <v>665</v>
      </c>
      <c r="F48" s="44">
        <f>+E48/E47</f>
        <v>0.74929577464788732</v>
      </c>
      <c r="G48" s="44"/>
      <c r="H48" s="18">
        <v>4785</v>
      </c>
      <c r="I48" s="10" t="s">
        <v>11</v>
      </c>
      <c r="J48" s="43">
        <f>+H48/8</f>
        <v>598.125</v>
      </c>
      <c r="K48" s="44">
        <f>+J48/J47</f>
        <v>0.74765625000000002</v>
      </c>
      <c r="L48" s="44"/>
      <c r="M48" s="18">
        <v>4305</v>
      </c>
      <c r="N48" s="10" t="s">
        <v>11</v>
      </c>
      <c r="O48" s="43">
        <f>+M48/8</f>
        <v>538.125</v>
      </c>
      <c r="P48" s="44">
        <f>+O48/O47</f>
        <v>0.74739583333333337</v>
      </c>
      <c r="R48" s="72"/>
      <c r="S48" s="72"/>
      <c r="T48" s="72"/>
      <c r="U48" s="72"/>
    </row>
    <row r="49" spans="2:21" x14ac:dyDescent="0.3">
      <c r="B49" s="4" t="s">
        <v>13</v>
      </c>
      <c r="C49" s="23">
        <f>600*12</f>
        <v>7200</v>
      </c>
      <c r="D49" s="24" t="s">
        <v>11</v>
      </c>
      <c r="E49" s="43">
        <f>+C49/12</f>
        <v>600</v>
      </c>
      <c r="F49" s="44">
        <f>+E49/E47</f>
        <v>0.676056338028169</v>
      </c>
      <c r="G49" s="44"/>
      <c r="H49" s="23">
        <f>+C49*0.9</f>
        <v>6480</v>
      </c>
      <c r="I49" s="24" t="s">
        <v>11</v>
      </c>
      <c r="J49" s="43">
        <f>+H49/12</f>
        <v>540</v>
      </c>
      <c r="K49" s="44">
        <f>+J49/J47</f>
        <v>0.67500000000000004</v>
      </c>
      <c r="L49" s="44"/>
      <c r="M49" s="23">
        <v>5830</v>
      </c>
      <c r="N49" s="24" t="s">
        <v>11</v>
      </c>
      <c r="O49" s="43">
        <f>+M49/12</f>
        <v>485.83333333333331</v>
      </c>
      <c r="P49" s="44">
        <f>+O49/O47</f>
        <v>0.67476851851851849</v>
      </c>
      <c r="R49" s="72"/>
      <c r="S49" s="72"/>
      <c r="T49" s="72"/>
      <c r="U49" s="72"/>
    </row>
    <row r="50" spans="2:21" x14ac:dyDescent="0.3">
      <c r="B50" s="4"/>
      <c r="C50" s="26"/>
      <c r="D50" s="27"/>
      <c r="E50" s="19"/>
      <c r="F50" s="30"/>
      <c r="G50" s="30"/>
      <c r="H50" s="26"/>
      <c r="I50" s="27"/>
      <c r="J50" s="19"/>
      <c r="K50" s="4"/>
      <c r="L50" s="4"/>
      <c r="M50" s="26"/>
      <c r="N50" s="27"/>
    </row>
    <row r="51" spans="2:21" x14ac:dyDescent="0.3">
      <c r="B51" s="8" t="s">
        <v>33</v>
      </c>
      <c r="C51" s="26"/>
      <c r="D51" s="27"/>
      <c r="E51" s="19"/>
      <c r="F51" s="30"/>
      <c r="G51" s="30"/>
      <c r="H51" s="26"/>
      <c r="I51" s="27"/>
      <c r="J51" s="19"/>
      <c r="K51" s="4"/>
      <c r="L51" s="4"/>
      <c r="M51" s="26"/>
      <c r="N51" s="27"/>
      <c r="R51" s="16" t="s">
        <v>18</v>
      </c>
    </row>
    <row r="52" spans="2:21" x14ac:dyDescent="0.3">
      <c r="B52" s="4" t="s">
        <v>34</v>
      </c>
      <c r="C52" s="47">
        <f>(1500*20)*1.16</f>
        <v>34800</v>
      </c>
      <c r="D52" s="48" t="s">
        <v>11</v>
      </c>
      <c r="E52" s="19"/>
      <c r="F52" s="12"/>
      <c r="G52" s="12"/>
      <c r="H52" s="26"/>
      <c r="I52" s="27"/>
      <c r="J52" s="19"/>
      <c r="K52" s="4"/>
      <c r="L52" s="4"/>
      <c r="M52" s="26"/>
      <c r="N52" s="27"/>
    </row>
    <row r="53" spans="2:21" x14ac:dyDescent="0.3">
      <c r="B53" s="91" t="s">
        <v>0</v>
      </c>
      <c r="C53" s="91"/>
      <c r="D53" s="91"/>
      <c r="E53" s="91"/>
      <c r="F53" s="91"/>
      <c r="G53" s="91"/>
      <c r="H53" s="91"/>
      <c r="I53" s="91"/>
      <c r="J53" s="91"/>
      <c r="K53" s="91"/>
      <c r="L53" s="91"/>
      <c r="M53" s="91"/>
      <c r="N53" s="91"/>
      <c r="O53" s="91"/>
    </row>
    <row r="54" spans="2:21" ht="15" thickBot="1" x14ac:dyDescent="0.35">
      <c r="B54" s="92" t="s">
        <v>1</v>
      </c>
      <c r="C54" s="92"/>
      <c r="D54" s="92"/>
      <c r="E54" s="92"/>
      <c r="F54" s="92"/>
      <c r="G54" s="92"/>
      <c r="H54" s="92"/>
      <c r="I54" s="92"/>
      <c r="J54" s="92"/>
      <c r="K54" s="92"/>
      <c r="L54" s="92"/>
      <c r="M54" s="92"/>
      <c r="N54" s="92"/>
      <c r="O54" s="92"/>
    </row>
    <row r="55" spans="2:21" ht="15" thickBot="1" x14ac:dyDescent="0.35">
      <c r="B55" s="81" t="s">
        <v>35</v>
      </c>
      <c r="C55" s="82"/>
      <c r="D55" s="82"/>
      <c r="E55" s="82"/>
      <c r="F55" s="82"/>
      <c r="G55" s="82"/>
      <c r="H55" s="93"/>
      <c r="I55" s="93"/>
      <c r="J55" s="82"/>
      <c r="K55" s="82"/>
      <c r="L55" s="82"/>
      <c r="M55" s="82"/>
      <c r="N55" s="83"/>
      <c r="R55" s="7"/>
    </row>
    <row r="56" spans="2:21" ht="12.75" customHeight="1" x14ac:dyDescent="0.3">
      <c r="B56" s="4"/>
      <c r="C56" s="84" t="s">
        <v>3</v>
      </c>
      <c r="D56" s="85"/>
      <c r="E56" s="5"/>
      <c r="H56" s="70" t="s">
        <v>4</v>
      </c>
      <c r="I56" s="71"/>
      <c r="J56" s="5"/>
      <c r="K56" s="4"/>
      <c r="L56" s="4"/>
      <c r="M56" s="84" t="s">
        <v>5</v>
      </c>
      <c r="N56" s="85"/>
      <c r="R56" s="72" t="s">
        <v>36</v>
      </c>
      <c r="S56" s="72"/>
      <c r="T56" s="72"/>
      <c r="U56" s="72"/>
    </row>
    <row r="57" spans="2:21" x14ac:dyDescent="0.3">
      <c r="B57" s="4"/>
      <c r="C57" s="70" t="s">
        <v>37</v>
      </c>
      <c r="D57" s="71"/>
      <c r="E57" s="5"/>
      <c r="H57" s="70" t="s">
        <v>38</v>
      </c>
      <c r="I57" s="71"/>
      <c r="J57" s="5"/>
      <c r="K57" s="4"/>
      <c r="L57" s="4"/>
      <c r="M57" s="70" t="s">
        <v>39</v>
      </c>
      <c r="N57" s="71"/>
      <c r="R57" s="72"/>
      <c r="S57" s="72"/>
      <c r="T57" s="72"/>
      <c r="U57" s="72"/>
    </row>
    <row r="58" spans="2:21" x14ac:dyDescent="0.3">
      <c r="B58" s="8" t="s">
        <v>35</v>
      </c>
      <c r="C58" s="49"/>
      <c r="D58" s="10"/>
      <c r="E58" s="19"/>
      <c r="H58" s="38"/>
      <c r="I58" s="39"/>
      <c r="J58" s="40"/>
      <c r="K58" s="4"/>
      <c r="L58" s="4"/>
      <c r="M58" s="41"/>
      <c r="N58" s="42"/>
      <c r="R58" s="72"/>
      <c r="S58" s="72"/>
      <c r="T58" s="72"/>
      <c r="U58" s="72"/>
    </row>
    <row r="59" spans="2:21" x14ac:dyDescent="0.3">
      <c r="B59" s="4" t="s">
        <v>10</v>
      </c>
      <c r="C59" s="18">
        <v>2825</v>
      </c>
      <c r="D59" s="50" t="s">
        <v>11</v>
      </c>
      <c r="E59" s="11">
        <f>+C59/4</f>
        <v>706.25</v>
      </c>
      <c r="F59" s="12"/>
      <c r="G59" s="12"/>
      <c r="H59" s="18">
        <f>+C59*0.9</f>
        <v>2542.5</v>
      </c>
      <c r="I59" s="50" t="s">
        <v>11</v>
      </c>
      <c r="J59" s="11">
        <f>+H59/4</f>
        <v>635.625</v>
      </c>
      <c r="K59" s="12"/>
      <c r="L59" s="12"/>
      <c r="M59" s="18">
        <f>+H59*0.9</f>
        <v>2288.25</v>
      </c>
      <c r="N59" s="10" t="s">
        <v>11</v>
      </c>
      <c r="O59" s="11">
        <f>+M59/4</f>
        <v>572.0625</v>
      </c>
      <c r="P59" s="12"/>
      <c r="R59" s="72"/>
      <c r="S59" s="72"/>
      <c r="T59" s="72"/>
      <c r="U59" s="72"/>
    </row>
    <row r="60" spans="2:21" x14ac:dyDescent="0.3">
      <c r="B60" s="4" t="s">
        <v>12</v>
      </c>
      <c r="C60" s="18">
        <f>530*8</f>
        <v>4240</v>
      </c>
      <c r="D60" s="50" t="s">
        <v>11</v>
      </c>
      <c r="E60" s="43">
        <f>+C60/8</f>
        <v>530</v>
      </c>
      <c r="F60" s="44">
        <f>+E60/E59</f>
        <v>0.75044247787610618</v>
      </c>
      <c r="G60" s="44"/>
      <c r="H60" s="18">
        <v>3815</v>
      </c>
      <c r="I60" s="50" t="s">
        <v>11</v>
      </c>
      <c r="J60" s="43">
        <f>+H60/8</f>
        <v>476.875</v>
      </c>
      <c r="K60" s="44">
        <f>+J60/J59</f>
        <v>0.75024582104228121</v>
      </c>
      <c r="L60" s="44"/>
      <c r="M60" s="18">
        <v>3435</v>
      </c>
      <c r="N60" s="10" t="s">
        <v>11</v>
      </c>
      <c r="O60" s="43">
        <f>+M60/8</f>
        <v>429.375</v>
      </c>
      <c r="P60" s="44">
        <f>+O60/O59</f>
        <v>0.75057358243198946</v>
      </c>
      <c r="R60" s="72"/>
      <c r="S60" s="72"/>
      <c r="T60" s="72"/>
      <c r="U60" s="72"/>
    </row>
    <row r="61" spans="2:21" x14ac:dyDescent="0.3">
      <c r="B61" s="4" t="s">
        <v>13</v>
      </c>
      <c r="C61" s="23">
        <f>480*12</f>
        <v>5760</v>
      </c>
      <c r="D61" s="51" t="s">
        <v>11</v>
      </c>
      <c r="E61" s="43">
        <f>+C61/12</f>
        <v>480</v>
      </c>
      <c r="F61" s="44">
        <f>+E61/E59</f>
        <v>0.67964601769911503</v>
      </c>
      <c r="G61" s="44"/>
      <c r="H61" s="23">
        <v>5185</v>
      </c>
      <c r="I61" s="51" t="s">
        <v>11</v>
      </c>
      <c r="J61" s="43">
        <f>+H61/12</f>
        <v>432.08333333333331</v>
      </c>
      <c r="K61" s="44">
        <f>+J61/J59</f>
        <v>0.67977712225499831</v>
      </c>
      <c r="L61" s="44"/>
      <c r="M61" s="18">
        <v>4665</v>
      </c>
      <c r="N61" s="24" t="s">
        <v>11</v>
      </c>
      <c r="O61" s="43">
        <f>+M61/12</f>
        <v>388.75</v>
      </c>
      <c r="P61" s="44">
        <f>+O61/O59</f>
        <v>0.67955861466185952</v>
      </c>
      <c r="R61" s="72"/>
      <c r="S61" s="72"/>
      <c r="T61" s="72"/>
      <c r="U61" s="72"/>
    </row>
    <row r="62" spans="2:21" ht="15" thickBot="1" x14ac:dyDescent="0.35">
      <c r="B62" s="4"/>
      <c r="C62" s="26"/>
      <c r="D62" s="27"/>
      <c r="E62" s="19"/>
      <c r="H62" s="26"/>
      <c r="I62" s="27"/>
      <c r="J62" s="19"/>
      <c r="K62" s="4"/>
      <c r="L62" s="4"/>
      <c r="M62" s="26"/>
      <c r="N62" s="27"/>
      <c r="R62" s="52"/>
      <c r="S62" s="52"/>
      <c r="T62" s="52"/>
      <c r="U62" s="52"/>
    </row>
    <row r="63" spans="2:21" x14ac:dyDescent="0.3">
      <c r="B63" s="88" t="s">
        <v>40</v>
      </c>
      <c r="C63" s="89"/>
      <c r="D63" s="89"/>
      <c r="E63" s="89"/>
      <c r="F63" s="89"/>
      <c r="G63" s="89"/>
      <c r="H63" s="89"/>
      <c r="I63" s="89"/>
      <c r="J63" s="89"/>
      <c r="K63" s="89"/>
      <c r="L63" s="89"/>
      <c r="M63" s="89"/>
      <c r="N63" s="90"/>
      <c r="R63" s="52"/>
      <c r="S63" s="52"/>
      <c r="T63" s="52"/>
      <c r="U63" s="52"/>
    </row>
    <row r="64" spans="2:21" x14ac:dyDescent="0.3">
      <c r="B64" s="4"/>
      <c r="C64" s="86" t="s">
        <v>3</v>
      </c>
      <c r="D64" s="87"/>
      <c r="E64" s="5"/>
      <c r="H64" s="86" t="s">
        <v>4</v>
      </c>
      <c r="I64" s="87"/>
      <c r="J64" s="5"/>
      <c r="K64" s="4"/>
      <c r="L64" s="4"/>
      <c r="M64" s="86" t="s">
        <v>5</v>
      </c>
      <c r="N64" s="87"/>
      <c r="R64" s="7"/>
    </row>
    <row r="65" spans="2:21" x14ac:dyDescent="0.3">
      <c r="B65" s="4"/>
      <c r="C65" s="70" t="s">
        <v>27</v>
      </c>
      <c r="D65" s="71"/>
      <c r="E65" s="5"/>
      <c r="H65" s="70" t="s">
        <v>28</v>
      </c>
      <c r="I65" s="71"/>
      <c r="J65" s="5"/>
      <c r="K65" s="4"/>
      <c r="L65" s="4"/>
      <c r="M65" s="70" t="s">
        <v>29</v>
      </c>
      <c r="N65" s="71"/>
      <c r="R65" s="72" t="s">
        <v>36</v>
      </c>
      <c r="S65" s="72"/>
      <c r="T65" s="72"/>
      <c r="U65" s="72"/>
    </row>
    <row r="66" spans="2:21" x14ac:dyDescent="0.3">
      <c r="B66" s="8" t="s">
        <v>41</v>
      </c>
      <c r="C66" s="41"/>
      <c r="D66" s="53"/>
      <c r="E66" s="19"/>
      <c r="H66" s="38"/>
      <c r="I66" s="39"/>
      <c r="J66" s="40"/>
      <c r="K66" s="4"/>
      <c r="L66" s="4"/>
      <c r="M66" s="38"/>
      <c r="N66" s="39"/>
      <c r="R66" s="72"/>
      <c r="S66" s="72"/>
      <c r="T66" s="72"/>
      <c r="U66" s="72"/>
    </row>
    <row r="67" spans="2:21" x14ac:dyDescent="0.3">
      <c r="B67" s="4" t="s">
        <v>10</v>
      </c>
      <c r="C67" s="18">
        <v>3145</v>
      </c>
      <c r="D67" s="50" t="s">
        <v>11</v>
      </c>
      <c r="E67" s="11">
        <f>+C67/4</f>
        <v>786.25</v>
      </c>
      <c r="F67" s="12"/>
      <c r="G67" s="12"/>
      <c r="H67" s="18">
        <v>2830</v>
      </c>
      <c r="I67" s="50" t="s">
        <v>11</v>
      </c>
      <c r="J67" s="11">
        <f>+H67/4</f>
        <v>707.5</v>
      </c>
      <c r="K67" s="12"/>
      <c r="L67" s="12"/>
      <c r="M67" s="18">
        <v>2545</v>
      </c>
      <c r="N67" s="50" t="s">
        <v>11</v>
      </c>
      <c r="O67" s="11">
        <f>+M67/4</f>
        <v>636.25</v>
      </c>
      <c r="P67" s="12"/>
      <c r="R67" s="72"/>
      <c r="S67" s="72"/>
      <c r="T67" s="72"/>
      <c r="U67" s="72"/>
    </row>
    <row r="68" spans="2:21" x14ac:dyDescent="0.3">
      <c r="B68" s="4" t="s">
        <v>12</v>
      </c>
      <c r="C68" s="18">
        <f>590*8</f>
        <v>4720</v>
      </c>
      <c r="D68" s="50" t="s">
        <v>11</v>
      </c>
      <c r="E68" s="43">
        <f>+C68/8</f>
        <v>590</v>
      </c>
      <c r="F68" s="44">
        <f>+E68/E67</f>
        <v>0.75039745627980925</v>
      </c>
      <c r="G68" s="44"/>
      <c r="H68" s="18">
        <v>4250</v>
      </c>
      <c r="I68" s="50" t="s">
        <v>11</v>
      </c>
      <c r="J68" s="43">
        <f>+H68/8</f>
        <v>531.25</v>
      </c>
      <c r="K68" s="44">
        <f>+J68/J67</f>
        <v>0.75088339222614842</v>
      </c>
      <c r="L68" s="44"/>
      <c r="M68" s="18">
        <f>+H68*0.9</f>
        <v>3825</v>
      </c>
      <c r="N68" s="50" t="s">
        <v>11</v>
      </c>
      <c r="O68" s="43">
        <f>+M68/8</f>
        <v>478.125</v>
      </c>
      <c r="P68" s="44">
        <f>+O68/O67</f>
        <v>0.7514734774066798</v>
      </c>
      <c r="R68" s="72"/>
      <c r="S68" s="72"/>
      <c r="T68" s="72"/>
      <c r="U68" s="72"/>
    </row>
    <row r="69" spans="2:21" x14ac:dyDescent="0.3">
      <c r="B69" s="4" t="s">
        <v>13</v>
      </c>
      <c r="C69" s="23">
        <f>535*12</f>
        <v>6420</v>
      </c>
      <c r="D69" s="51" t="s">
        <v>11</v>
      </c>
      <c r="E69" s="43">
        <f>+C69/12</f>
        <v>535</v>
      </c>
      <c r="F69" s="44">
        <f>+E69/E67</f>
        <v>0.68044515103338632</v>
      </c>
      <c r="G69" s="44"/>
      <c r="H69" s="23">
        <v>5775</v>
      </c>
      <c r="I69" s="51" t="s">
        <v>11</v>
      </c>
      <c r="J69" s="43">
        <f>+H69/12</f>
        <v>481.25</v>
      </c>
      <c r="K69" s="44">
        <f>+J69/J67</f>
        <v>0.68021201413427557</v>
      </c>
      <c r="L69" s="44"/>
      <c r="M69" s="23">
        <v>5200</v>
      </c>
      <c r="N69" s="51" t="s">
        <v>11</v>
      </c>
      <c r="O69" s="43">
        <f>+M69/12</f>
        <v>433.33333333333331</v>
      </c>
      <c r="P69" s="44">
        <f>+O69/O67</f>
        <v>0.6810740013097577</v>
      </c>
      <c r="R69" s="72"/>
      <c r="S69" s="72"/>
      <c r="T69" s="72"/>
      <c r="U69" s="72"/>
    </row>
    <row r="70" spans="2:21" x14ac:dyDescent="0.3">
      <c r="B70" s="4"/>
      <c r="C70" s="26"/>
      <c r="D70" s="54"/>
      <c r="E70" s="19"/>
      <c r="F70" s="55"/>
      <c r="G70" s="55"/>
      <c r="H70" s="26"/>
      <c r="I70" s="54"/>
      <c r="J70" s="19"/>
      <c r="K70" s="54"/>
      <c r="L70" s="54"/>
      <c r="M70" s="26"/>
      <c r="N70" s="54"/>
      <c r="R70" s="72"/>
      <c r="S70" s="72"/>
      <c r="T70" s="72"/>
      <c r="U70" s="72"/>
    </row>
    <row r="71" spans="2:21" x14ac:dyDescent="0.3">
      <c r="B71" s="8" t="s">
        <v>42</v>
      </c>
      <c r="C71" s="56"/>
      <c r="D71" s="57"/>
      <c r="E71" s="19"/>
      <c r="F71" s="55"/>
      <c r="G71" s="55"/>
      <c r="H71" s="26"/>
      <c r="I71" s="54"/>
      <c r="J71" s="19"/>
      <c r="K71" s="54"/>
      <c r="L71" s="54"/>
      <c r="M71" s="26"/>
      <c r="N71" s="54"/>
      <c r="R71" s="52"/>
      <c r="S71" s="52"/>
      <c r="T71" s="52"/>
      <c r="U71" s="52"/>
    </row>
    <row r="72" spans="2:21" x14ac:dyDescent="0.3">
      <c r="B72" s="4" t="s">
        <v>43</v>
      </c>
      <c r="C72" s="18">
        <v>525</v>
      </c>
      <c r="D72" s="50" t="s">
        <v>44</v>
      </c>
      <c r="E72" s="19"/>
      <c r="F72" s="12"/>
      <c r="G72" s="12"/>
      <c r="H72" s="26"/>
      <c r="I72" s="54"/>
      <c r="J72" s="19"/>
      <c r="K72" s="54"/>
      <c r="L72" s="54"/>
      <c r="M72" s="26"/>
      <c r="N72" s="54"/>
    </row>
    <row r="73" spans="2:21" x14ac:dyDescent="0.3">
      <c r="B73" s="4" t="s">
        <v>45</v>
      </c>
      <c r="C73" s="23">
        <f>850*1.1</f>
        <v>935.00000000000011</v>
      </c>
      <c r="D73" s="51" t="s">
        <v>44</v>
      </c>
      <c r="E73" s="19"/>
      <c r="F73" s="12"/>
      <c r="G73" s="12"/>
      <c r="H73" s="26"/>
      <c r="I73" s="54"/>
      <c r="J73" s="19"/>
      <c r="K73" s="54"/>
      <c r="L73" s="54"/>
      <c r="M73" s="26"/>
      <c r="N73" s="54"/>
    </row>
    <row r="74" spans="2:21" x14ac:dyDescent="0.3">
      <c r="B74" s="4"/>
      <c r="C74" s="18"/>
      <c r="D74" s="50"/>
      <c r="E74" s="19"/>
      <c r="F74" s="12"/>
      <c r="G74" s="12"/>
      <c r="H74" s="26"/>
      <c r="I74" s="54"/>
      <c r="J74" s="19"/>
      <c r="K74" s="54"/>
      <c r="L74" s="54"/>
      <c r="M74" s="26"/>
      <c r="N74" s="54"/>
    </row>
    <row r="75" spans="2:21" x14ac:dyDescent="0.3">
      <c r="B75" s="4"/>
      <c r="C75" s="86" t="s">
        <v>3</v>
      </c>
      <c r="D75" s="87"/>
      <c r="E75" s="5"/>
      <c r="H75" s="70" t="s">
        <v>4</v>
      </c>
      <c r="I75" s="71"/>
      <c r="J75" s="5"/>
      <c r="K75" s="4"/>
      <c r="L75" s="4"/>
      <c r="M75" s="70" t="s">
        <v>5</v>
      </c>
      <c r="N75" s="71"/>
    </row>
    <row r="76" spans="2:21" x14ac:dyDescent="0.3">
      <c r="B76" s="4"/>
      <c r="C76" s="77" t="s">
        <v>27</v>
      </c>
      <c r="D76" s="78"/>
      <c r="E76" s="37"/>
      <c r="H76" s="70" t="s">
        <v>28</v>
      </c>
      <c r="I76" s="71"/>
      <c r="J76" s="5"/>
      <c r="K76" s="4"/>
      <c r="L76" s="4"/>
      <c r="M76" s="79">
        <v>0.33333333333333331</v>
      </c>
      <c r="N76" s="80"/>
    </row>
    <row r="77" spans="2:21" x14ac:dyDescent="0.3">
      <c r="B77" s="8" t="s">
        <v>46</v>
      </c>
      <c r="C77" s="56"/>
      <c r="D77" s="57"/>
      <c r="E77" s="19"/>
      <c r="F77" s="55"/>
      <c r="G77" s="55"/>
      <c r="H77" s="18"/>
      <c r="I77" s="50"/>
      <c r="J77" s="19"/>
      <c r="K77" s="54"/>
      <c r="L77" s="54"/>
      <c r="M77" s="18"/>
      <c r="N77" s="50"/>
    </row>
    <row r="78" spans="2:21" x14ac:dyDescent="0.3">
      <c r="B78" s="4" t="s">
        <v>10</v>
      </c>
      <c r="C78" s="18">
        <f>1650*1.1</f>
        <v>1815.0000000000002</v>
      </c>
      <c r="D78" s="50" t="s">
        <v>11</v>
      </c>
      <c r="E78" s="11">
        <f>+C78/4</f>
        <v>453.75000000000006</v>
      </c>
      <c r="F78" s="12"/>
      <c r="G78" s="12"/>
      <c r="H78" s="18">
        <v>1630</v>
      </c>
      <c r="I78" s="50" t="s">
        <v>11</v>
      </c>
      <c r="J78" s="11">
        <f>+H78/4</f>
        <v>407.5</v>
      </c>
      <c r="K78" s="12"/>
      <c r="L78" s="12"/>
      <c r="M78" s="18">
        <v>1465</v>
      </c>
      <c r="N78" s="50" t="s">
        <v>11</v>
      </c>
      <c r="O78" s="11">
        <f>+M78/4</f>
        <v>366.25</v>
      </c>
      <c r="P78" s="12"/>
    </row>
    <row r="79" spans="2:21" ht="12.75" customHeight="1" x14ac:dyDescent="0.3">
      <c r="B79" s="4" t="s">
        <v>12</v>
      </c>
      <c r="C79" s="18">
        <f>440*8</f>
        <v>3520</v>
      </c>
      <c r="D79" s="50" t="s">
        <v>11</v>
      </c>
      <c r="E79" s="43">
        <f>+C79/8</f>
        <v>440</v>
      </c>
      <c r="F79" s="44">
        <f>+E79/E78</f>
        <v>0.96969696969696961</v>
      </c>
      <c r="G79" s="44"/>
      <c r="H79" s="18">
        <f>+C79*0.9</f>
        <v>3168</v>
      </c>
      <c r="I79" s="50" t="s">
        <v>11</v>
      </c>
      <c r="J79" s="43">
        <f>+H79/8</f>
        <v>396</v>
      </c>
      <c r="K79" s="44">
        <f>+J79/J78</f>
        <v>0.97177914110429453</v>
      </c>
      <c r="L79" s="44"/>
      <c r="M79" s="18">
        <v>2850</v>
      </c>
      <c r="N79" s="50" t="s">
        <v>11</v>
      </c>
      <c r="O79" s="43">
        <f>+M79/8</f>
        <v>356.25</v>
      </c>
      <c r="P79" s="44">
        <f>+O79/O78</f>
        <v>0.97269624573378843</v>
      </c>
      <c r="R79" s="72" t="s">
        <v>36</v>
      </c>
      <c r="S79" s="72"/>
      <c r="T79" s="72"/>
      <c r="U79" s="72"/>
    </row>
    <row r="80" spans="2:21" x14ac:dyDescent="0.3">
      <c r="B80" s="4" t="s">
        <v>13</v>
      </c>
      <c r="C80" s="23">
        <f>410*12</f>
        <v>4920</v>
      </c>
      <c r="D80" s="51" t="s">
        <v>11</v>
      </c>
      <c r="E80" s="43">
        <f>+C80/12</f>
        <v>410</v>
      </c>
      <c r="F80" s="44">
        <f>+E80/E78</f>
        <v>0.90358126721763077</v>
      </c>
      <c r="G80" s="44"/>
      <c r="H80" s="23">
        <f>+C80*0.9</f>
        <v>4428</v>
      </c>
      <c r="I80" s="51" t="s">
        <v>11</v>
      </c>
      <c r="J80" s="43">
        <f>+H80/12</f>
        <v>369</v>
      </c>
      <c r="K80" s="44">
        <f>+J80/J78</f>
        <v>0.90552147239263803</v>
      </c>
      <c r="L80" s="44"/>
      <c r="M80" s="23">
        <f>+H80*0.9</f>
        <v>3985.2000000000003</v>
      </c>
      <c r="N80" s="51" t="s">
        <v>11</v>
      </c>
      <c r="O80" s="43">
        <f>+M80/12</f>
        <v>332.1</v>
      </c>
      <c r="P80" s="44">
        <f>+O80/O78</f>
        <v>0.90675767918088745</v>
      </c>
      <c r="R80" s="72"/>
      <c r="S80" s="72"/>
      <c r="T80" s="72"/>
      <c r="U80" s="72"/>
    </row>
    <row r="81" spans="2:21" x14ac:dyDescent="0.3">
      <c r="B81" s="4"/>
      <c r="C81" s="26"/>
      <c r="D81" s="58"/>
      <c r="E81" s="19"/>
      <c r="H81" s="26"/>
      <c r="I81" s="27"/>
      <c r="J81" s="19"/>
      <c r="M81" s="26"/>
      <c r="N81" s="27"/>
      <c r="R81" s="72"/>
      <c r="S81" s="72"/>
      <c r="T81" s="72"/>
      <c r="U81" s="72"/>
    </row>
    <row r="82" spans="2:21" ht="15" thickBot="1" x14ac:dyDescent="0.35">
      <c r="B82" s="4"/>
      <c r="C82" s="26"/>
      <c r="D82" s="58"/>
      <c r="E82" s="19"/>
      <c r="H82" s="26"/>
      <c r="I82" s="27"/>
      <c r="J82" s="19"/>
      <c r="K82" s="4"/>
      <c r="L82" s="4"/>
      <c r="M82" s="26"/>
      <c r="N82" s="27"/>
      <c r="R82" s="72"/>
      <c r="S82" s="72"/>
      <c r="T82" s="72"/>
      <c r="U82" s="72"/>
    </row>
    <row r="83" spans="2:21" ht="15" thickBot="1" x14ac:dyDescent="0.35">
      <c r="B83" s="81" t="s">
        <v>47</v>
      </c>
      <c r="C83" s="82"/>
      <c r="D83" s="82"/>
      <c r="E83" s="82"/>
      <c r="F83" s="82"/>
      <c r="G83" s="82"/>
      <c r="H83" s="82"/>
      <c r="I83" s="82"/>
      <c r="J83" s="82"/>
      <c r="K83" s="82"/>
      <c r="L83" s="82"/>
      <c r="M83" s="82"/>
      <c r="N83" s="83"/>
      <c r="R83" s="72"/>
      <c r="S83" s="72"/>
      <c r="T83" s="72"/>
      <c r="U83" s="72"/>
    </row>
    <row r="84" spans="2:21" x14ac:dyDescent="0.3">
      <c r="B84" s="4"/>
      <c r="C84" s="84" t="s">
        <v>3</v>
      </c>
      <c r="D84" s="85"/>
      <c r="E84" s="5"/>
      <c r="H84" s="84" t="s">
        <v>4</v>
      </c>
      <c r="I84" s="85"/>
      <c r="J84" s="5"/>
      <c r="K84" s="4"/>
      <c r="L84" s="4"/>
      <c r="M84" s="84" t="s">
        <v>5</v>
      </c>
      <c r="N84" s="85"/>
      <c r="R84" s="72"/>
      <c r="S84" s="72"/>
      <c r="T84" s="72"/>
      <c r="U84" s="72"/>
    </row>
    <row r="85" spans="2:21" x14ac:dyDescent="0.3">
      <c r="B85" s="4"/>
      <c r="C85" s="70" t="s">
        <v>37</v>
      </c>
      <c r="D85" s="71"/>
      <c r="E85" s="5"/>
      <c r="H85" s="70" t="s">
        <v>38</v>
      </c>
      <c r="I85" s="71"/>
      <c r="J85" s="5"/>
      <c r="K85" s="4"/>
      <c r="L85" s="4"/>
      <c r="M85" s="70" t="s">
        <v>39</v>
      </c>
      <c r="N85" s="71"/>
      <c r="R85" s="72"/>
      <c r="S85" s="72"/>
      <c r="T85" s="72"/>
      <c r="U85" s="72"/>
    </row>
    <row r="86" spans="2:21" x14ac:dyDescent="0.3">
      <c r="B86" s="8" t="s">
        <v>48</v>
      </c>
      <c r="C86" s="38"/>
      <c r="D86" s="10"/>
      <c r="E86" s="19"/>
      <c r="F86" s="30"/>
      <c r="G86" s="30"/>
      <c r="H86" s="38"/>
      <c r="I86" s="39"/>
      <c r="J86" s="40"/>
      <c r="K86" s="4"/>
      <c r="L86" s="4"/>
      <c r="M86" s="38"/>
      <c r="N86" s="39"/>
    </row>
    <row r="87" spans="2:21" x14ac:dyDescent="0.3">
      <c r="B87" s="4" t="s">
        <v>10</v>
      </c>
      <c r="C87" s="18">
        <v>2825</v>
      </c>
      <c r="D87" s="50" t="s">
        <v>11</v>
      </c>
      <c r="E87" s="11">
        <f>+C87/4</f>
        <v>706.25</v>
      </c>
      <c r="F87" s="12"/>
      <c r="G87" s="12"/>
      <c r="H87" s="18">
        <f>+C87*0.9</f>
        <v>2542.5</v>
      </c>
      <c r="I87" s="50" t="s">
        <v>11</v>
      </c>
      <c r="J87" s="11">
        <f>+H87/4</f>
        <v>635.625</v>
      </c>
      <c r="K87" s="12"/>
      <c r="L87" s="12"/>
      <c r="M87" s="18">
        <f>+H87*0.9</f>
        <v>2288.25</v>
      </c>
      <c r="N87" s="50" t="s">
        <v>11</v>
      </c>
      <c r="O87" s="11">
        <f>+M87/4</f>
        <v>572.0625</v>
      </c>
      <c r="P87" s="12"/>
    </row>
    <row r="88" spans="2:21" ht="12.75" customHeight="1" x14ac:dyDescent="0.3">
      <c r="B88" s="4" t="s">
        <v>12</v>
      </c>
      <c r="C88" s="18">
        <f>670*8</f>
        <v>5360</v>
      </c>
      <c r="D88" s="50" t="s">
        <v>11</v>
      </c>
      <c r="E88" s="43">
        <f>+C88/8</f>
        <v>670</v>
      </c>
      <c r="F88" s="44">
        <f>+E88/E87</f>
        <v>0.9486725663716814</v>
      </c>
      <c r="G88" s="15"/>
      <c r="H88" s="18">
        <v>4825</v>
      </c>
      <c r="I88" s="50" t="s">
        <v>11</v>
      </c>
      <c r="J88" s="43">
        <f>+H88/8</f>
        <v>603.125</v>
      </c>
      <c r="K88" s="44">
        <f>+J88/J87</f>
        <v>0.94886922320550637</v>
      </c>
      <c r="L88" s="15"/>
      <c r="M88" s="18">
        <v>4345</v>
      </c>
      <c r="N88" s="50" t="s">
        <v>11</v>
      </c>
      <c r="O88" s="43">
        <f>+M88/8</f>
        <v>543.125</v>
      </c>
      <c r="P88" s="44">
        <f>+O88/O87</f>
        <v>0.94941549218835353</v>
      </c>
      <c r="R88" s="72" t="s">
        <v>36</v>
      </c>
      <c r="S88" s="72"/>
      <c r="T88" s="72"/>
      <c r="U88" s="72"/>
    </row>
    <row r="89" spans="2:21" x14ac:dyDescent="0.3">
      <c r="B89" s="4" t="s">
        <v>13</v>
      </c>
      <c r="C89" s="18">
        <f>645*12</f>
        <v>7740</v>
      </c>
      <c r="D89" s="50" t="s">
        <v>11</v>
      </c>
      <c r="E89" s="43">
        <f>+C89/12</f>
        <v>645</v>
      </c>
      <c r="F89" s="44">
        <f>+E89/E87</f>
        <v>0.91327433628318588</v>
      </c>
      <c r="G89" s="15"/>
      <c r="H89" s="18">
        <v>6965</v>
      </c>
      <c r="I89" s="50" t="s">
        <v>11</v>
      </c>
      <c r="J89" s="43">
        <f>+H89/12</f>
        <v>580.41666666666663</v>
      </c>
      <c r="K89" s="44">
        <f>+J89/J87</f>
        <v>0.9131432317273025</v>
      </c>
      <c r="L89" s="15"/>
      <c r="M89" s="18">
        <v>6270</v>
      </c>
      <c r="N89" s="50" t="s">
        <v>11</v>
      </c>
      <c r="O89" s="43">
        <f>+M89/12</f>
        <v>522.5</v>
      </c>
      <c r="P89" s="44">
        <f>+O89/O87</f>
        <v>0.9133617393204414</v>
      </c>
      <c r="R89" s="72"/>
      <c r="S89" s="72"/>
      <c r="T89" s="72"/>
      <c r="U89" s="72"/>
    </row>
    <row r="90" spans="2:21" x14ac:dyDescent="0.3">
      <c r="B90" s="4"/>
      <c r="C90" s="18"/>
      <c r="D90" s="50"/>
      <c r="E90" s="19"/>
      <c r="F90" s="59"/>
      <c r="G90" s="59"/>
      <c r="H90" s="18"/>
      <c r="I90" s="50"/>
      <c r="J90" s="19"/>
      <c r="K90" s="54"/>
      <c r="L90" s="54"/>
      <c r="M90" s="18"/>
      <c r="N90" s="50"/>
      <c r="R90" s="72"/>
      <c r="S90" s="72"/>
      <c r="T90" s="72"/>
      <c r="U90" s="72"/>
    </row>
    <row r="91" spans="2:21" x14ac:dyDescent="0.3">
      <c r="B91" s="8" t="s">
        <v>49</v>
      </c>
      <c r="C91" s="18"/>
      <c r="D91" s="50"/>
      <c r="E91" s="19"/>
      <c r="F91" s="55"/>
      <c r="G91" s="55"/>
      <c r="H91" s="18"/>
      <c r="I91" s="50"/>
      <c r="J91" s="19"/>
      <c r="K91" s="60"/>
      <c r="L91" s="60"/>
      <c r="M91" s="18"/>
      <c r="N91" s="50"/>
      <c r="R91" s="72"/>
      <c r="S91" s="72"/>
      <c r="T91" s="72"/>
      <c r="U91" s="72"/>
    </row>
    <row r="92" spans="2:21" x14ac:dyDescent="0.3">
      <c r="B92" s="4" t="s">
        <v>10</v>
      </c>
      <c r="C92" s="18">
        <f>1650*1.1</f>
        <v>1815.0000000000002</v>
      </c>
      <c r="D92" s="50" t="s">
        <v>11</v>
      </c>
      <c r="E92" s="11">
        <f>+C92/4</f>
        <v>453.75000000000006</v>
      </c>
      <c r="F92" s="12"/>
      <c r="G92" s="12"/>
      <c r="H92" s="18">
        <v>1630</v>
      </c>
      <c r="I92" s="50" t="s">
        <v>11</v>
      </c>
      <c r="J92" s="11">
        <f>+H92/4</f>
        <v>407.5</v>
      </c>
      <c r="K92" s="12"/>
      <c r="L92" s="12"/>
      <c r="M92" s="18">
        <v>1465</v>
      </c>
      <c r="N92" s="50" t="s">
        <v>11</v>
      </c>
      <c r="O92" s="11">
        <f>+M92/4</f>
        <v>366.25</v>
      </c>
      <c r="P92" s="12"/>
      <c r="R92" s="72"/>
      <c r="S92" s="72"/>
      <c r="T92" s="72"/>
      <c r="U92" s="72"/>
    </row>
    <row r="93" spans="2:21" x14ac:dyDescent="0.3">
      <c r="B93" s="4" t="s">
        <v>12</v>
      </c>
      <c r="C93" s="18">
        <f>440*8</f>
        <v>3520</v>
      </c>
      <c r="D93" s="50" t="s">
        <v>11</v>
      </c>
      <c r="E93" s="43">
        <f>+C93/8</f>
        <v>440</v>
      </c>
      <c r="F93" s="44">
        <f>+E93/E92</f>
        <v>0.96969696969696961</v>
      </c>
      <c r="G93" s="44"/>
      <c r="H93" s="18">
        <v>3165</v>
      </c>
      <c r="I93" s="50" t="s">
        <v>11</v>
      </c>
      <c r="J93" s="43">
        <f>+H93/8</f>
        <v>395.625</v>
      </c>
      <c r="K93" s="44">
        <f>+J93/J92</f>
        <v>0.97085889570552142</v>
      </c>
      <c r="L93" s="44"/>
      <c r="M93" s="18">
        <v>2850</v>
      </c>
      <c r="N93" s="50" t="s">
        <v>11</v>
      </c>
      <c r="O93" s="43">
        <f>+M93/8</f>
        <v>356.25</v>
      </c>
      <c r="P93" s="44">
        <f>+O93/O92</f>
        <v>0.97269624573378843</v>
      </c>
      <c r="R93" s="72"/>
      <c r="S93" s="72"/>
      <c r="T93" s="72"/>
      <c r="U93" s="72"/>
    </row>
    <row r="94" spans="2:21" x14ac:dyDescent="0.3">
      <c r="B94" s="4" t="s">
        <v>13</v>
      </c>
      <c r="C94" s="18">
        <f>410*12</f>
        <v>4920</v>
      </c>
      <c r="D94" s="50" t="s">
        <v>11</v>
      </c>
      <c r="E94" s="43">
        <f>+C94/12</f>
        <v>410</v>
      </c>
      <c r="F94" s="44">
        <f>+E94/E92</f>
        <v>0.90358126721763077</v>
      </c>
      <c r="G94" s="44"/>
      <c r="H94" s="18">
        <v>4425</v>
      </c>
      <c r="I94" s="50" t="s">
        <v>11</v>
      </c>
      <c r="J94" s="43">
        <f>+H94/12</f>
        <v>368.75</v>
      </c>
      <c r="K94" s="44">
        <f>+J94/J92</f>
        <v>0.90490797546012269</v>
      </c>
      <c r="L94" s="44"/>
      <c r="M94" s="18">
        <f>+H94*0.9</f>
        <v>3982.5</v>
      </c>
      <c r="N94" s="50" t="s">
        <v>11</v>
      </c>
      <c r="O94" s="43">
        <f>+M94/12</f>
        <v>331.875</v>
      </c>
      <c r="P94" s="44">
        <f>+O94/O92</f>
        <v>0.90614334470989766</v>
      </c>
      <c r="R94" s="72"/>
      <c r="S94" s="72"/>
      <c r="T94" s="72"/>
      <c r="U94" s="72"/>
    </row>
    <row r="95" spans="2:21" x14ac:dyDescent="0.3">
      <c r="B95" s="4"/>
      <c r="C95" s="61"/>
      <c r="D95" s="62"/>
      <c r="E95" s="19"/>
      <c r="H95" s="23"/>
      <c r="I95" s="62"/>
      <c r="J95" s="19"/>
      <c r="K95" s="6"/>
      <c r="L95" s="6"/>
      <c r="M95" s="23"/>
      <c r="N95" s="62"/>
    </row>
    <row r="96" spans="2:21" x14ac:dyDescent="0.3">
      <c r="B96" s="4"/>
      <c r="C96" s="26"/>
      <c r="D96" s="59"/>
      <c r="E96" s="19"/>
      <c r="F96" s="30"/>
      <c r="G96" s="30"/>
      <c r="H96" s="26"/>
      <c r="I96" s="59"/>
      <c r="J96" s="19"/>
      <c r="K96" s="30"/>
      <c r="L96" s="30"/>
      <c r="M96" s="26"/>
      <c r="N96" s="59"/>
    </row>
    <row r="97" spans="1:21" x14ac:dyDescent="0.3">
      <c r="B97" s="4"/>
      <c r="C97" s="73" t="s">
        <v>3</v>
      </c>
      <c r="D97" s="74"/>
      <c r="E97" s="5"/>
      <c r="H97" s="73" t="s">
        <v>4</v>
      </c>
      <c r="I97" s="74"/>
      <c r="J97" s="5"/>
      <c r="K97" s="6"/>
      <c r="L97" s="6"/>
      <c r="M97" s="73" t="s">
        <v>5</v>
      </c>
      <c r="N97" s="74"/>
    </row>
    <row r="98" spans="1:21" x14ac:dyDescent="0.3">
      <c r="B98" s="4"/>
      <c r="C98" s="73" t="s">
        <v>50</v>
      </c>
      <c r="D98" s="74"/>
      <c r="E98" s="5"/>
      <c r="H98" s="75" t="s">
        <v>51</v>
      </c>
      <c r="I98" s="76"/>
      <c r="J98" s="37"/>
      <c r="K98" s="6"/>
      <c r="L98" s="6"/>
      <c r="M98" s="73" t="s">
        <v>52</v>
      </c>
      <c r="N98" s="74"/>
    </row>
    <row r="99" spans="1:21" ht="14.25" customHeight="1" x14ac:dyDescent="0.3">
      <c r="A99" s="69" t="s">
        <v>53</v>
      </c>
      <c r="B99" s="8" t="s">
        <v>54</v>
      </c>
      <c r="C99" s="41"/>
      <c r="D99" s="63"/>
      <c r="E99" s="19"/>
      <c r="H99" s="41"/>
      <c r="I99" s="64"/>
      <c r="J99" s="40"/>
      <c r="K99" s="6"/>
      <c r="L99" s="6"/>
      <c r="M99" s="41"/>
      <c r="N99" s="64"/>
    </row>
    <row r="100" spans="1:21" x14ac:dyDescent="0.3">
      <c r="A100" s="69"/>
      <c r="B100" s="4" t="s">
        <v>10</v>
      </c>
      <c r="C100" s="18">
        <v>1165</v>
      </c>
      <c r="D100" s="50" t="s">
        <v>11</v>
      </c>
      <c r="E100" s="11">
        <f>+C100/4</f>
        <v>291.25</v>
      </c>
      <c r="F100" s="12"/>
      <c r="G100" s="12"/>
      <c r="H100" s="18">
        <v>1045</v>
      </c>
      <c r="I100" s="50" t="s">
        <v>11</v>
      </c>
      <c r="J100" s="11">
        <f>+H100/4</f>
        <v>261.25</v>
      </c>
      <c r="K100" s="12"/>
      <c r="L100" s="12"/>
      <c r="M100" s="18">
        <v>940</v>
      </c>
      <c r="N100" s="50" t="s">
        <v>11</v>
      </c>
      <c r="O100" s="11">
        <f>+M100/4</f>
        <v>235</v>
      </c>
      <c r="P100" s="12"/>
    </row>
    <row r="101" spans="1:21" x14ac:dyDescent="0.3">
      <c r="A101" s="69"/>
      <c r="B101" s="4" t="s">
        <v>12</v>
      </c>
      <c r="C101" s="18">
        <v>2265</v>
      </c>
      <c r="D101" s="50" t="s">
        <v>11</v>
      </c>
      <c r="E101" s="11">
        <f>+C101/8</f>
        <v>283.125</v>
      </c>
      <c r="F101" s="15">
        <f>+E101/E100</f>
        <v>0.97210300429184548</v>
      </c>
      <c r="G101" s="15"/>
      <c r="H101" s="18">
        <v>2035</v>
      </c>
      <c r="I101" s="50" t="s">
        <v>11</v>
      </c>
      <c r="J101" s="11">
        <f>+H101/8</f>
        <v>254.375</v>
      </c>
      <c r="K101" s="15">
        <f>+J101/J100</f>
        <v>0.97368421052631582</v>
      </c>
      <c r="L101" s="15"/>
      <c r="M101" s="18">
        <v>1830</v>
      </c>
      <c r="N101" s="50" t="s">
        <v>11</v>
      </c>
      <c r="O101" s="11">
        <f>+M101/8</f>
        <v>228.75</v>
      </c>
      <c r="P101" s="15">
        <f>+O101/O100</f>
        <v>0.97340425531914898</v>
      </c>
      <c r="R101" s="72" t="s">
        <v>56</v>
      </c>
      <c r="S101" s="72"/>
      <c r="T101" s="72"/>
      <c r="U101" s="72"/>
    </row>
    <row r="102" spans="1:21" ht="12.75" customHeight="1" x14ac:dyDescent="0.3">
      <c r="A102" s="69"/>
      <c r="B102" s="4" t="s">
        <v>13</v>
      </c>
      <c r="C102" s="23">
        <v>3110</v>
      </c>
      <c r="D102" s="51" t="s">
        <v>11</v>
      </c>
      <c r="E102" s="11">
        <f>+C102/12</f>
        <v>259.16666666666669</v>
      </c>
      <c r="F102" s="15">
        <f>+E102/E100</f>
        <v>0.88984263233190275</v>
      </c>
      <c r="G102" s="15"/>
      <c r="H102" s="23">
        <v>2795</v>
      </c>
      <c r="I102" s="51" t="s">
        <v>11</v>
      </c>
      <c r="J102" s="11">
        <f>+H102/12</f>
        <v>232.91666666666666</v>
      </c>
      <c r="K102" s="15">
        <f>+J102/J100</f>
        <v>0.8915470494417862</v>
      </c>
      <c r="L102" s="15"/>
      <c r="M102" s="23">
        <v>2515</v>
      </c>
      <c r="N102" s="51" t="s">
        <v>11</v>
      </c>
      <c r="O102" s="11">
        <f>+M102/12</f>
        <v>209.58333333333334</v>
      </c>
      <c r="P102" s="15">
        <f>+O102/O100</f>
        <v>0.89184397163120577</v>
      </c>
      <c r="R102" s="72"/>
      <c r="S102" s="72"/>
      <c r="T102" s="72"/>
      <c r="U102" s="72"/>
    </row>
    <row r="103" spans="1:21" ht="15" customHeight="1" x14ac:dyDescent="0.3">
      <c r="A103" s="69"/>
      <c r="C103" s="65"/>
      <c r="D103" s="60"/>
      <c r="E103" s="66"/>
      <c r="F103" s="55"/>
      <c r="G103" s="55"/>
      <c r="H103" s="65"/>
      <c r="I103" s="60"/>
      <c r="J103" s="66"/>
      <c r="K103" s="60"/>
      <c r="L103" s="60"/>
      <c r="M103" s="65"/>
      <c r="N103" s="60"/>
      <c r="R103" s="72"/>
      <c r="S103" s="72"/>
      <c r="T103" s="72"/>
      <c r="U103" s="72"/>
    </row>
    <row r="104" spans="1:21" ht="12.75" customHeight="1" x14ac:dyDescent="0.3">
      <c r="A104" s="69"/>
      <c r="B104" s="8" t="s">
        <v>55</v>
      </c>
      <c r="C104" s="56"/>
      <c r="D104" s="57"/>
      <c r="E104" s="19"/>
      <c r="F104" s="55"/>
      <c r="G104" s="55"/>
      <c r="H104" s="56"/>
      <c r="I104" s="57"/>
      <c r="J104" s="19"/>
      <c r="K104" s="60"/>
      <c r="L104" s="60"/>
      <c r="M104" s="56"/>
      <c r="N104" s="57"/>
      <c r="R104" s="72"/>
      <c r="S104" s="72"/>
      <c r="T104" s="72"/>
      <c r="U104" s="72"/>
    </row>
    <row r="105" spans="1:21" x14ac:dyDescent="0.3">
      <c r="A105" s="69"/>
      <c r="B105" s="4" t="s">
        <v>10</v>
      </c>
      <c r="C105" s="18">
        <f>749.70982944*1.1</f>
        <v>824.68081238400009</v>
      </c>
      <c r="D105" s="50" t="s">
        <v>11</v>
      </c>
      <c r="E105" s="11">
        <f>+C105/4</f>
        <v>206.17020309600002</v>
      </c>
      <c r="F105" s="12"/>
      <c r="G105" s="12"/>
      <c r="H105" s="18">
        <v>740</v>
      </c>
      <c r="I105" s="50" t="s">
        <v>11</v>
      </c>
      <c r="J105" s="11">
        <f>+H105/4</f>
        <v>185</v>
      </c>
      <c r="K105" s="12"/>
      <c r="L105" s="12"/>
      <c r="M105" s="18">
        <v>665</v>
      </c>
      <c r="N105" s="50" t="s">
        <v>11</v>
      </c>
      <c r="O105" s="11">
        <f>+M105/4</f>
        <v>166.25</v>
      </c>
      <c r="P105" s="12"/>
      <c r="R105" s="72"/>
      <c r="S105" s="72"/>
      <c r="T105" s="72"/>
      <c r="U105" s="72"/>
    </row>
    <row r="106" spans="1:21" x14ac:dyDescent="0.3">
      <c r="A106" s="69"/>
      <c r="B106" s="4" t="s">
        <v>12</v>
      </c>
      <c r="C106" s="18">
        <f>1100*1.1</f>
        <v>1210</v>
      </c>
      <c r="D106" s="50" t="s">
        <v>11</v>
      </c>
      <c r="E106" s="11">
        <f>+C106/8</f>
        <v>151.25</v>
      </c>
      <c r="F106" s="15">
        <f>+E106/E105</f>
        <v>0.73361716547164058</v>
      </c>
      <c r="G106" s="15"/>
      <c r="H106" s="18">
        <v>1295</v>
      </c>
      <c r="I106" s="50" t="s">
        <v>11</v>
      </c>
      <c r="J106" s="11">
        <f>+H106/8</f>
        <v>161.875</v>
      </c>
      <c r="K106" s="15">
        <f>+J106/J105</f>
        <v>0.875</v>
      </c>
      <c r="L106" s="15"/>
      <c r="M106" s="18">
        <v>1165</v>
      </c>
      <c r="N106" s="50" t="s">
        <v>11</v>
      </c>
      <c r="O106" s="11">
        <f>+M106/8</f>
        <v>145.625</v>
      </c>
      <c r="P106" s="15">
        <f>+O106/O105</f>
        <v>0.87593984962406013</v>
      </c>
      <c r="R106" s="72"/>
      <c r="S106" s="72"/>
      <c r="T106" s="72"/>
      <c r="U106" s="72"/>
    </row>
    <row r="107" spans="1:21" x14ac:dyDescent="0.3">
      <c r="A107" s="69"/>
      <c r="B107" s="4" t="s">
        <v>13</v>
      </c>
      <c r="C107" s="23">
        <f>1350*1.1</f>
        <v>1485.0000000000002</v>
      </c>
      <c r="D107" s="51" t="s">
        <v>11</v>
      </c>
      <c r="E107" s="11">
        <f>+C107/12</f>
        <v>123.75000000000001</v>
      </c>
      <c r="F107" s="15">
        <f>+E107/E105</f>
        <v>0.60023222629497874</v>
      </c>
      <c r="G107" s="15"/>
      <c r="H107" s="23">
        <f>+C107*0.9</f>
        <v>1336.5000000000002</v>
      </c>
      <c r="I107" s="51" t="s">
        <v>11</v>
      </c>
      <c r="J107" s="11">
        <f>+H107/12</f>
        <v>111.37500000000001</v>
      </c>
      <c r="K107" s="15">
        <f>+J107/J105</f>
        <v>0.60202702702702715</v>
      </c>
      <c r="L107" s="15"/>
      <c r="M107" s="23">
        <f>+H107*0.9</f>
        <v>1202.8500000000001</v>
      </c>
      <c r="N107" s="51" t="s">
        <v>11</v>
      </c>
      <c r="O107" s="11">
        <f>+M107/12</f>
        <v>100.23750000000001</v>
      </c>
      <c r="P107" s="15">
        <f>+O107/O105</f>
        <v>0.60293233082706776</v>
      </c>
      <c r="R107" s="72"/>
      <c r="S107" s="72"/>
      <c r="T107" s="72"/>
      <c r="U107" s="72"/>
    </row>
    <row r="108" spans="1:21" x14ac:dyDescent="0.3">
      <c r="C108" s="65"/>
      <c r="D108" s="60"/>
      <c r="E108" s="66"/>
      <c r="F108" s="55"/>
      <c r="G108" s="55"/>
      <c r="H108" s="65"/>
      <c r="I108" s="60"/>
      <c r="J108" s="66"/>
      <c r="K108" s="60"/>
      <c r="L108" s="60"/>
      <c r="M108" s="65"/>
      <c r="N108" s="60"/>
      <c r="R108" s="72"/>
      <c r="S108" s="72"/>
      <c r="T108" s="72"/>
      <c r="U108" s="72"/>
    </row>
    <row r="109" spans="1:21" x14ac:dyDescent="0.3">
      <c r="B109" s="4"/>
      <c r="C109" s="65"/>
      <c r="D109" s="60"/>
      <c r="E109" s="66"/>
      <c r="F109" s="55"/>
      <c r="G109" s="55"/>
      <c r="H109" s="65"/>
      <c r="I109" s="60"/>
      <c r="J109" s="66"/>
      <c r="K109" s="60"/>
      <c r="L109" s="60"/>
      <c r="M109" s="65"/>
      <c r="N109" s="60"/>
    </row>
    <row r="110" spans="1:21" x14ac:dyDescent="0.3">
      <c r="B110" s="8" t="s">
        <v>57</v>
      </c>
      <c r="C110" s="56"/>
      <c r="D110" s="57"/>
      <c r="E110" s="19"/>
      <c r="F110" s="55"/>
      <c r="G110" s="55"/>
      <c r="H110" s="26"/>
      <c r="I110" s="54"/>
      <c r="J110" s="19"/>
      <c r="K110" s="54"/>
      <c r="L110" s="54"/>
      <c r="M110" s="26"/>
      <c r="N110" s="54"/>
    </row>
    <row r="111" spans="1:21" x14ac:dyDescent="0.3">
      <c r="B111" s="4" t="s">
        <v>58</v>
      </c>
      <c r="C111" s="23">
        <v>1395</v>
      </c>
      <c r="D111" s="51" t="s">
        <v>11</v>
      </c>
      <c r="E111" s="19"/>
      <c r="F111" s="12"/>
      <c r="G111" s="12"/>
      <c r="H111" s="26"/>
      <c r="I111" s="54"/>
      <c r="J111" s="19"/>
      <c r="K111" s="54"/>
      <c r="L111" s="54"/>
      <c r="M111" s="26"/>
      <c r="N111" s="54"/>
    </row>
    <row r="112" spans="1:21" x14ac:dyDescent="0.3">
      <c r="C112" s="67"/>
    </row>
    <row r="116" spans="2:13" x14ac:dyDescent="0.3">
      <c r="H116" s="31"/>
      <c r="J116" s="40"/>
      <c r="M116" s="31"/>
    </row>
    <row r="117" spans="2:13" x14ac:dyDescent="0.3">
      <c r="H117" s="31"/>
      <c r="J117" s="40"/>
      <c r="M117" s="31"/>
    </row>
    <row r="118" spans="2:13" x14ac:dyDescent="0.3">
      <c r="B118" s="16" t="s">
        <v>59</v>
      </c>
    </row>
    <row r="119" spans="2:13" x14ac:dyDescent="0.3">
      <c r="B119" s="16" t="s">
        <v>60</v>
      </c>
    </row>
    <row r="120" spans="2:13" x14ac:dyDescent="0.3">
      <c r="B120" s="16" t="s">
        <v>61</v>
      </c>
    </row>
    <row r="121" spans="2:13" x14ac:dyDescent="0.3">
      <c r="B121" s="16" t="s">
        <v>62</v>
      </c>
    </row>
    <row r="122" spans="2:13" x14ac:dyDescent="0.3">
      <c r="B122" s="16" t="s">
        <v>63</v>
      </c>
    </row>
    <row r="123" spans="2:13" x14ac:dyDescent="0.3">
      <c r="B123" s="16" t="s">
        <v>64</v>
      </c>
    </row>
  </sheetData>
  <mergeCells count="60">
    <mergeCell ref="B33:N33"/>
    <mergeCell ref="A1:N1"/>
    <mergeCell ref="A2:N2"/>
    <mergeCell ref="B3:N3"/>
    <mergeCell ref="C4:D4"/>
    <mergeCell ref="H4:I4"/>
    <mergeCell ref="M4:N4"/>
    <mergeCell ref="C5:D5"/>
    <mergeCell ref="H5:I5"/>
    <mergeCell ref="M5:N5"/>
    <mergeCell ref="A17:A20"/>
    <mergeCell ref="C30:D30"/>
    <mergeCell ref="C34:D34"/>
    <mergeCell ref="H34:I34"/>
    <mergeCell ref="M34:N34"/>
    <mergeCell ref="R34:U49"/>
    <mergeCell ref="C35:D35"/>
    <mergeCell ref="H35:I35"/>
    <mergeCell ref="M35:N35"/>
    <mergeCell ref="C64:D64"/>
    <mergeCell ref="H64:I64"/>
    <mergeCell ref="M64:N64"/>
    <mergeCell ref="B53:O53"/>
    <mergeCell ref="B54:O54"/>
    <mergeCell ref="B55:N55"/>
    <mergeCell ref="C56:D56"/>
    <mergeCell ref="H56:I56"/>
    <mergeCell ref="M56:N56"/>
    <mergeCell ref="R56:U61"/>
    <mergeCell ref="C57:D57"/>
    <mergeCell ref="H57:I57"/>
    <mergeCell ref="M57:N57"/>
    <mergeCell ref="B63:N63"/>
    <mergeCell ref="C65:D65"/>
    <mergeCell ref="H65:I65"/>
    <mergeCell ref="M65:N65"/>
    <mergeCell ref="R65:U70"/>
    <mergeCell ref="C75:D75"/>
    <mergeCell ref="H75:I75"/>
    <mergeCell ref="M75:N75"/>
    <mergeCell ref="C76:D76"/>
    <mergeCell ref="H76:I76"/>
    <mergeCell ref="M76:N76"/>
    <mergeCell ref="R79:U85"/>
    <mergeCell ref="B83:N83"/>
    <mergeCell ref="C84:D84"/>
    <mergeCell ref="H84:I84"/>
    <mergeCell ref="M84:N84"/>
    <mergeCell ref="C85:D85"/>
    <mergeCell ref="H85:I85"/>
    <mergeCell ref="A99:A107"/>
    <mergeCell ref="M85:N85"/>
    <mergeCell ref="R88:U94"/>
    <mergeCell ref="C97:D97"/>
    <mergeCell ref="H97:I97"/>
    <mergeCell ref="M97:N97"/>
    <mergeCell ref="C98:D98"/>
    <mergeCell ref="H98:I98"/>
    <mergeCell ref="M98:N98"/>
    <mergeCell ref="R101:U108"/>
  </mergeCells>
  <pageMargins left="0.70866141732283472" right="0.70866141732283472" top="0.74803149606299213" bottom="0.74803149606299213" header="0.31496062992125984" footer="0.31496062992125984"/>
  <pageSetup scale="59"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LISTA DE PRECIOS 2026</vt:lpstr>
      <vt:lpstr>'LISTA DE PRECIOS 2026'!Área_de_impresión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Dirección</dc:creator>
  <cp:lastModifiedBy>César Ariel Puentes Barragán</cp:lastModifiedBy>
  <cp:lastPrinted>2026-04-22T17:03:21Z</cp:lastPrinted>
  <dcterms:created xsi:type="dcterms:W3CDTF">2026-01-13T00:33:59Z</dcterms:created>
  <dcterms:modified xsi:type="dcterms:W3CDTF">2026-07-20T23:12:06Z</dcterms:modified>
</cp:coreProperties>
</file>